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GUTI ZAMBRANO\CONTROLES REALIZADOS DE AUDITORIA\AUTOLUX\ROTATIVOS\2026\1.Enero\"/>
    </mc:Choice>
  </mc:AlternateContent>
  <xr:revisionPtr revIDLastSave="0" documentId="13_ncr:1_{BC30E8DF-099C-4D9B-BF57-AE595C5DC849}" xr6:coauthVersionLast="47" xr6:coauthVersionMax="47" xr10:uidLastSave="{00000000-0000-0000-0000-000000000000}"/>
  <bookViews>
    <workbookView xWindow="-110" yWindow="-110" windowWidth="19420" windowHeight="10300" tabRatio="963" firstSheet="2" activeTab="9" xr2:uid="{00000000-000D-0000-FFFF-FFFF00000000}"/>
  </bookViews>
  <sheets>
    <sheet name="Recuperado_Hoja1 (2)" sheetId="47" r:id="rId1"/>
    <sheet name="1,Tranf.Pend. Recep" sheetId="42" r:id="rId2"/>
    <sheet name="2.Pend.Creditoo" sheetId="44" r:id="rId3"/>
    <sheet name="3.Remito Pend Carga" sheetId="36" r:id="rId4"/>
    <sheet name="4.Inv Rota" sheetId="48" r:id="rId5"/>
    <sheet name="7.Remito Pend de Fact" sheetId="45" r:id="rId6"/>
    <sheet name="8.Ventas Internas" sheetId="46" r:id="rId7"/>
    <sheet name="9.Transf.Pend. Entrega" sheetId="43" r:id="rId8"/>
    <sheet name="KPI'S" sheetId="9" r:id="rId9"/>
    <sheet name="Salta-Jujuy" sheetId="1" r:id="rId10"/>
    <sheet name="Config S-J" sheetId="3" r:id="rId11"/>
    <sheet name="Rotativo" sheetId="15" state="hidden" r:id="rId12"/>
    <sheet name="4.1" sheetId="13" state="hidden" r:id="rId13"/>
    <sheet name="Hoja1" sheetId="29" state="hidden" r:id="rId14"/>
  </sheets>
  <definedNames>
    <definedName name="_xlnm._FilterDatabase" localSheetId="1" hidden="1">'1,Tranf.Pend. Recep'!$A$6:$K$14</definedName>
    <definedName name="_xlnm._FilterDatabase" localSheetId="2" hidden="1">'2.Pend.Creditoo'!$A$6:$O$42</definedName>
    <definedName name="_xlnm._FilterDatabase" localSheetId="4" hidden="1">'4.Inv Rota'!$A$6:$R$57</definedName>
    <definedName name="_xlnm._FilterDatabase" localSheetId="6" hidden="1">'8.Ventas Internas'!$A$6:$I$90</definedName>
    <definedName name="_xlnm._FilterDatabase" localSheetId="7" hidden="1">'9.Transf.Pend. Entrega'!$A$6:$K$13</definedName>
    <definedName name="_xlnm._FilterDatabase" localSheetId="13" hidden="1">Hoja1!$A$4:$J$40</definedName>
    <definedName name="_xlnm._FilterDatabase" localSheetId="0" hidden="1">'Recuperado_Hoja1 (2)'!$A$6:$L$3083</definedName>
    <definedName name="_xlnm._FilterDatabase" localSheetId="11" hidden="1">Rotativo!$A$4:$AB$90</definedName>
    <definedName name="_xlnm.Print_Area" localSheetId="13">Hoja1!$A$1:$J$40</definedName>
    <definedName name="_xlnm.Print_Area" localSheetId="8">'KPI''S'!$B$2:$I$80</definedName>
    <definedName name="_xlnm.Print_Titles" localSheetId="13">Hoja1!$1:$4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0" i="1" l="1"/>
  <c r="D130" i="1"/>
  <c r="C130" i="1"/>
  <c r="E129" i="1"/>
  <c r="D129" i="1"/>
  <c r="C129" i="1"/>
  <c r="D111" i="1"/>
  <c r="D110" i="1"/>
  <c r="D109" i="1"/>
  <c r="C111" i="1"/>
  <c r="C110" i="1"/>
  <c r="C109" i="1"/>
  <c r="B111" i="1"/>
  <c r="B110" i="1"/>
  <c r="B109" i="1"/>
  <c r="E62" i="1"/>
  <c r="E61" i="1"/>
  <c r="E60" i="1"/>
  <c r="E59" i="1"/>
  <c r="E58" i="1"/>
  <c r="E57" i="1"/>
  <c r="D57" i="1"/>
  <c r="D62" i="1"/>
  <c r="D61" i="1"/>
  <c r="D60" i="1"/>
  <c r="D59" i="1"/>
  <c r="D58" i="1"/>
  <c r="C57" i="1"/>
  <c r="C62" i="1"/>
  <c r="C61" i="1"/>
  <c r="C60" i="1"/>
  <c r="C59" i="1"/>
  <c r="C58" i="1"/>
  <c r="F69" i="1"/>
  <c r="F154" i="1" l="1"/>
  <c r="F35" i="1" s="1"/>
  <c r="F135" i="1"/>
  <c r="F33" i="1" s="1"/>
  <c r="F121" i="1"/>
  <c r="F81" i="1"/>
  <c r="F29" i="1" s="1"/>
  <c r="F28" i="1"/>
  <c r="F48" i="1"/>
  <c r="F27" i="1" s="1"/>
  <c r="F32" i="1"/>
  <c r="E90" i="1"/>
  <c r="F88" i="1"/>
  <c r="Q5" i="44"/>
  <c r="J6" i="46"/>
  <c r="F148" i="1" s="1"/>
  <c r="F34" i="1" s="1"/>
  <c r="L5" i="48"/>
  <c r="F31" i="1" s="1"/>
  <c r="N57" i="48"/>
  <c r="N56" i="48"/>
  <c r="N55" i="48"/>
  <c r="N54" i="48"/>
  <c r="N53" i="48"/>
  <c r="N52" i="48"/>
  <c r="N51" i="48"/>
  <c r="N50" i="48"/>
  <c r="N49" i="48"/>
  <c r="N48" i="48"/>
  <c r="N47" i="48"/>
  <c r="N46" i="48"/>
  <c r="N45" i="48"/>
  <c r="N44" i="48"/>
  <c r="N43" i="48"/>
  <c r="N42" i="48"/>
  <c r="N41" i="48"/>
  <c r="N40" i="48"/>
  <c r="N39" i="48"/>
  <c r="N38" i="48"/>
  <c r="N37" i="48"/>
  <c r="N36" i="48"/>
  <c r="N35" i="48"/>
  <c r="N34" i="48"/>
  <c r="N33" i="48"/>
  <c r="N32" i="48"/>
  <c r="N31" i="48"/>
  <c r="N30" i="48"/>
  <c r="N29" i="48"/>
  <c r="N28" i="48"/>
  <c r="N27" i="48"/>
  <c r="N26" i="48"/>
  <c r="N25" i="48"/>
  <c r="N24" i="48"/>
  <c r="N23" i="48"/>
  <c r="N22" i="48"/>
  <c r="N21" i="48"/>
  <c r="N20" i="48"/>
  <c r="N19" i="48"/>
  <c r="N18" i="48"/>
  <c r="N17" i="48"/>
  <c r="N16" i="48"/>
  <c r="N15" i="48"/>
  <c r="N14" i="48"/>
  <c r="N13" i="48"/>
  <c r="N12" i="48"/>
  <c r="N11" i="48"/>
  <c r="N10" i="48"/>
  <c r="N9" i="48"/>
  <c r="N8" i="48"/>
  <c r="N7" i="48"/>
  <c r="E62" i="48"/>
  <c r="D88" i="1" s="1"/>
  <c r="E10" i="36"/>
  <c r="D10" i="36"/>
  <c r="E9" i="36"/>
  <c r="E8" i="36"/>
  <c r="D9" i="36"/>
  <c r="D8" i="36"/>
  <c r="E7" i="36"/>
  <c r="I57" i="48"/>
  <c r="I56" i="48"/>
  <c r="I55" i="48"/>
  <c r="I54" i="48"/>
  <c r="I53" i="48"/>
  <c r="I52" i="48"/>
  <c r="I51" i="48"/>
  <c r="I50" i="48"/>
  <c r="I49" i="48"/>
  <c r="I48" i="48"/>
  <c r="I47" i="48"/>
  <c r="I46" i="48"/>
  <c r="I45" i="48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3" i="48"/>
  <c r="I22" i="48"/>
  <c r="I21" i="48"/>
  <c r="I20" i="48"/>
  <c r="I19" i="48"/>
  <c r="I18" i="48"/>
  <c r="I17" i="48"/>
  <c r="I16" i="48"/>
  <c r="I15" i="48"/>
  <c r="I14" i="48"/>
  <c r="I13" i="48"/>
  <c r="I12" i="48"/>
  <c r="I11" i="48"/>
  <c r="I10" i="48"/>
  <c r="I9" i="48"/>
  <c r="I8" i="48"/>
  <c r="I7" i="48"/>
  <c r="I24" i="48"/>
  <c r="F63" i="48" s="1"/>
  <c r="E89" i="1" s="1"/>
  <c r="H18" i="45"/>
  <c r="H37" i="45"/>
  <c r="H39" i="45"/>
  <c r="I7" i="43"/>
  <c r="H12" i="43"/>
  <c r="I7" i="42"/>
  <c r="H13" i="42" s="1"/>
  <c r="I10" i="42"/>
  <c r="F113" i="1" l="1"/>
  <c r="E63" i="48"/>
  <c r="D89" i="1" s="1"/>
  <c r="F62" i="48"/>
  <c r="E64" i="48"/>
  <c r="D90" i="1" s="1"/>
  <c r="F65" i="48"/>
  <c r="E91" i="1" s="1"/>
  <c r="G64" i="48" l="1"/>
  <c r="F90" i="1" s="1"/>
  <c r="E88" i="1"/>
  <c r="E66" i="48"/>
  <c r="D92" i="1" s="1"/>
  <c r="E65" i="48"/>
  <c r="D91" i="1" s="1"/>
  <c r="G63" i="48"/>
  <c r="F89" i="1" s="1"/>
  <c r="G65" i="48"/>
  <c r="F91" i="1" s="1"/>
  <c r="F66" i="48"/>
  <c r="G66" i="48" l="1"/>
  <c r="F92" i="1" s="1"/>
  <c r="E92" i="1"/>
  <c r="B5" i="13"/>
  <c r="D2" i="15"/>
  <c r="X90" i="15" l="1"/>
  <c r="X89" i="15"/>
  <c r="X88" i="15"/>
  <c r="X87" i="15"/>
  <c r="X86" i="15"/>
  <c r="X85" i="15"/>
  <c r="X84" i="15"/>
  <c r="X83" i="15"/>
  <c r="X82" i="15"/>
  <c r="X81" i="15"/>
  <c r="X80" i="15"/>
  <c r="X79" i="15"/>
  <c r="X78" i="15"/>
  <c r="X77" i="15"/>
  <c r="X76" i="15"/>
  <c r="X75" i="15"/>
  <c r="X74" i="15"/>
  <c r="X73" i="15"/>
  <c r="X72" i="15"/>
  <c r="X71" i="15"/>
  <c r="X70" i="15"/>
  <c r="X68" i="15"/>
  <c r="X67" i="15"/>
  <c r="X66" i="15"/>
  <c r="X65" i="15"/>
  <c r="X64" i="15"/>
  <c r="X63" i="15"/>
  <c r="X62" i="15"/>
  <c r="X60" i="15"/>
  <c r="X57" i="15"/>
  <c r="X56" i="15"/>
  <c r="X55" i="15"/>
  <c r="X54" i="15"/>
  <c r="X53" i="15"/>
  <c r="X52" i="15"/>
  <c r="X51" i="15"/>
  <c r="X50" i="15"/>
  <c r="X49" i="15"/>
  <c r="X48" i="15"/>
  <c r="X47" i="15"/>
  <c r="X46" i="15"/>
  <c r="X45" i="15"/>
  <c r="X44" i="15"/>
  <c r="X43" i="15"/>
  <c r="X42" i="15"/>
  <c r="X41" i="15"/>
  <c r="X40" i="15"/>
  <c r="X37" i="15"/>
  <c r="X36" i="15"/>
  <c r="X35" i="15"/>
  <c r="X34" i="15"/>
  <c r="X32" i="15"/>
  <c r="X31" i="15"/>
  <c r="X30" i="15"/>
  <c r="X29" i="15"/>
  <c r="X27" i="15"/>
  <c r="X26" i="15"/>
  <c r="X25" i="15"/>
  <c r="X24" i="15"/>
  <c r="X23" i="15"/>
  <c r="X22" i="15"/>
  <c r="X21" i="15"/>
  <c r="X20" i="15"/>
  <c r="X19" i="15"/>
  <c r="X16" i="15"/>
  <c r="X15" i="15"/>
  <c r="X14" i="15"/>
  <c r="X13" i="15"/>
  <c r="X12" i="15"/>
  <c r="X11" i="15"/>
  <c r="X10" i="15"/>
  <c r="X9" i="15"/>
  <c r="X8" i="15"/>
  <c r="X5" i="15"/>
  <c r="W90" i="15"/>
  <c r="W89" i="15"/>
  <c r="V89" i="15"/>
  <c r="W88" i="15"/>
  <c r="V88" i="15"/>
  <c r="W87" i="15"/>
  <c r="V87" i="15"/>
  <c r="W86" i="15"/>
  <c r="V86" i="15"/>
  <c r="W85" i="15"/>
  <c r="W84" i="15"/>
  <c r="V84" i="15"/>
  <c r="W83" i="15"/>
  <c r="V83" i="15"/>
  <c r="W82" i="15"/>
  <c r="V82" i="15"/>
  <c r="W81" i="15"/>
  <c r="V81" i="15"/>
  <c r="W80" i="15"/>
  <c r="W79" i="15"/>
  <c r="V79" i="15"/>
  <c r="W78" i="15"/>
  <c r="W77" i="15"/>
  <c r="V77" i="15"/>
  <c r="W76" i="15"/>
  <c r="V76" i="15"/>
  <c r="W75" i="15"/>
  <c r="V75" i="15"/>
  <c r="W74" i="15"/>
  <c r="V74" i="15"/>
  <c r="W73" i="15"/>
  <c r="V73" i="15"/>
  <c r="W72" i="15"/>
  <c r="V72" i="15"/>
  <c r="W71" i="15"/>
  <c r="V71" i="15"/>
  <c r="W70" i="15"/>
  <c r="V70" i="15"/>
  <c r="V69" i="15"/>
  <c r="W68" i="15"/>
  <c r="W67" i="15"/>
  <c r="W66" i="15"/>
  <c r="V66" i="15"/>
  <c r="W65" i="15"/>
  <c r="V65" i="15"/>
  <c r="W64" i="15"/>
  <c r="V64" i="15"/>
  <c r="W63" i="15"/>
  <c r="V63" i="15"/>
  <c r="V62" i="15"/>
  <c r="W61" i="15"/>
  <c r="W60" i="15"/>
  <c r="V60" i="15"/>
  <c r="W59" i="15"/>
  <c r="V59" i="15"/>
  <c r="W58" i="15"/>
  <c r="V58" i="15"/>
  <c r="W57" i="15"/>
  <c r="V57" i="15"/>
  <c r="W56" i="15"/>
  <c r="V56" i="15"/>
  <c r="W55" i="15"/>
  <c r="V55" i="15"/>
  <c r="W54" i="15"/>
  <c r="V54" i="15"/>
  <c r="W53" i="15"/>
  <c r="V53" i="15"/>
  <c r="W52" i="15"/>
  <c r="V52" i="15"/>
  <c r="W51" i="15"/>
  <c r="W50" i="15"/>
  <c r="V50" i="15"/>
  <c r="W49" i="15"/>
  <c r="W48" i="15"/>
  <c r="W47" i="15"/>
  <c r="W46" i="15"/>
  <c r="V46" i="15"/>
  <c r="W45" i="15"/>
  <c r="W44" i="15"/>
  <c r="V44" i="15"/>
  <c r="W43" i="15"/>
  <c r="V43" i="15"/>
  <c r="W42" i="15"/>
  <c r="W41" i="15"/>
  <c r="V41" i="15"/>
  <c r="W40" i="15"/>
  <c r="V40" i="15"/>
  <c r="W39" i="15"/>
  <c r="V39" i="15"/>
  <c r="W38" i="15"/>
  <c r="V38" i="15"/>
  <c r="W37" i="15"/>
  <c r="V37" i="15"/>
  <c r="W36" i="15"/>
  <c r="V36" i="15"/>
  <c r="W35" i="15"/>
  <c r="W34" i="15"/>
  <c r="V34" i="15"/>
  <c r="W33" i="15"/>
  <c r="W32" i="15"/>
  <c r="V32" i="15"/>
  <c r="W31" i="15"/>
  <c r="V31" i="15"/>
  <c r="W30" i="15"/>
  <c r="V29" i="15"/>
  <c r="V28" i="15"/>
  <c r="W27" i="15"/>
  <c r="V27" i="15"/>
  <c r="W26" i="15"/>
  <c r="V26" i="15"/>
  <c r="W25" i="15"/>
  <c r="W24" i="15"/>
  <c r="V24" i="15"/>
  <c r="V23" i="15"/>
  <c r="W22" i="15"/>
  <c r="V21" i="15"/>
  <c r="W20" i="15"/>
  <c r="V20" i="15"/>
  <c r="W19" i="15"/>
  <c r="V19" i="15"/>
  <c r="W18" i="15"/>
  <c r="V18" i="15"/>
  <c r="W17" i="15"/>
  <c r="V17" i="15"/>
  <c r="W16" i="15"/>
  <c r="V16" i="15"/>
  <c r="W15" i="15"/>
  <c r="V15" i="15"/>
  <c r="W14" i="15"/>
  <c r="V14" i="15"/>
  <c r="W13" i="15"/>
  <c r="V13" i="15"/>
  <c r="W12" i="15"/>
  <c r="V12" i="15"/>
  <c r="W11" i="15"/>
  <c r="V11" i="15"/>
  <c r="W9" i="15"/>
  <c r="V9" i="15"/>
  <c r="W8" i="15"/>
  <c r="V8" i="15"/>
  <c r="W7" i="15"/>
  <c r="V7" i="15"/>
  <c r="W6" i="15"/>
  <c r="V6" i="15"/>
  <c r="W5" i="15"/>
  <c r="V5" i="15"/>
  <c r="R90" i="15"/>
  <c r="R89" i="15"/>
  <c r="R88" i="15"/>
  <c r="R59" i="15"/>
  <c r="R39" i="15"/>
  <c r="R38" i="15"/>
  <c r="R33" i="15"/>
  <c r="R28" i="15"/>
  <c r="R25" i="15"/>
  <c r="R23" i="15"/>
  <c r="R22" i="15"/>
  <c r="Z59" i="15" l="1"/>
  <c r="Y59" i="15"/>
  <c r="S59" i="15"/>
  <c r="N59" i="15"/>
  <c r="O59" i="15" s="1"/>
  <c r="G59" i="15"/>
  <c r="Z39" i="15"/>
  <c r="S39" i="15"/>
  <c r="N39" i="15"/>
  <c r="O39" i="15" s="1"/>
  <c r="G39" i="15"/>
  <c r="Z30" i="15"/>
  <c r="S30" i="15"/>
  <c r="N30" i="15"/>
  <c r="G30" i="15"/>
  <c r="Z22" i="15"/>
  <c r="S22" i="15"/>
  <c r="N22" i="15"/>
  <c r="O22" i="15" s="1"/>
  <c r="G22" i="15"/>
  <c r="Z18" i="15"/>
  <c r="Y18" i="15"/>
  <c r="S18" i="15"/>
  <c r="N18" i="15"/>
  <c r="O18" i="15" s="1"/>
  <c r="G18" i="15"/>
  <c r="Z7" i="15"/>
  <c r="S7" i="15"/>
  <c r="N7" i="15"/>
  <c r="O7" i="15" s="1"/>
  <c r="G7" i="15"/>
  <c r="H7" i="15" s="1"/>
  <c r="Y7" i="15" l="1"/>
  <c r="Y39" i="15"/>
  <c r="T59" i="15"/>
  <c r="X59" i="15" s="1"/>
  <c r="T39" i="15"/>
  <c r="X39" i="15" s="1"/>
  <c r="H59" i="15"/>
  <c r="T22" i="15"/>
  <c r="V22" i="15" s="1"/>
  <c r="Y22" i="15" s="1"/>
  <c r="T18" i="15"/>
  <c r="X18" i="15" s="1"/>
  <c r="H22" i="15"/>
  <c r="H39" i="15"/>
  <c r="T30" i="15"/>
  <c r="V30" i="15" s="1"/>
  <c r="Y30" i="15" s="1"/>
  <c r="H30" i="15"/>
  <c r="O30" i="15"/>
  <c r="H18" i="15"/>
  <c r="T7" i="15"/>
  <c r="X7" i="15" s="1"/>
  <c r="D95" i="15" l="1"/>
  <c r="F48" i="15"/>
  <c r="F46" i="15"/>
  <c r="F44" i="15"/>
  <c r="F42" i="15"/>
  <c r="F41" i="15"/>
  <c r="F36" i="15"/>
  <c r="F29" i="15"/>
  <c r="F23" i="15"/>
  <c r="F70" i="15"/>
  <c r="F68" i="15"/>
  <c r="F67" i="15"/>
  <c r="F65" i="15"/>
  <c r="F62" i="15"/>
  <c r="F55" i="15"/>
  <c r="F52" i="15"/>
  <c r="F51" i="15"/>
  <c r="F88" i="15"/>
  <c r="F87" i="15"/>
  <c r="F86" i="15"/>
  <c r="F79" i="15"/>
  <c r="F74" i="15"/>
  <c r="B3" i="13" l="1"/>
  <c r="A3" i="13"/>
  <c r="A2" i="13"/>
  <c r="A1" i="13"/>
  <c r="B7" i="13"/>
  <c r="N67" i="15"/>
  <c r="N68" i="15"/>
  <c r="N43" i="15"/>
  <c r="N45" i="15"/>
  <c r="N88" i="15"/>
  <c r="N66" i="15"/>
  <c r="N48" i="15"/>
  <c r="N21" i="15"/>
  <c r="N23" i="15"/>
  <c r="N25" i="15"/>
  <c r="N19" i="15"/>
  <c r="N24" i="15"/>
  <c r="N20" i="15"/>
  <c r="N53" i="15"/>
  <c r="N27" i="15"/>
  <c r="N26" i="15"/>
  <c r="N56" i="15"/>
  <c r="N14" i="15"/>
  <c r="N89" i="15"/>
  <c r="N75" i="15"/>
  <c r="N74" i="15"/>
  <c r="N31" i="15"/>
  <c r="N13" i="15"/>
  <c r="N52" i="15"/>
  <c r="N83" i="15"/>
  <c r="N51" i="15"/>
  <c r="N90" i="15"/>
  <c r="N9" i="15"/>
  <c r="N82" i="15"/>
  <c r="N8" i="15"/>
  <c r="N46" i="15"/>
  <c r="N33" i="15"/>
  <c r="N29" i="15"/>
  <c r="N61" i="15"/>
  <c r="N32" i="15"/>
  <c r="N64" i="15"/>
  <c r="N81" i="15"/>
  <c r="N41" i="15"/>
  <c r="N78" i="15"/>
  <c r="N35" i="15"/>
  <c r="N54" i="15"/>
  <c r="N47" i="15"/>
  <c r="N34" i="15"/>
  <c r="N71" i="15"/>
  <c r="N63" i="15"/>
  <c r="N72" i="15"/>
  <c r="N10" i="15"/>
  <c r="N11" i="15"/>
  <c r="N62" i="15"/>
  <c r="N58" i="15"/>
  <c r="N70" i="15"/>
  <c r="N57" i="15"/>
  <c r="N28" i="15"/>
  <c r="N86" i="15"/>
  <c r="N69" i="15"/>
  <c r="N84" i="15"/>
  <c r="N76" i="15"/>
  <c r="N42" i="15"/>
  <c r="N5" i="15"/>
  <c r="N49" i="15"/>
  <c r="N50" i="15"/>
  <c r="N79" i="15"/>
  <c r="N12" i="15"/>
  <c r="N17" i="15"/>
  <c r="N60" i="15"/>
  <c r="N85" i="15"/>
  <c r="N36" i="15"/>
  <c r="N80" i="15"/>
  <c r="N37" i="15"/>
  <c r="N77" i="15"/>
  <c r="N73" i="15"/>
  <c r="N40" i="15"/>
  <c r="N87" i="15"/>
  <c r="N6" i="15"/>
  <c r="N65" i="15"/>
  <c r="N44" i="15"/>
  <c r="N38" i="15"/>
  <c r="N15" i="15"/>
  <c r="N55" i="15"/>
  <c r="N16" i="15"/>
  <c r="Z67" i="15" l="1"/>
  <c r="S67" i="15"/>
  <c r="O67" i="15"/>
  <c r="G67" i="15"/>
  <c r="Z68" i="15"/>
  <c r="S68" i="15"/>
  <c r="O68" i="15"/>
  <c r="G68" i="15"/>
  <c r="Z43" i="15"/>
  <c r="S43" i="15"/>
  <c r="O43" i="15"/>
  <c r="G43" i="15"/>
  <c r="Z45" i="15"/>
  <c r="S45" i="15"/>
  <c r="O45" i="15"/>
  <c r="G45" i="15"/>
  <c r="Z88" i="15"/>
  <c r="Y88" i="15"/>
  <c r="S88" i="15"/>
  <c r="O88" i="15"/>
  <c r="G88" i="15"/>
  <c r="Z66" i="15"/>
  <c r="S66" i="15"/>
  <c r="O66" i="15"/>
  <c r="G66" i="15"/>
  <c r="T66" i="15" s="1"/>
  <c r="Z48" i="15"/>
  <c r="S48" i="15"/>
  <c r="O48" i="15"/>
  <c r="G48" i="15"/>
  <c r="Z21" i="15"/>
  <c r="S21" i="15"/>
  <c r="O21" i="15"/>
  <c r="G21" i="15"/>
  <c r="Z23" i="15"/>
  <c r="S23" i="15"/>
  <c r="O23" i="15"/>
  <c r="G23" i="15"/>
  <c r="Z25" i="15"/>
  <c r="S25" i="15"/>
  <c r="O25" i="15"/>
  <c r="G25" i="15"/>
  <c r="Z19" i="15"/>
  <c r="S19" i="15"/>
  <c r="O19" i="15"/>
  <c r="G19" i="15"/>
  <c r="H19" i="15" s="1"/>
  <c r="Z24" i="15"/>
  <c r="S24" i="15"/>
  <c r="O24" i="15"/>
  <c r="G24" i="15"/>
  <c r="T24" i="15" s="1"/>
  <c r="Z20" i="15"/>
  <c r="S20" i="15"/>
  <c r="O20" i="15"/>
  <c r="G20" i="15"/>
  <c r="Z53" i="15"/>
  <c r="S53" i="15"/>
  <c r="O53" i="15"/>
  <c r="G53" i="15"/>
  <c r="H53" i="15" s="1"/>
  <c r="Z27" i="15"/>
  <c r="S27" i="15"/>
  <c r="O27" i="15"/>
  <c r="G27" i="15"/>
  <c r="H27" i="15" s="1"/>
  <c r="Z26" i="15"/>
  <c r="S26" i="15"/>
  <c r="O26" i="15"/>
  <c r="G26" i="15"/>
  <c r="T26" i="15" s="1"/>
  <c r="Z56" i="15"/>
  <c r="S56" i="15"/>
  <c r="O56" i="15"/>
  <c r="G56" i="15"/>
  <c r="Z14" i="15"/>
  <c r="S14" i="15"/>
  <c r="O14" i="15"/>
  <c r="G14" i="15"/>
  <c r="H14" i="15" s="1"/>
  <c r="Z89" i="15"/>
  <c r="S89" i="15"/>
  <c r="O89" i="15"/>
  <c r="G89" i="15"/>
  <c r="H89" i="15" s="1"/>
  <c r="Z75" i="15"/>
  <c r="S75" i="15"/>
  <c r="O75" i="15"/>
  <c r="G75" i="15"/>
  <c r="T75" i="15" s="1"/>
  <c r="Z74" i="15"/>
  <c r="S74" i="15"/>
  <c r="O74" i="15"/>
  <c r="G74" i="15"/>
  <c r="Z31" i="15"/>
  <c r="S31" i="15"/>
  <c r="O31" i="15"/>
  <c r="G31" i="15"/>
  <c r="H31" i="15" s="1"/>
  <c r="Z13" i="15"/>
  <c r="S13" i="15"/>
  <c r="O13" i="15"/>
  <c r="G13" i="15"/>
  <c r="H13" i="15" s="1"/>
  <c r="Z52" i="15"/>
  <c r="S52" i="15"/>
  <c r="O52" i="15"/>
  <c r="G52" i="15"/>
  <c r="T52" i="15" s="1"/>
  <c r="Z83" i="15"/>
  <c r="S83" i="15"/>
  <c r="O83" i="15"/>
  <c r="G83" i="15"/>
  <c r="Z51" i="15"/>
  <c r="S51" i="15"/>
  <c r="O51" i="15"/>
  <c r="G51" i="15"/>
  <c r="H51" i="15" s="1"/>
  <c r="Z90" i="15"/>
  <c r="S90" i="15"/>
  <c r="O90" i="15"/>
  <c r="G90" i="15"/>
  <c r="H90" i="15" s="1"/>
  <c r="Z9" i="15"/>
  <c r="S9" i="15"/>
  <c r="O9" i="15"/>
  <c r="G9" i="15"/>
  <c r="T9" i="15" s="1"/>
  <c r="Z82" i="15"/>
  <c r="S82" i="15"/>
  <c r="O82" i="15"/>
  <c r="G82" i="15"/>
  <c r="Z8" i="15"/>
  <c r="S8" i="15"/>
  <c r="O8" i="15"/>
  <c r="G8" i="15"/>
  <c r="H8" i="15" s="1"/>
  <c r="Z46" i="15"/>
  <c r="S46" i="15"/>
  <c r="O46" i="15"/>
  <c r="G46" i="15"/>
  <c r="H46" i="15" s="1"/>
  <c r="Z33" i="15"/>
  <c r="S33" i="15"/>
  <c r="O33" i="15"/>
  <c r="G33" i="15"/>
  <c r="Z29" i="15"/>
  <c r="S29" i="15"/>
  <c r="O29" i="15"/>
  <c r="G29" i="15"/>
  <c r="Z61" i="15"/>
  <c r="S61" i="15"/>
  <c r="O61" i="15"/>
  <c r="G61" i="15"/>
  <c r="H61" i="15" s="1"/>
  <c r="Z32" i="15"/>
  <c r="S32" i="15"/>
  <c r="O32" i="15"/>
  <c r="G32" i="15"/>
  <c r="H32" i="15" s="1"/>
  <c r="Z64" i="15"/>
  <c r="S64" i="15"/>
  <c r="O64" i="15"/>
  <c r="G64" i="15"/>
  <c r="T64" i="15" s="1"/>
  <c r="Z81" i="15"/>
  <c r="S81" i="15"/>
  <c r="O81" i="15"/>
  <c r="G81" i="15"/>
  <c r="Z41" i="15"/>
  <c r="S41" i="15"/>
  <c r="O41" i="15"/>
  <c r="G41" i="15"/>
  <c r="Z78" i="15"/>
  <c r="S78" i="15"/>
  <c r="O78" i="15"/>
  <c r="G78" i="15"/>
  <c r="Z35" i="15"/>
  <c r="S35" i="15"/>
  <c r="O35" i="15"/>
  <c r="G35" i="15"/>
  <c r="Z54" i="15"/>
  <c r="S54" i="15"/>
  <c r="O54" i="15"/>
  <c r="G54" i="15"/>
  <c r="H54" i="15" s="1"/>
  <c r="Z47" i="15"/>
  <c r="S47" i="15"/>
  <c r="O47" i="15"/>
  <c r="G47" i="15"/>
  <c r="Z34" i="15"/>
  <c r="S34" i="15"/>
  <c r="O34" i="15"/>
  <c r="G34" i="15"/>
  <c r="T34" i="15" s="1"/>
  <c r="Z71" i="15"/>
  <c r="S71" i="15"/>
  <c r="O71" i="15"/>
  <c r="G71" i="15"/>
  <c r="Z63" i="15"/>
  <c r="S63" i="15"/>
  <c r="O63" i="15"/>
  <c r="G63" i="15"/>
  <c r="T63" i="15" s="1"/>
  <c r="Z72" i="15"/>
  <c r="S72" i="15"/>
  <c r="O72" i="15"/>
  <c r="G72" i="15"/>
  <c r="T72" i="15" s="1"/>
  <c r="Z10" i="15"/>
  <c r="W10" i="15"/>
  <c r="V10" i="15"/>
  <c r="S10" i="15"/>
  <c r="O10" i="15"/>
  <c r="G10" i="15"/>
  <c r="Z11" i="15"/>
  <c r="S11" i="15"/>
  <c r="O11" i="15"/>
  <c r="G11" i="15"/>
  <c r="Z62" i="15"/>
  <c r="S62" i="15"/>
  <c r="O62" i="15"/>
  <c r="G62" i="15"/>
  <c r="H62" i="15" s="1"/>
  <c r="Z58" i="15"/>
  <c r="S58" i="15"/>
  <c r="O58" i="15"/>
  <c r="G58" i="15"/>
  <c r="Z70" i="15"/>
  <c r="S70" i="15"/>
  <c r="O70" i="15"/>
  <c r="G70" i="15"/>
  <c r="Z57" i="15"/>
  <c r="S57" i="15"/>
  <c r="O57" i="15"/>
  <c r="G57" i="15"/>
  <c r="Z28" i="15"/>
  <c r="S28" i="15"/>
  <c r="O28" i="15"/>
  <c r="G28" i="15"/>
  <c r="H28" i="15" s="1"/>
  <c r="Z86" i="15"/>
  <c r="S86" i="15"/>
  <c r="O86" i="15"/>
  <c r="G86" i="15"/>
  <c r="Z69" i="15"/>
  <c r="S69" i="15"/>
  <c r="O69" i="15"/>
  <c r="G69" i="15"/>
  <c r="Z84" i="15"/>
  <c r="S84" i="15"/>
  <c r="O84" i="15"/>
  <c r="G84" i="15"/>
  <c r="Z76" i="15"/>
  <c r="S76" i="15"/>
  <c r="O76" i="15"/>
  <c r="G76" i="15"/>
  <c r="T76" i="15" s="1"/>
  <c r="Z42" i="15"/>
  <c r="S42" i="15"/>
  <c r="O42" i="15"/>
  <c r="G42" i="15"/>
  <c r="Z5" i="15"/>
  <c r="S5" i="15"/>
  <c r="O5" i="15"/>
  <c r="G5" i="15"/>
  <c r="Z49" i="15"/>
  <c r="S49" i="15"/>
  <c r="O49" i="15"/>
  <c r="G49" i="15"/>
  <c r="Z50" i="15"/>
  <c r="S50" i="15"/>
  <c r="O50" i="15"/>
  <c r="G50" i="15"/>
  <c r="T50" i="15" s="1"/>
  <c r="Z79" i="15"/>
  <c r="S79" i="15"/>
  <c r="O79" i="15"/>
  <c r="G79" i="15"/>
  <c r="H79" i="15" s="1"/>
  <c r="Z12" i="15"/>
  <c r="S12" i="15"/>
  <c r="O12" i="15"/>
  <c r="G12" i="15"/>
  <c r="H12" i="15" s="1"/>
  <c r="Z17" i="15"/>
  <c r="Y17" i="15"/>
  <c r="S17" i="15"/>
  <c r="O17" i="15"/>
  <c r="G17" i="15"/>
  <c r="Z60" i="15"/>
  <c r="S60" i="15"/>
  <c r="O60" i="15"/>
  <c r="G60" i="15"/>
  <c r="T60" i="15" s="1"/>
  <c r="Z85" i="15"/>
  <c r="S85" i="15"/>
  <c r="O85" i="15"/>
  <c r="G85" i="15"/>
  <c r="H85" i="15" s="1"/>
  <c r="Z36" i="15"/>
  <c r="S36" i="15"/>
  <c r="O36" i="15"/>
  <c r="G36" i="15"/>
  <c r="H36" i="15" s="1"/>
  <c r="Z80" i="15"/>
  <c r="S80" i="15"/>
  <c r="O80" i="15"/>
  <c r="G80" i="15"/>
  <c r="Z37" i="15"/>
  <c r="S37" i="15"/>
  <c r="O37" i="15"/>
  <c r="G37" i="15"/>
  <c r="Z77" i="15"/>
  <c r="S77" i="15"/>
  <c r="O77" i="15"/>
  <c r="G77" i="15"/>
  <c r="T77" i="15" s="1"/>
  <c r="Z73" i="15"/>
  <c r="S73" i="15"/>
  <c r="O73" i="15"/>
  <c r="G73" i="15"/>
  <c r="T73" i="15" s="1"/>
  <c r="Z16" i="15"/>
  <c r="S16" i="15"/>
  <c r="O16" i="15"/>
  <c r="T16" i="15" s="1"/>
  <c r="G16" i="15"/>
  <c r="Z40" i="15"/>
  <c r="S40" i="15"/>
  <c r="O40" i="15"/>
  <c r="G40" i="15"/>
  <c r="T40" i="15" s="1"/>
  <c r="Z87" i="15"/>
  <c r="S87" i="15"/>
  <c r="O87" i="15"/>
  <c r="G87" i="15"/>
  <c r="H87" i="15" s="1"/>
  <c r="Z6" i="15"/>
  <c r="S6" i="15"/>
  <c r="O6" i="15"/>
  <c r="G6" i="15"/>
  <c r="H6" i="15" s="1"/>
  <c r="Z65" i="15"/>
  <c r="S65" i="15"/>
  <c r="O65" i="15"/>
  <c r="G65" i="15"/>
  <c r="Z44" i="15"/>
  <c r="S44" i="15"/>
  <c r="O44" i="15"/>
  <c r="G44" i="15"/>
  <c r="T44" i="15" s="1"/>
  <c r="Z38" i="15"/>
  <c r="S38" i="15"/>
  <c r="O38" i="15"/>
  <c r="G38" i="15"/>
  <c r="H38" i="15" s="1"/>
  <c r="Z15" i="15"/>
  <c r="S15" i="15"/>
  <c r="O15" i="15"/>
  <c r="G15" i="15"/>
  <c r="H15" i="15" s="1"/>
  <c r="Z55" i="15"/>
  <c r="S55" i="15"/>
  <c r="O55" i="15"/>
  <c r="G55" i="15"/>
  <c r="J3" i="15"/>
  <c r="I3" i="15"/>
  <c r="F20" i="13"/>
  <c r="F21" i="13" s="1"/>
  <c r="F22" i="13" s="1"/>
  <c r="A20" i="13"/>
  <c r="A21" i="13" s="1"/>
  <c r="A22" i="13" s="1"/>
  <c r="D42" i="3"/>
  <c r="D39" i="3"/>
  <c r="D35" i="3"/>
  <c r="A10" i="3"/>
  <c r="G35" i="1"/>
  <c r="G34" i="1"/>
  <c r="E146" i="1"/>
  <c r="G32" i="1"/>
  <c r="G29" i="1"/>
  <c r="D78" i="1"/>
  <c r="D77" i="1"/>
  <c r="D76" i="1"/>
  <c r="G28" i="1"/>
  <c r="E67" i="1"/>
  <c r="G27" i="1"/>
  <c r="E36" i="1"/>
  <c r="G33" i="1"/>
  <c r="G31" i="1" l="1"/>
  <c r="Y26" i="15"/>
  <c r="Y14" i="15"/>
  <c r="Y53" i="15"/>
  <c r="Y57" i="15"/>
  <c r="Y34" i="15"/>
  <c r="Y64" i="15"/>
  <c r="Y87" i="15"/>
  <c r="Y73" i="15"/>
  <c r="Y54" i="15"/>
  <c r="Y82" i="15"/>
  <c r="Y79" i="15"/>
  <c r="Y86" i="15"/>
  <c r="Y41" i="15"/>
  <c r="Y43" i="15"/>
  <c r="Y65" i="15"/>
  <c r="Y84" i="15"/>
  <c r="Y58" i="15"/>
  <c r="Y11" i="15"/>
  <c r="Y72" i="15"/>
  <c r="Y75" i="15"/>
  <c r="Y83" i="15"/>
  <c r="Y13" i="15"/>
  <c r="Y19" i="15"/>
  <c r="Y38" i="15"/>
  <c r="Y66" i="15"/>
  <c r="Y15" i="15"/>
  <c r="Y40" i="15"/>
  <c r="Y77" i="15"/>
  <c r="Y36" i="15"/>
  <c r="Y12" i="15"/>
  <c r="Y5" i="15"/>
  <c r="Y70" i="15"/>
  <c r="Y10" i="15"/>
  <c r="Y32" i="15"/>
  <c r="Y9" i="15"/>
  <c r="Y52" i="15"/>
  <c r="Y56" i="15"/>
  <c r="Y20" i="15"/>
  <c r="Y16" i="15"/>
  <c r="Y44" i="15"/>
  <c r="Y60" i="15"/>
  <c r="Y50" i="15"/>
  <c r="Y76" i="15"/>
  <c r="Y71" i="15"/>
  <c r="Y81" i="15"/>
  <c r="Y8" i="15"/>
  <c r="Y31" i="15"/>
  <c r="Y89" i="15"/>
  <c r="Y27" i="15"/>
  <c r="T45" i="15"/>
  <c r="V45" i="15" s="1"/>
  <c r="Y45" i="15" s="1"/>
  <c r="T42" i="15"/>
  <c r="V42" i="15" s="1"/>
  <c r="Y42" i="15" s="1"/>
  <c r="T88" i="15"/>
  <c r="T67" i="15"/>
  <c r="V67" i="15" s="1"/>
  <c r="Y67" i="15" s="1"/>
  <c r="T58" i="15"/>
  <c r="X58" i="15" s="1"/>
  <c r="T78" i="15"/>
  <c r="V78" i="15" s="1"/>
  <c r="Y78" i="15" s="1"/>
  <c r="T47" i="15"/>
  <c r="V47" i="15" s="1"/>
  <c r="Y47" i="15" s="1"/>
  <c r="T68" i="15"/>
  <c r="V68" i="15" s="1"/>
  <c r="Y68" i="15" s="1"/>
  <c r="T80" i="15"/>
  <c r="V80" i="15" s="1"/>
  <c r="Y80" i="15" s="1"/>
  <c r="T49" i="15"/>
  <c r="V49" i="15" s="1"/>
  <c r="Y49" i="15" s="1"/>
  <c r="T21" i="15"/>
  <c r="W21" i="15" s="1"/>
  <c r="Y21" i="15" s="1"/>
  <c r="T33" i="15"/>
  <c r="T17" i="15"/>
  <c r="X17" i="15" s="1"/>
  <c r="T11" i="15"/>
  <c r="D79" i="1"/>
  <c r="F46" i="1"/>
  <c r="H5" i="15"/>
  <c r="D96" i="15"/>
  <c r="D97" i="15"/>
  <c r="B9" i="13"/>
  <c r="B8" i="13"/>
  <c r="T41" i="15"/>
  <c r="T57" i="15"/>
  <c r="H58" i="15"/>
  <c r="H47" i="15"/>
  <c r="H41" i="15"/>
  <c r="H57" i="15"/>
  <c r="H63" i="15"/>
  <c r="T37" i="15"/>
  <c r="Y37" i="15" s="1"/>
  <c r="T87" i="15"/>
  <c r="T55" i="15"/>
  <c r="H21" i="15"/>
  <c r="H73" i="15"/>
  <c r="H77" i="15"/>
  <c r="H42" i="15"/>
  <c r="H67" i="15"/>
  <c r="T62" i="15"/>
  <c r="W62" i="15" s="1"/>
  <c r="Y62" i="15" s="1"/>
  <c r="H88" i="15"/>
  <c r="H45" i="15"/>
  <c r="Z3" i="15"/>
  <c r="AA59" i="15" s="1"/>
  <c r="T54" i="15"/>
  <c r="T32" i="15"/>
  <c r="T46" i="15"/>
  <c r="Y46" i="15" s="1"/>
  <c r="T90" i="15"/>
  <c r="V90" i="15" s="1"/>
  <c r="Y90" i="15" s="1"/>
  <c r="T13" i="15"/>
  <c r="T38" i="15"/>
  <c r="X38" i="15" s="1"/>
  <c r="T6" i="15"/>
  <c r="X6" i="15" s="1"/>
  <c r="T36" i="15"/>
  <c r="T12" i="15"/>
  <c r="T5" i="15"/>
  <c r="T86" i="15"/>
  <c r="T28" i="15"/>
  <c r="H11" i="15"/>
  <c r="T61" i="15"/>
  <c r="T8" i="15"/>
  <c r="T51" i="15"/>
  <c r="V51" i="15" s="1"/>
  <c r="Y51" i="15" s="1"/>
  <c r="T31" i="15"/>
  <c r="T89" i="15"/>
  <c r="T27" i="15"/>
  <c r="T85" i="15"/>
  <c r="V85" i="15" s="1"/>
  <c r="Y85" i="15" s="1"/>
  <c r="T79" i="15"/>
  <c r="H86" i="15"/>
  <c r="T14" i="15"/>
  <c r="T53" i="15"/>
  <c r="T19" i="15"/>
  <c r="T23" i="15"/>
  <c r="W23" i="15" s="1"/>
  <c r="Y23" i="15" s="1"/>
  <c r="T84" i="15"/>
  <c r="T35" i="15"/>
  <c r="V35" i="15" s="1"/>
  <c r="H35" i="15"/>
  <c r="T81" i="15"/>
  <c r="H81" i="15"/>
  <c r="H55" i="15"/>
  <c r="H44" i="15"/>
  <c r="H40" i="15"/>
  <c r="H37" i="15"/>
  <c r="H60" i="15"/>
  <c r="H50" i="15"/>
  <c r="H76" i="15"/>
  <c r="T10" i="15"/>
  <c r="H10" i="15"/>
  <c r="T29" i="15"/>
  <c r="W29" i="15" s="1"/>
  <c r="Y29" i="15" s="1"/>
  <c r="H29" i="15"/>
  <c r="T56" i="15"/>
  <c r="H56" i="15"/>
  <c r="H65" i="15"/>
  <c r="H16" i="15"/>
  <c r="H80" i="15"/>
  <c r="H17" i="15"/>
  <c r="H49" i="15"/>
  <c r="H84" i="15"/>
  <c r="T69" i="15"/>
  <c r="H69" i="15"/>
  <c r="T70" i="15"/>
  <c r="H70" i="15"/>
  <c r="T82" i="15"/>
  <c r="H82" i="15"/>
  <c r="T20" i="15"/>
  <c r="H20" i="15"/>
  <c r="T74" i="15"/>
  <c r="Y74" i="15" s="1"/>
  <c r="H74" i="15"/>
  <c r="T43" i="15"/>
  <c r="H43" i="15"/>
  <c r="T71" i="15"/>
  <c r="H71" i="15"/>
  <c r="T83" i="15"/>
  <c r="H83" i="15"/>
  <c r="T25" i="15"/>
  <c r="V25" i="15" s="1"/>
  <c r="Y25" i="15" s="1"/>
  <c r="H25" i="15"/>
  <c r="T48" i="15"/>
  <c r="V48" i="15" s="1"/>
  <c r="Y48" i="15" s="1"/>
  <c r="H48" i="15"/>
  <c r="H72" i="15"/>
  <c r="H34" i="15"/>
  <c r="H78" i="15"/>
  <c r="H64" i="15"/>
  <c r="H33" i="15"/>
  <c r="H9" i="15"/>
  <c r="H52" i="15"/>
  <c r="H75" i="15"/>
  <c r="H26" i="15"/>
  <c r="H24" i="15"/>
  <c r="H23" i="15"/>
  <c r="H66" i="15"/>
  <c r="H68" i="15"/>
  <c r="X61" i="15" l="1"/>
  <c r="V61" i="15"/>
  <c r="Y61" i="15" s="1"/>
  <c r="X28" i="15"/>
  <c r="W28" i="15"/>
  <c r="Y28" i="15" s="1"/>
  <c r="X69" i="15"/>
  <c r="W69" i="15"/>
  <c r="Y69" i="15" s="1"/>
  <c r="X33" i="15"/>
  <c r="V33" i="15"/>
  <c r="Y33" i="15" s="1"/>
  <c r="Y35" i="15"/>
  <c r="Y6" i="15"/>
  <c r="Y63" i="15"/>
  <c r="Y24" i="15"/>
  <c r="AA30" i="15"/>
  <c r="AA39" i="15"/>
  <c r="AA18" i="15"/>
  <c r="AA22" i="15"/>
  <c r="E95" i="15"/>
  <c r="AA7" i="15"/>
  <c r="E97" i="15"/>
  <c r="E96" i="15"/>
  <c r="D99" i="15"/>
  <c r="D98" i="15"/>
  <c r="AA68" i="15"/>
  <c r="AA66" i="15"/>
  <c r="AA25" i="15"/>
  <c r="AA53" i="15"/>
  <c r="AA14" i="15"/>
  <c r="AA31" i="15"/>
  <c r="AA51" i="15"/>
  <c r="AA8" i="15"/>
  <c r="AA61" i="15"/>
  <c r="AA41" i="15"/>
  <c r="AA47" i="15"/>
  <c r="AA72" i="15"/>
  <c r="AA58" i="15"/>
  <c r="AA86" i="15"/>
  <c r="AA42" i="15"/>
  <c r="AA79" i="15"/>
  <c r="AA85" i="15"/>
  <c r="AA77" i="15"/>
  <c r="AA87" i="15"/>
  <c r="AA38" i="15"/>
  <c r="AA45" i="15"/>
  <c r="AA24" i="15"/>
  <c r="AA52" i="15"/>
  <c r="AA33" i="15"/>
  <c r="AA35" i="15"/>
  <c r="AA11" i="15"/>
  <c r="AA57" i="15"/>
  <c r="AA49" i="15"/>
  <c r="AA80" i="15"/>
  <c r="AA16" i="15"/>
  <c r="AA67" i="15"/>
  <c r="AA23" i="15"/>
  <c r="AA56" i="15"/>
  <c r="AA83" i="15"/>
  <c r="AA43" i="15"/>
  <c r="AA48" i="15"/>
  <c r="AA19" i="15"/>
  <c r="AA27" i="15"/>
  <c r="AA89" i="15"/>
  <c r="AA13" i="15"/>
  <c r="AA90" i="15"/>
  <c r="AA46" i="15"/>
  <c r="AA32" i="15"/>
  <c r="AA78" i="15"/>
  <c r="AA34" i="15"/>
  <c r="AA10" i="15"/>
  <c r="AA70" i="15"/>
  <c r="AA69" i="15"/>
  <c r="AA5" i="15"/>
  <c r="AB5" i="15" s="1"/>
  <c r="AA12" i="15"/>
  <c r="AA36" i="15"/>
  <c r="AA73" i="15"/>
  <c r="AA6" i="15"/>
  <c r="AA21" i="15"/>
  <c r="AA26" i="15"/>
  <c r="AA75" i="15"/>
  <c r="AA9" i="15"/>
  <c r="AA64" i="15"/>
  <c r="AA71" i="15"/>
  <c r="AA84" i="15"/>
  <c r="AA17" i="15"/>
  <c r="AA65" i="15"/>
  <c r="AA88" i="15"/>
  <c r="AA20" i="15"/>
  <c r="AA74" i="15"/>
  <c r="AA82" i="15"/>
  <c r="AA29" i="15"/>
  <c r="AA81" i="15"/>
  <c r="AA54" i="15"/>
  <c r="AA63" i="15"/>
  <c r="AA62" i="15"/>
  <c r="AA28" i="15"/>
  <c r="AA76" i="15"/>
  <c r="AA50" i="15"/>
  <c r="AA60" i="15"/>
  <c r="AA37" i="15"/>
  <c r="AA40" i="15"/>
  <c r="AA44" i="15"/>
  <c r="C7" i="13"/>
  <c r="AA15" i="15"/>
  <c r="AA55" i="15"/>
  <c r="C9" i="13"/>
  <c r="E22" i="13" s="1"/>
  <c r="C8" i="13" l="1"/>
  <c r="Y55" i="15"/>
  <c r="Y3" i="15" s="1"/>
  <c r="F97" i="15"/>
  <c r="E99" i="15"/>
  <c r="E98" i="15"/>
  <c r="F96" i="15"/>
  <c r="B10" i="13"/>
  <c r="B11" i="13"/>
  <c r="D9" i="13"/>
  <c r="D21" i="13" l="1"/>
  <c r="D8" i="13"/>
  <c r="C11" i="13"/>
  <c r="C10" i="13"/>
  <c r="D10" i="13" s="1"/>
  <c r="F99" i="15"/>
  <c r="F98" i="15"/>
  <c r="AB6" i="15"/>
  <c r="AB7" i="15" s="1"/>
  <c r="AB8" i="15" s="1"/>
  <c r="AB9" i="15" s="1"/>
  <c r="AB10" i="15" s="1"/>
  <c r="AB11" i="15" s="1"/>
  <c r="AB12" i="15" s="1"/>
  <c r="AB13" i="15" s="1"/>
  <c r="AB14" i="15" s="1"/>
  <c r="AB15" i="15" s="1"/>
  <c r="AB16" i="15" s="1"/>
  <c r="AB17" i="15" s="1"/>
  <c r="AB18" i="15" s="1"/>
  <c r="AB19" i="15" s="1"/>
  <c r="AB20" i="15" s="1"/>
  <c r="AB21" i="15" s="1"/>
  <c r="AB22" i="15" s="1"/>
  <c r="AB23" i="15" s="1"/>
  <c r="AB24" i="15" s="1"/>
  <c r="AB25" i="15" s="1"/>
  <c r="AB26" i="15" s="1"/>
  <c r="AB27" i="15" s="1"/>
  <c r="AB28" i="15" s="1"/>
  <c r="AB29" i="15" s="1"/>
  <c r="AB30" i="15" s="1"/>
  <c r="AB31" i="15" s="1"/>
  <c r="AB32" i="15" s="1"/>
  <c r="AB33" i="15" s="1"/>
  <c r="AB34" i="15" s="1"/>
  <c r="AB35" i="15" s="1"/>
  <c r="AB36" i="15" s="1"/>
  <c r="AB37" i="15" s="1"/>
  <c r="AB38" i="15" s="1"/>
  <c r="AB39" i="15" s="1"/>
  <c r="AB40" i="15" s="1"/>
  <c r="AB41" i="15" s="1"/>
  <c r="AB42" i="15" s="1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77" i="15" s="1"/>
  <c r="AB78" i="15" s="1"/>
  <c r="AB79" i="15" s="1"/>
  <c r="AB80" i="15" s="1"/>
  <c r="AB81" i="15" s="1"/>
  <c r="AB82" i="15" s="1"/>
  <c r="AB83" i="15" s="1"/>
  <c r="AB84" i="15" s="1"/>
  <c r="AB85" i="15" s="1"/>
  <c r="AB86" i="15" s="1"/>
  <c r="AB87" i="15" s="1"/>
  <c r="AB88" i="15" s="1"/>
  <c r="AB89" i="15" s="1"/>
  <c r="AB90" i="15" s="1"/>
  <c r="E20" i="13" l="1"/>
  <c r="D11" i="13"/>
  <c r="F94" i="1" s="1"/>
  <c r="F30" i="1" s="1"/>
  <c r="D20" i="13"/>
  <c r="G30" i="1" l="1"/>
  <c r="G36" i="1" s="1"/>
  <c r="C13" i="3" s="1"/>
  <c r="C16" i="3" l="1"/>
  <c r="C18" i="3" s="1"/>
  <c r="C29" i="3"/>
  <c r="B31" i="3" s="1"/>
  <c r="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Fernández</author>
  </authors>
  <commentList>
    <comment ref="B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Se lee en de a 2-3-2</t>
        </r>
      </text>
    </comment>
    <comment ref="P4" authorId="0" shapeId="0" xr:uid="{00000000-0006-0000-0B00-000002000000}">
      <text>
        <r>
          <rPr>
            <b/>
            <u/>
            <sz val="9"/>
            <color indexed="81"/>
            <rFont val="Tahoma"/>
            <family val="2"/>
          </rPr>
          <t>Auditoria Interna: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Canje
Ajustar
Recontar
Verificar (ver en sist)
Sin Acción
</t>
        </r>
      </text>
    </comment>
    <comment ref="U4" authorId="0" shapeId="0" xr:uid="{00000000-0006-0000-0B00-000003000000}">
      <text>
        <r>
          <rPr>
            <b/>
            <u/>
            <sz val="9"/>
            <color indexed="81"/>
            <rFont val="Tahoma"/>
            <family val="2"/>
          </rPr>
          <t>Auditoria Interna: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Sobrante
Faltante
Canje
-</t>
        </r>
      </text>
    </comment>
    <comment ref="R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Lucas Fernándeze: En un 1er recuento se contaron 19, luego se hizo un 2do recuento contandose 22.</t>
        </r>
      </text>
    </comment>
    <comment ref="T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Ver justificación agregada en hoja "Justificaciones"</t>
        </r>
      </text>
    </comment>
    <comment ref="R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En un 2do receunto se contaron 15</t>
        </r>
      </text>
    </comment>
    <comment ref="K28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Se corrige justificación</t>
        </r>
      </text>
    </comment>
    <comment ref="I83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D-09-07-E03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Fernández</author>
  </authors>
  <commentList>
    <comment ref="B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Lucas Fernández:</t>
        </r>
        <r>
          <rPr>
            <sz val="9"/>
            <color indexed="81"/>
            <rFont val="Tahoma"/>
            <family val="2"/>
          </rPr>
          <t xml:space="preserve">
Se lee en de a 2-3-2</t>
        </r>
      </text>
    </comment>
    <comment ref="H4" authorId="0" shapeId="0" xr:uid="{00000000-0006-0000-0C00-000002000000}">
      <text>
        <r>
          <rPr>
            <b/>
            <u/>
            <sz val="9"/>
            <color indexed="81"/>
            <rFont val="Tahoma"/>
            <family val="2"/>
          </rPr>
          <t>Auditoria Interna: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Canje
Ajustar
Recontar
Verificar (ver en sist)
Sin Acción
</t>
        </r>
      </text>
    </comment>
  </commentList>
</comments>
</file>

<file path=xl/sharedStrings.xml><?xml version="1.0" encoding="utf-8"?>
<sst xmlns="http://schemas.openxmlformats.org/spreadsheetml/2006/main" count="20977" uniqueCount="8386">
  <si>
    <t>Detalle</t>
  </si>
  <si>
    <t>Nro.</t>
  </si>
  <si>
    <t>Fecha</t>
  </si>
  <si>
    <t>Importe</t>
  </si>
  <si>
    <t>Tablero de Resultados</t>
  </si>
  <si>
    <t>NO MODIFICAR, TIENE FORMULAS</t>
  </si>
  <si>
    <t>Calificación</t>
  </si>
  <si>
    <t>SAT</t>
  </si>
  <si>
    <t>Satisfactorio</t>
  </si>
  <si>
    <t>ADE</t>
  </si>
  <si>
    <t>Adecuado</t>
  </si>
  <si>
    <t>SUJ</t>
  </si>
  <si>
    <t>Sujeto a mejora</t>
  </si>
  <si>
    <t>NAD</t>
  </si>
  <si>
    <t>No adecuado</t>
  </si>
  <si>
    <t>INS</t>
  </si>
  <si>
    <t>Insatisfactorio</t>
  </si>
  <si>
    <t>TOTAL</t>
  </si>
  <si>
    <t>Valor</t>
  </si>
  <si>
    <t>Antes</t>
  </si>
  <si>
    <t>Puntero</t>
  </si>
  <si>
    <t>Después</t>
  </si>
  <si>
    <t>Detalle de la calificación:</t>
  </si>
  <si>
    <t>Min</t>
  </si>
  <si>
    <t>Abrev.</t>
  </si>
  <si>
    <t>Definición</t>
  </si>
  <si>
    <t>No existen desvíos, o si existen estos son escasos y no significativos.</t>
  </si>
  <si>
    <t>Los desvíos requieren de seguimiento por parte del sector para evitar su reincidencia.</t>
  </si>
  <si>
    <t>Suficiente cantidad de desvíos significativos que requieren de acciones correctivas.</t>
  </si>
  <si>
    <t>Numerosos e importantes devíos que requieren de acción inmediata.</t>
  </si>
  <si>
    <t>Numerosos e importantes devíos que requieren de medidas.</t>
  </si>
  <si>
    <t>Sucursal:</t>
  </si>
  <si>
    <t>← Se puede agregar más comentarios aquí</t>
  </si>
  <si>
    <t>(*)</t>
  </si>
  <si>
    <t>Casa Central Jujuy</t>
  </si>
  <si>
    <t>Fecha de realización:</t>
  </si>
  <si>
    <t>Ponderación</t>
  </si>
  <si>
    <t>% Cumplimiento</t>
  </si>
  <si>
    <t>Resultado final</t>
  </si>
  <si>
    <t>Descripción</t>
  </si>
  <si>
    <t>NC</t>
  </si>
  <si>
    <t>SC</t>
  </si>
  <si>
    <t>Billeteo</t>
  </si>
  <si>
    <t>Vales a rendir</t>
  </si>
  <si>
    <t>(*) Se puede agregar más detalle con referencia a la fila.</t>
  </si>
  <si>
    <t>Del cual, según la siguiente escala, el grado de cumplimiento del billeteo es de:</t>
  </si>
  <si>
    <t>Grado de cumplim.</t>
  </si>
  <si>
    <t>Comprobante</t>
  </si>
  <si>
    <t>CONFIGURACIÓN DEL GRÁFICO:</t>
  </si>
  <si>
    <t>** Calificación para los rangos del gráfico:</t>
  </si>
  <si>
    <t>** Valor para la aguja del velocimetro:</t>
  </si>
  <si>
    <t>** Parametros para la calificación textual:</t>
  </si>
  <si>
    <t>→</t>
  </si>
  <si>
    <t>CONFIGURACIÓN DEL TEXTO DE LA CALIFICACIÓN:</t>
  </si>
  <si>
    <t>CONFIGURACIÓN PARA LAS TARJETAS QUE CONTIENEN TEXTO:</t>
  </si>
  <si>
    <t>** Tarjeta 1: Lugar</t>
  </si>
  <si>
    <t>** Tarjeta 3: Fecha de realización arqueo</t>
  </si>
  <si>
    <t>** Parametros para el tamaño de la aguja:</t>
  </si>
  <si>
    <t>CONFIGURACIÓN PARA HOJA DE: "TESORERÍAS Y TARTAGAL"</t>
  </si>
  <si>
    <t>→ Lista desplegable para las sucursales:</t>
  </si>
  <si>
    <t>Sucursal Salta</t>
  </si>
  <si>
    <t>Control Integral de Depósito</t>
  </si>
  <si>
    <t>Entradas</t>
  </si>
  <si>
    <t>Stock</t>
  </si>
  <si>
    <t>Salidas</t>
  </si>
  <si>
    <t>1. Transf. Pend. de Recepción</t>
  </si>
  <si>
    <t>2. Pendientes de Crédito</t>
  </si>
  <si>
    <t>3. Remito de Compras</t>
  </si>
  <si>
    <t>4. Rdo. Inv. Rotativo</t>
  </si>
  <si>
    <t>5. Locación</t>
  </si>
  <si>
    <t>6. Estado de Art.</t>
  </si>
  <si>
    <t>7. Remitos Pend. De Facturación</t>
  </si>
  <si>
    <t>8. Ventas Internas Directas</t>
  </si>
  <si>
    <t>9. Transf. Pend. De Entrega</t>
  </si>
  <si>
    <t>Tablero de Resultados - Control Integral de Depósito</t>
  </si>
  <si>
    <t>Etapas</t>
  </si>
  <si>
    <t>Parámetros</t>
  </si>
  <si>
    <t>Detalle de Desvíos:</t>
  </si>
  <si>
    <t>INDICADORES</t>
  </si>
  <si>
    <t>CONTROL DE DEPÓSITO</t>
  </si>
  <si>
    <t>Categoría</t>
  </si>
  <si>
    <t>Características</t>
  </si>
  <si>
    <r>
      <rPr>
        <u/>
        <sz val="11"/>
        <color theme="1"/>
        <rFont val="Calibri"/>
        <family val="2"/>
        <scheme val="minor"/>
      </rPr>
      <t>Periódo</t>
    </r>
    <r>
      <rPr>
        <sz val="11"/>
        <color theme="1"/>
        <rFont val="Calibri"/>
        <family val="2"/>
        <scheme val="minor"/>
      </rPr>
      <t>: Actual</t>
    </r>
  </si>
  <si>
    <t>Corresponde al momento en el que realizamos el control en depósito</t>
  </si>
  <si>
    <r>
      <rPr>
        <u/>
        <sz val="11"/>
        <color theme="1"/>
        <rFont val="Calibri"/>
        <family val="2"/>
        <scheme val="minor"/>
      </rPr>
      <t>Alcance</t>
    </r>
    <r>
      <rPr>
        <sz val="11"/>
        <color theme="1"/>
        <rFont val="Calibri"/>
        <family val="2"/>
        <scheme val="minor"/>
      </rPr>
      <t>: Muestreo</t>
    </r>
  </si>
  <si>
    <t>Tanto el control de documentación como el inventario físico de mercaderías se basará en una muestra elegida, previo análisis del stock y corte de documentación.</t>
  </si>
  <si>
    <t>Referencias</t>
  </si>
  <si>
    <t>Si Cumple</t>
  </si>
  <si>
    <t>PC</t>
  </si>
  <si>
    <t>Parcialmente Cumple</t>
  </si>
  <si>
    <t>No Cumple</t>
  </si>
  <si>
    <t>PARÁMETROS A CONSIDERAR</t>
  </si>
  <si>
    <t>ENTRADA DE MERCADERÍAS</t>
  </si>
  <si>
    <t xml:space="preserve">Transferencias Pendientes de Recepción </t>
  </si>
  <si>
    <t>Evaluar la antigüedad de la transferencia pendiente, en función de la distancia existente entre sucursales.</t>
  </si>
  <si>
    <t>Transferencias que no superen el plazo previsto de antigüedad, definido por distancia entre sucursales.</t>
  </si>
  <si>
    <t>Transferencias que superan el plazo previsto de antigüedad, autorizadas o con una gestíon especial.</t>
  </si>
  <si>
    <t>Transferencias que superan el plazo previsto de antigüedad.</t>
  </si>
  <si>
    <t>Distancias</t>
  </si>
  <si>
    <t>Plazo- Hasta:</t>
  </si>
  <si>
    <t>Entre sucursales de una misma locaclidad</t>
  </si>
  <si>
    <t>2 días</t>
  </si>
  <si>
    <t>Entre sucursales de Salta - Jujuy</t>
  </si>
  <si>
    <t>Viajes al interior</t>
  </si>
  <si>
    <t>3 días</t>
  </si>
  <si>
    <t>Pendientes de Crédito</t>
  </si>
  <si>
    <t>Analizar que los repuestos pendientes de crédito cuenten con sus reclamos respectivos.</t>
  </si>
  <si>
    <t>Todos los pendientes de crédito cuentan con sus respectivos reclamos</t>
  </si>
  <si>
    <t>Al menos un repuesto pendiente de crédito no cuenta con reclamo.</t>
  </si>
  <si>
    <t>Remitos de proveedores</t>
  </si>
  <si>
    <t>Verificar los remitos recepcionados no superen el plazo de 48 hs, de forma tal que la mercaderia recibida se convierta en inventario registrado.</t>
  </si>
  <si>
    <t>Remitos recepcionados e ingresados en sistema en un plazo de 48 horas.</t>
  </si>
  <si>
    <t>Remitos pendientes de recepción que superan el plazo previsto de 48 horas, autorizados.</t>
  </si>
  <si>
    <t>Remitos pendientes de recepción que superan el plazo previsto de 48 horas.</t>
  </si>
  <si>
    <t>STOCK DE MERCADERÍAS</t>
  </si>
  <si>
    <t>Rdo. Inv. Rotativo</t>
  </si>
  <si>
    <t>Calificar la diferencia absoluta del resultado final del inventario rotativo, que refleja la correcta gestión en el manejo del stock.</t>
  </si>
  <si>
    <t xml:space="preserve">Diferencia absoluta &lt; 1% </t>
  </si>
  <si>
    <t>Diferencia absoluta &gt; 1% y &lt; 2%</t>
  </si>
  <si>
    <t>Diferencia absoluta &gt; 2%</t>
  </si>
  <si>
    <t>Locación</t>
  </si>
  <si>
    <t>Verificar que la locación prevista en sistema coincida con la ubicación física de los artículos.</t>
  </si>
  <si>
    <t>Desvíos en la señalización y localización de los artículos de hasta el 1% del total de la muestra- Ejemplo: 2 artículos mal locados sobre un total de 200</t>
  </si>
  <si>
    <t>Desvíos en la señalización y localización de los artículos de hasta el 3% del total de la muestra- Ejemplo: 6 artículos mal locados sobre un total de 200</t>
  </si>
  <si>
    <t>Desvíos en la señalización y localización de los artículos mayor al  3% del total de la muestra</t>
  </si>
  <si>
    <t>Estado de Art.</t>
  </si>
  <si>
    <t>Verificar que los artículos no se encuentren en calidad defectuosa que le impidan su comercialización.</t>
  </si>
  <si>
    <t>Desvíos en la calidad de los artículos de hasta el 0% del total de la muestra- Ejemplo: 0 artículos defecuosos sobre un total de 200.</t>
  </si>
  <si>
    <t>Desvíos en la calidad de los artículos de hasta el 1% del total de la muestra- Ejemplo: 2 artículos defecuosos sobre un total de 200.</t>
  </si>
  <si>
    <t>Desvíos en la calidad de los artículos mayor al 1% del total de la muestra</t>
  </si>
  <si>
    <t>SALIDAS DE MERCADERÍAS</t>
  </si>
  <si>
    <t>Remitos Pend. De Facturación</t>
  </si>
  <si>
    <t>Verificar que las salidas de artículos estén autorizadas. (no más de 48hs,)</t>
  </si>
  <si>
    <t>Remito pendiente de facturación, autorizado.</t>
  </si>
  <si>
    <t>-</t>
  </si>
  <si>
    <t>Remito pendiente de facturación, sin autorización.</t>
  </si>
  <si>
    <t>Ventas Internas Directas</t>
  </si>
  <si>
    <t>Verificar el esquema de autorizaciones sobre cortesías y ventas de insumos a taller, tanto de quien los recibe los artículos y el jefe de Área que autoriza las salidas (puede ser por email).</t>
  </si>
  <si>
    <t>Vales firmados, autorizados.</t>
  </si>
  <si>
    <t>Vales sin firma, no autorizados.</t>
  </si>
  <si>
    <t>Tipo de Ventas Internas Directas</t>
  </si>
  <si>
    <t>Analizar una muestra sobre las Ventas Internas Directas emitidas en la última semana</t>
  </si>
  <si>
    <t>Ventas por mostrador- Internas directas</t>
  </si>
  <si>
    <t>No se vincula con una ORA- Cargo interno- Imputado a cualquier sector- Cortesías por lo general- Contablemente se imputa : Resultado a Repuestos</t>
  </si>
  <si>
    <t>Vales a Taller</t>
  </si>
  <si>
    <t>Si se vincula a una ORA- Cargos: Interno- Garantía- Mixtos- Son de repuestos- Contablemente se imputa: Repuestos en proceso a Repuestos</t>
  </si>
  <si>
    <t>Transf. Pend. De Entrega</t>
  </si>
  <si>
    <t>Transferencias realizadas en sistema y enviada físicamente, pendiente de recepción por la sucursal de destino, dentro del plazo de 48hs.</t>
  </si>
  <si>
    <t>Transferencias realizadas en sistema y enviada físicamente, pendiente de recepción por la sucursal de destino, dentro del plazo de 72hs.</t>
  </si>
  <si>
    <t>Transferencias realizadas en sistema y no enviadas físicamente, o viceversa.</t>
  </si>
  <si>
    <t>ARQUEO DE CAJA</t>
  </si>
  <si>
    <t>CATEGORIA</t>
  </si>
  <si>
    <t>CARACTERÍSTICAS</t>
  </si>
  <si>
    <t>Condiciones: Planilla de billeteo coincida con el saldo según legajo de caja.</t>
  </si>
  <si>
    <t>Planilla de billeteo coincide con el saldo de caja o la diferencia es menor a $ 1.000</t>
  </si>
  <si>
    <t>Planilla de billeteo no coincide con el saldo de caja o la diferencia es mayor a $ 1.000</t>
  </si>
  <si>
    <t>Cheques</t>
  </si>
  <si>
    <t>Verificar la existencia de los cheques en cartera.</t>
  </si>
  <si>
    <t>Se observa la totalidad de cheques en cartera fisicos o los cheques electronicos por sistema.</t>
  </si>
  <si>
    <t>Falta algun cheque que figura en cartera.</t>
  </si>
  <si>
    <t>Verificar la existencia de los comprobantes de vales firmados por los empleados y que los mismos respeten los plazos de acuerdo al procedimiento.</t>
  </si>
  <si>
    <t>Se visualiza la totalidad de los vales a rendir firmados y los mismos no se encuentran vencidos.</t>
  </si>
  <si>
    <t>Existe algun vale con plazo vencido autorizado por el jefe administrativo por alguna razon excepcional.</t>
  </si>
  <si>
    <t>No se encuentra la totalidad de vales a rendir, o los mismos no estan firmados, o se encuentran vencidos y sin el traslado a anticipos al personal.</t>
  </si>
  <si>
    <t>Cupones de trajetas.</t>
  </si>
  <si>
    <t>Verificar la existencia de los cupones en cartera.</t>
  </si>
  <si>
    <t>Se encuentran todos los cupones de tarjeta en caja.</t>
  </si>
  <si>
    <t>Falta algun cupón que figura en cartera.</t>
  </si>
  <si>
    <t>Transferencias pendientes de recepcion.</t>
  </si>
  <si>
    <t>Verificar que las transferencias entre cajas esten firmadas por quien emite y recibe la transferencia.</t>
  </si>
  <si>
    <t>No existen transferencias pendientes o de existir se encuentran firmadas o con mail de concentimiento por quien emitio y quien debe recibir la transferencia.</t>
  </si>
  <si>
    <t>Existen transferencias pendientes de recepcion sin el comprobante firmado por quien emite y debe recibir la transferencia.</t>
  </si>
  <si>
    <t>Contado Pendiente.</t>
  </si>
  <si>
    <t>Bonificaciones y descuentos con mail de autorizacion</t>
  </si>
  <si>
    <t>No existen facturas en contado pendiente, y de existir las mismas cuentan con un plazo de emision menor a 48 horas.</t>
  </si>
  <si>
    <t>Existen facturas en contado pendiente con un plazo de emision mayor a 48 horas.</t>
  </si>
  <si>
    <t>Nro. Cpbte.</t>
  </si>
  <si>
    <t>Sucursal Origen</t>
  </si>
  <si>
    <t>Valoriz. Total</t>
  </si>
  <si>
    <t>Cant. días demora</t>
  </si>
  <si>
    <t>Plazo promedio en días de recepción de Transferencias con Desvío</t>
  </si>
  <si>
    <t>Grado de cumplimiento para Transf. Pend. De Recepción:</t>
  </si>
  <si>
    <t>Totales Generales</t>
  </si>
  <si>
    <t>Casa Central - Jujuy</t>
  </si>
  <si>
    <t>Rdo.</t>
  </si>
  <si>
    <t>Cantid. Total</t>
  </si>
  <si>
    <t>Usuario</t>
  </si>
  <si>
    <t>Sucursal Destino</t>
  </si>
  <si>
    <t>Transferencias de Stock Pendientes de Recepción</t>
  </si>
  <si>
    <t>Subsistema Stock</t>
  </si>
  <si>
    <t>AUTOLUX S.A.</t>
  </si>
  <si>
    <t>IJ</t>
  </si>
  <si>
    <t>COLISA VIDRIO PTA. FR LH</t>
  </si>
  <si>
    <t>681410D15000</t>
  </si>
  <si>
    <t>R-0033-00852594</t>
  </si>
  <si>
    <t>644610D07000</t>
  </si>
  <si>
    <t>CRISTAL PARABRISAS HX16+ S/ANTENA</t>
  </si>
  <si>
    <t>561010K41000</t>
  </si>
  <si>
    <t>Estado</t>
  </si>
  <si>
    <t>Total</t>
  </si>
  <si>
    <t>N° de Remito</t>
  </si>
  <si>
    <t>Tipo Pedido</t>
  </si>
  <si>
    <t>Cantid.</t>
  </si>
  <si>
    <t>Suc.</t>
  </si>
  <si>
    <t>Tipo</t>
  </si>
  <si>
    <t>Cuenta</t>
  </si>
  <si>
    <t>Artículo</t>
  </si>
  <si>
    <t>Cto.Comp.</t>
  </si>
  <si>
    <t>Pendiente Nota Crédito</t>
  </si>
  <si>
    <t>Cantidad total de Artículos Pendientes de Crédito, según SIAC:</t>
  </si>
  <si>
    <t>Transferencias con observaciones:</t>
  </si>
  <si>
    <t>Pendientes de Crédito con observaciones:</t>
  </si>
  <si>
    <t>Observaciones</t>
  </si>
  <si>
    <t>Importe Total de Artículos con Desvío Pend. De Crédito</t>
  </si>
  <si>
    <t>Grado de cumplimiento para Artículos Pendiente de Crédito:</t>
  </si>
  <si>
    <t>Demora (días)</t>
  </si>
  <si>
    <t>Fecha Ctrol.</t>
  </si>
  <si>
    <t>Nro. Remito</t>
  </si>
  <si>
    <t>Fecha Rec.</t>
  </si>
  <si>
    <t>Remitos pendientes de carga</t>
  </si>
  <si>
    <t>Cantidad total de Remitos de Compras Pendientes:</t>
  </si>
  <si>
    <t>Remitos con Demoras:</t>
  </si>
  <si>
    <t>Plazo promedio de demora</t>
  </si>
  <si>
    <t>4. Resultado Inventario Rotativo</t>
  </si>
  <si>
    <t>Sobrantes de Inventarios</t>
  </si>
  <si>
    <t>Mermas Inventarios</t>
  </si>
  <si>
    <t>Repuestos Toyota en Stock</t>
  </si>
  <si>
    <t>Haber</t>
  </si>
  <si>
    <t>Debe</t>
  </si>
  <si>
    <t>Ajuste</t>
  </si>
  <si>
    <t>Diferencia Absoluta</t>
  </si>
  <si>
    <t>Diferencia Neta</t>
  </si>
  <si>
    <t>Sobrantes</t>
  </si>
  <si>
    <t>Faltantes</t>
  </si>
  <si>
    <t>Muestra</t>
  </si>
  <si>
    <t>%</t>
  </si>
  <si>
    <t>$</t>
  </si>
  <si>
    <t>Cant. artic</t>
  </si>
  <si>
    <t>Cant. de Art.</t>
  </si>
  <si>
    <t>Dif. Abs. desde</t>
  </si>
  <si>
    <t>El resultado del inventario rotativo es el siguiente:</t>
  </si>
  <si>
    <t>Dif Absoluta</t>
  </si>
  <si>
    <t>Dif. Neta</t>
  </si>
  <si>
    <t>Faltante</t>
  </si>
  <si>
    <t>Sobrante</t>
  </si>
  <si>
    <t>Recontar</t>
  </si>
  <si>
    <t>CABLE FRENO DE MANO IZQUIERDO</t>
  </si>
  <si>
    <t>464300K21000</t>
  </si>
  <si>
    <t>BATERIA HILUX ANTERIOR</t>
  </si>
  <si>
    <t>28800YZZWH00</t>
  </si>
  <si>
    <t>PARRILA SUSPENSION RH</t>
  </si>
  <si>
    <t>480680K05000</t>
  </si>
  <si>
    <t>SET AMORTIGUADOR</t>
  </si>
  <si>
    <t>4851009K0100</t>
  </si>
  <si>
    <t>ACTUADOR CAJA TRANSF. marca (   -1610)</t>
  </si>
  <si>
    <t>364107101000</t>
  </si>
  <si>
    <t>D-03-01-A01</t>
  </si>
  <si>
    <t>Ajustar</t>
  </si>
  <si>
    <t>PLACA EMBRAGUE</t>
  </si>
  <si>
    <t>312100K09000</t>
  </si>
  <si>
    <t>D-02-02-A01</t>
  </si>
  <si>
    <t>CRISTAL PARABRISAS HX16+ C/ANTENA</t>
  </si>
  <si>
    <t>561010K42000</t>
  </si>
  <si>
    <t>LLANTA ALEACION 18 SRX</t>
  </si>
  <si>
    <t>426110KK9000</t>
  </si>
  <si>
    <t>PAQUETE ELASTICOS</t>
  </si>
  <si>
    <t>482100K72000</t>
  </si>
  <si>
    <t>PROTECTOR GUARDAB.DEL.IZQ</t>
  </si>
  <si>
    <t>PARAGOLPE DEL  (con faros antinieblas)</t>
  </si>
  <si>
    <t>52119YP90100</t>
  </si>
  <si>
    <t>PARAGOLPE DELANTERO</t>
  </si>
  <si>
    <t>KIT INFLADOR PANL INST.</t>
  </si>
  <si>
    <t>040070791200</t>
  </si>
  <si>
    <t>TERM. COBERT.CAJA tres tramos - CAT 3</t>
  </si>
  <si>
    <t>PH3B20KA1000</t>
  </si>
  <si>
    <t>LONA CAJA HX 2016 - CAT 2</t>
  </si>
  <si>
    <t>PH3B10KA1100</t>
  </si>
  <si>
    <t>265/65 R17 - DUELER AT 693 II</t>
  </si>
  <si>
    <t>15331001</t>
  </si>
  <si>
    <t>% Acumulado</t>
  </si>
  <si>
    <t>Stock Valorizado</t>
  </si>
  <si>
    <t>Dif.Valorizada</t>
  </si>
  <si>
    <t>Canje</t>
  </si>
  <si>
    <t>Dif. Final</t>
  </si>
  <si>
    <t>Acción</t>
  </si>
  <si>
    <t>Dif.</t>
  </si>
  <si>
    <t>Recuento</t>
  </si>
  <si>
    <t>Dif. Parcial</t>
  </si>
  <si>
    <t>TOTAL remitos</t>
  </si>
  <si>
    <t>Justificaciones</t>
  </si>
  <si>
    <t>x Dif.Final</t>
  </si>
  <si>
    <t>Conteo</t>
  </si>
  <si>
    <t>Cto.Rep.</t>
  </si>
  <si>
    <t>Pendientes</t>
  </si>
  <si>
    <t>Inventario Rotativo</t>
  </si>
  <si>
    <t xml:space="preserve">Fecha: </t>
  </si>
  <si>
    <t>Autolux S.A. - Sucursal Salta</t>
  </si>
  <si>
    <t>Observación</t>
  </si>
  <si>
    <t>Cantidad</t>
  </si>
  <si>
    <t>Cantidad total de Remitos Pend. de Facturación, según SIAC:</t>
  </si>
  <si>
    <t>Remitos con observaciones:</t>
  </si>
  <si>
    <t>Grado de cumplimiento para Remitos Pend. de Facturación:</t>
  </si>
  <si>
    <t>Nro. de Cbte.</t>
  </si>
  <si>
    <t>Cortesía Ventas - Taller</t>
  </si>
  <si>
    <t>Interna</t>
  </si>
  <si>
    <t>Cpbte.</t>
  </si>
  <si>
    <t>Ventas de Repuestos c/Internas</t>
  </si>
  <si>
    <t>Subsistema Ventas</t>
  </si>
  <si>
    <t>Importe total de Ventas Internas con Observaciones</t>
  </si>
  <si>
    <t>(*) Documento sin firmar.</t>
  </si>
  <si>
    <t>9. Transf. Pend. de Entrega</t>
  </si>
  <si>
    <t>** Tarjeta 2: Muestra de Art.</t>
  </si>
  <si>
    <t>Rechazado por envío erroneo de doc.</t>
  </si>
  <si>
    <t>Grado de cumplimiento para Remitos de Compras:</t>
  </si>
  <si>
    <t>Artículos con Estado observado:</t>
  </si>
  <si>
    <t>Muestra:</t>
  </si>
  <si>
    <t>Artículos mal locados:</t>
  </si>
  <si>
    <t>Cantidad total de vales por internas directas:</t>
  </si>
  <si>
    <t>Vales con observaciones:</t>
  </si>
  <si>
    <t>Grado de cumplimiento con respecto a las Ventas Internas:</t>
  </si>
  <si>
    <t>Grado de cumplimiento con respecto al Estado de los Artículos:</t>
  </si>
  <si>
    <t>Grado de cumplimiento con respecto a la locación de los artículos:</t>
  </si>
  <si>
    <t>Cantidad total de transferencias, según SIAC:</t>
  </si>
  <si>
    <t>Grado de cumplimiento para Transf. Pend. se Entrega:</t>
  </si>
  <si>
    <t>H-01-00-B01</t>
  </si>
  <si>
    <t>Dev. Transf.</t>
  </si>
  <si>
    <t>Ind.</t>
  </si>
  <si>
    <t>CONJ.KIT INFLADOR</t>
  </si>
  <si>
    <t>KIT INFLADOR AIR BAG</t>
  </si>
  <si>
    <t>ABI-03-C01</t>
  </si>
  <si>
    <t>040040712200</t>
  </si>
  <si>
    <t>KIT FFX CABLE ESPIRAL</t>
  </si>
  <si>
    <t>040048555200</t>
  </si>
  <si>
    <t>KIT JUNTA TANQ.COMB.</t>
  </si>
  <si>
    <t>KIT PLACA SUCCION COMB.</t>
  </si>
  <si>
    <t>ABI-03-D01</t>
  </si>
  <si>
    <t>040050591200</t>
  </si>
  <si>
    <t>040050814200</t>
  </si>
  <si>
    <t>KIT INFLADOR AIR BAG VOL.</t>
  </si>
  <si>
    <t>040065610200</t>
  </si>
  <si>
    <t>0400672502C0</t>
  </si>
  <si>
    <t>CENTRO VOLANTE AIR BAG</t>
  </si>
  <si>
    <t>040070811200</t>
  </si>
  <si>
    <t>SENSOR LAT. AIR BAG</t>
  </si>
  <si>
    <t>ABI-02-B01</t>
  </si>
  <si>
    <t>0400720171B0</t>
  </si>
  <si>
    <t>CENTRO VOLANTE (DK.GRAY)</t>
  </si>
  <si>
    <t>ABI-02-A01</t>
  </si>
  <si>
    <t>0400720171C0</t>
  </si>
  <si>
    <t>CENTRO VOLANTE (BLACK)</t>
  </si>
  <si>
    <t>040072815200</t>
  </si>
  <si>
    <t>KIT INFLADOR ETIOS</t>
  </si>
  <si>
    <t>040098255200</t>
  </si>
  <si>
    <t>KIT REEMPLAZO</t>
  </si>
  <si>
    <t>040098623700</t>
  </si>
  <si>
    <t>KIT BBA.DE COMBUSTIBLE</t>
  </si>
  <si>
    <t>1 2 JGO.JUNTAS MOTOR</t>
  </si>
  <si>
    <t>041523108000</t>
  </si>
  <si>
    <t>FILTRO DE ACEITE</t>
  </si>
  <si>
    <t>041523109000</t>
  </si>
  <si>
    <t>D-01-05-C04</t>
  </si>
  <si>
    <t>041523701000</t>
  </si>
  <si>
    <t>CONJ.FILTRO ACEITE</t>
  </si>
  <si>
    <t>D-04-08-F03</t>
  </si>
  <si>
    <t>043710K08200</t>
  </si>
  <si>
    <t>CRUCETA CARDAN</t>
  </si>
  <si>
    <t>D-02-03-C02</t>
  </si>
  <si>
    <t>043710K13000</t>
  </si>
  <si>
    <t>D-04-08-C02</t>
  </si>
  <si>
    <t>043710K17000</t>
  </si>
  <si>
    <t>D-03-06-D02</t>
  </si>
  <si>
    <t>043750K01200</t>
  </si>
  <si>
    <t>D-07-05-A01</t>
  </si>
  <si>
    <t>044270K01100</t>
  </si>
  <si>
    <t>JUNTA</t>
  </si>
  <si>
    <t>D-07-08-A01</t>
  </si>
  <si>
    <t>044270K05000</t>
  </si>
  <si>
    <t>JGO. FUELLE</t>
  </si>
  <si>
    <t>D-09-06-F01</t>
  </si>
  <si>
    <t>044650230000</t>
  </si>
  <si>
    <t>JGO.PAST.FRENO DEL.</t>
  </si>
  <si>
    <t>D-09-07-C05</t>
  </si>
  <si>
    <t>D-09-07-F02</t>
  </si>
  <si>
    <t>044650K28000</t>
  </si>
  <si>
    <t>JGO. PAST. FRENO HX</t>
  </si>
  <si>
    <t>D-09-07-F01</t>
  </si>
  <si>
    <t>044650K30000</t>
  </si>
  <si>
    <t>JGO.PASTILLA FRENO</t>
  </si>
  <si>
    <t>D-09-06-A01</t>
  </si>
  <si>
    <t>044650K40100</t>
  </si>
  <si>
    <t>JGO. PASTILLAS FRENO HX 2016</t>
  </si>
  <si>
    <t>D-09-07-B03</t>
  </si>
  <si>
    <t>044660225000</t>
  </si>
  <si>
    <t>JGO.PAST.FRENO TRAS.</t>
  </si>
  <si>
    <t>D-09-07-A03</t>
  </si>
  <si>
    <t>044660230000</t>
  </si>
  <si>
    <t>JGO. PASTILLAS FRENO RR COROLLA</t>
  </si>
  <si>
    <t>044666014000</t>
  </si>
  <si>
    <t>KIT PASTILLAS FRENO TR.</t>
  </si>
  <si>
    <t>D-07-09-A01</t>
  </si>
  <si>
    <t>044950K05000</t>
  </si>
  <si>
    <t>JGO. ZAPATAS DE FRENO</t>
  </si>
  <si>
    <t>08011G482000</t>
  </si>
  <si>
    <t>LIQUIDO REFRIGERANTE DILUIDO 1L</t>
  </si>
  <si>
    <t>D-11-01-A09</t>
  </si>
  <si>
    <t>08021LL02000</t>
  </si>
  <si>
    <t>LIQ. LIMPIAPARABRISA</t>
  </si>
  <si>
    <t>088238014000</t>
  </si>
  <si>
    <t>LIQUIDO FRENO TOYOTA GENUINO TIPO 3 X 1L</t>
  </si>
  <si>
    <t>088860280500</t>
  </si>
  <si>
    <t>ACEITE ATF WS ATM 4L</t>
  </si>
  <si>
    <t>A-01-A01</t>
  </si>
  <si>
    <t>10594001</t>
  </si>
  <si>
    <t>205/55 R16 91V Turanza ER300</t>
  </si>
  <si>
    <t>111763001100</t>
  </si>
  <si>
    <t>ARANDELA INYECTOR</t>
  </si>
  <si>
    <t>XX</t>
  </si>
  <si>
    <t>121571001000</t>
  </si>
  <si>
    <t>JUNTA (CHAPA)</t>
  </si>
  <si>
    <t>D-05-06-B03</t>
  </si>
  <si>
    <t>D-03-06-E01</t>
  </si>
  <si>
    <t>135056704200</t>
  </si>
  <si>
    <t>TENSOR</t>
  </si>
  <si>
    <t>135406702000</t>
  </si>
  <si>
    <t>TENSOR DE DISTRIBUCION</t>
  </si>
  <si>
    <t>CORREA DISTRIBUCION</t>
  </si>
  <si>
    <t>D-11-01-B16</t>
  </si>
  <si>
    <t>135683901600</t>
  </si>
  <si>
    <t>ENGRANAJE BBA. ACEITE</t>
  </si>
  <si>
    <t>136161102000</t>
  </si>
  <si>
    <t>A-01-A03</t>
  </si>
  <si>
    <t>14199001</t>
  </si>
  <si>
    <t>265/60R18 110H - DUELER HT 684 II</t>
  </si>
  <si>
    <t>B-02-05-C01</t>
  </si>
  <si>
    <t>15175001</t>
  </si>
  <si>
    <t>265/60R18 110T DUELER HT 684 II</t>
  </si>
  <si>
    <t>D-03-01-C01</t>
  </si>
  <si>
    <t>JUNTA TERMOSTATO</t>
  </si>
  <si>
    <t>163463001000</t>
  </si>
  <si>
    <t>D-07-01-B03</t>
  </si>
  <si>
    <t>166203003100</t>
  </si>
  <si>
    <t>DEFLECTOR RADIADOR</t>
  </si>
  <si>
    <t>FILTRO DE AIRE</t>
  </si>
  <si>
    <t>178010C01000</t>
  </si>
  <si>
    <t>FILTRO AIRE</t>
  </si>
  <si>
    <t>178010L04000</t>
  </si>
  <si>
    <t>178010Y02000</t>
  </si>
  <si>
    <t>D-01-04-C01</t>
  </si>
  <si>
    <t>178012105000</t>
  </si>
  <si>
    <t>D-01-05-C01</t>
  </si>
  <si>
    <t>D-01-07-C03</t>
  </si>
  <si>
    <t>178013112000</t>
  </si>
  <si>
    <t>FILTRO DE AIRE RAV4</t>
  </si>
  <si>
    <t>232170y02000</t>
  </si>
  <si>
    <t>FILTRO COMBUSTIBLE BBA.</t>
  </si>
  <si>
    <t>FILTRO COMBUSTIBLE</t>
  </si>
  <si>
    <t>FILTRO DE COMBUSTIBLE</t>
  </si>
  <si>
    <t>233900L04100</t>
  </si>
  <si>
    <t>D-01-05-A01</t>
  </si>
  <si>
    <t>233900L05000</t>
  </si>
  <si>
    <t>D-01-03-A01</t>
  </si>
  <si>
    <t>233900L07000</t>
  </si>
  <si>
    <t>D-01-06-C03</t>
  </si>
  <si>
    <t>233905107000</t>
  </si>
  <si>
    <t>233906448000</t>
  </si>
  <si>
    <t>236813001000</t>
  </si>
  <si>
    <t>ABRAZADERA</t>
  </si>
  <si>
    <t>236823002000</t>
  </si>
  <si>
    <t>JUNTA INYECT.TAPA VA</t>
  </si>
  <si>
    <t>237101101000</t>
  </si>
  <si>
    <t>INYECTOR COMBUSTIBLE</t>
  </si>
  <si>
    <t>SOPORTE</t>
  </si>
  <si>
    <t>D-11-01-A04</t>
  </si>
  <si>
    <t>28800YZZUJ00</t>
  </si>
  <si>
    <t>BATERIA LN3-HILUX(DIESEL)</t>
  </si>
  <si>
    <t>D-11-01-A02</t>
  </si>
  <si>
    <t>28800YZZWG00</t>
  </si>
  <si>
    <t>BATERIA COROLLA / ETIOS</t>
  </si>
  <si>
    <t>D-08-11-A02</t>
  </si>
  <si>
    <t>312040K11000</t>
  </si>
  <si>
    <t>HORQUILLA EMBRAGUE</t>
  </si>
  <si>
    <t>D-03-01-B01</t>
  </si>
  <si>
    <t>D-03-04-A01</t>
  </si>
  <si>
    <t>312100K28100</t>
  </si>
  <si>
    <t>RULEMAN EMPUJE</t>
  </si>
  <si>
    <t>D-09-05-D01</t>
  </si>
  <si>
    <t>312307101100</t>
  </si>
  <si>
    <t>314000902000</t>
  </si>
  <si>
    <t>CONJ.CILIND.EMBRAGUE(31400-0D020)</t>
  </si>
  <si>
    <t>314005902500</t>
  </si>
  <si>
    <t>CONJ.CIL.DESEMB.C CO</t>
  </si>
  <si>
    <t>BUJE PALANCA CAMBIOS</t>
  </si>
  <si>
    <t>335486004000</t>
  </si>
  <si>
    <t>351783001000</t>
  </si>
  <si>
    <t>JUNTA TAPON DE C/A (CHICA)</t>
  </si>
  <si>
    <t>D-04-09-A02</t>
  </si>
  <si>
    <t>364107102000</t>
  </si>
  <si>
    <t>ACTUADOR CAJA TRANSF. liso (1610-   )</t>
  </si>
  <si>
    <t>D-09-05-B01</t>
  </si>
  <si>
    <t>372300K05000</t>
  </si>
  <si>
    <t>COJINETE CENT CARDAN</t>
  </si>
  <si>
    <t>ESPACIADOR</t>
  </si>
  <si>
    <t>424232001000</t>
  </si>
  <si>
    <t>42423KK01000</t>
  </si>
  <si>
    <t>RETENEDOR RODAMIENTO</t>
  </si>
  <si>
    <t>D-03-03-A01</t>
  </si>
  <si>
    <t>424310227000</t>
  </si>
  <si>
    <t>DISCOS TRASEROS COROLLA</t>
  </si>
  <si>
    <t>424310K12000</t>
  </si>
  <si>
    <t>CAMPANA DE FRENO TRAS.</t>
  </si>
  <si>
    <t>TAZA DE RUEDA</t>
  </si>
  <si>
    <t>D-04-08-E02</t>
  </si>
  <si>
    <t>4260B0K23000</t>
  </si>
  <si>
    <t>TAZA DE RUEDA GRIS</t>
  </si>
  <si>
    <t>D-04-07-F04</t>
  </si>
  <si>
    <t>4260B0K27000</t>
  </si>
  <si>
    <t>B-06-03-A03</t>
  </si>
  <si>
    <t>426110K77100</t>
  </si>
  <si>
    <t>LLANTA CHAPA 16" DX 2011-2015</t>
  </si>
  <si>
    <t>B-06-11-A01</t>
  </si>
  <si>
    <t>426110KF7200</t>
  </si>
  <si>
    <t>LLANTA 17 CHAPA 17X7.5</t>
  </si>
  <si>
    <t>B-06-11-A02</t>
  </si>
  <si>
    <t>426110KR8000</t>
  </si>
  <si>
    <t>LLANTA CHAPA 17X6</t>
  </si>
  <si>
    <t>DISCO DE FRENO</t>
  </si>
  <si>
    <t>D-03-02-B01</t>
  </si>
  <si>
    <t>435120229000</t>
  </si>
  <si>
    <t>D-08-06-A01</t>
  </si>
  <si>
    <t>435120K08000</t>
  </si>
  <si>
    <t>D-07-02-A01</t>
  </si>
  <si>
    <t>435120K11000</t>
  </si>
  <si>
    <t>D-08-05-A01</t>
  </si>
  <si>
    <t>435120K15000</t>
  </si>
  <si>
    <t>DISCO DE FRENO DEL.</t>
  </si>
  <si>
    <t>D-07-01-A01</t>
  </si>
  <si>
    <t>435120K22000</t>
  </si>
  <si>
    <t>DISCO FRENO DEL.</t>
  </si>
  <si>
    <t>D-02-04-A01</t>
  </si>
  <si>
    <t>435120K32000</t>
  </si>
  <si>
    <t>D-04-05-F06</t>
  </si>
  <si>
    <t>450460931000</t>
  </si>
  <si>
    <t>EXTREMO DIRECCION</t>
  </si>
  <si>
    <t>D-03-05-C03</t>
  </si>
  <si>
    <t>455030934000</t>
  </si>
  <si>
    <t>PRECAP DE DIRECC.</t>
  </si>
  <si>
    <t>D-04-03-F03</t>
  </si>
  <si>
    <t>455030K14000</t>
  </si>
  <si>
    <t>PRECAP DIRECCION HX 16&gt;</t>
  </si>
  <si>
    <t>464200K21000</t>
  </si>
  <si>
    <t>CABLE FRENO DE MANO DERECHO</t>
  </si>
  <si>
    <t>474912001100</t>
  </si>
  <si>
    <t>TAPON</t>
  </si>
  <si>
    <t>CLIP</t>
  </si>
  <si>
    <t>477495009000</t>
  </si>
  <si>
    <t>CLIP METALICO</t>
  </si>
  <si>
    <t>D-10-06-A01</t>
  </si>
  <si>
    <t>481900K01000</t>
  </si>
  <si>
    <t>LEVA DE AJUSTE</t>
  </si>
  <si>
    <t>481906002000</t>
  </si>
  <si>
    <t>481980K01000</t>
  </si>
  <si>
    <t>D-09-04-C01</t>
  </si>
  <si>
    <t>485100D39000</t>
  </si>
  <si>
    <t>AMORTIGUADOR DEL.</t>
  </si>
  <si>
    <t>485100DE9000</t>
  </si>
  <si>
    <t>485108Z20600</t>
  </si>
  <si>
    <t>AMORTIGUADOR</t>
  </si>
  <si>
    <t>SET AMORTIGUADOR RR RH</t>
  </si>
  <si>
    <t>D-09-03-B01</t>
  </si>
  <si>
    <t>485318Z02100</t>
  </si>
  <si>
    <t>SET AMORTIGUADOR RR LH</t>
  </si>
  <si>
    <t>D-09-04-B01</t>
  </si>
  <si>
    <t>485410936100</t>
  </si>
  <si>
    <t>CAZOLETA SUSPENSION</t>
  </si>
  <si>
    <t>D-04-07-A01</t>
  </si>
  <si>
    <t>486090K08000</t>
  </si>
  <si>
    <t>SOPORTE SUSPENSION FR.</t>
  </si>
  <si>
    <t>D-04-06-E02</t>
  </si>
  <si>
    <t>488100K02000</t>
  </si>
  <si>
    <t>BIELETA BARRA ESTABILIZ. IZQ</t>
  </si>
  <si>
    <t>488150K04000</t>
  </si>
  <si>
    <t>BUJE BARRA ESTABILIZ</t>
  </si>
  <si>
    <t>D-04-06-E01</t>
  </si>
  <si>
    <t>488200K04000</t>
  </si>
  <si>
    <t>BIELETA  BARR. ESTABIL.DER.</t>
  </si>
  <si>
    <t>521150K18000</t>
  </si>
  <si>
    <t>SOPORTE PARAGOLPE DER (SR,SRV,SRX)</t>
  </si>
  <si>
    <t>521190K35000</t>
  </si>
  <si>
    <t>521190M94700</t>
  </si>
  <si>
    <t>PARAGOLPE DELANT. SIN COL</t>
  </si>
  <si>
    <t>D-07-03-C02</t>
  </si>
  <si>
    <t>521560D02000</t>
  </si>
  <si>
    <t>SOPORTE PARAG. RR LH</t>
  </si>
  <si>
    <t>521610K05000</t>
  </si>
  <si>
    <t>D-04-05-F02</t>
  </si>
  <si>
    <t>521611601000</t>
  </si>
  <si>
    <t>CLIP PLASTICO</t>
  </si>
  <si>
    <t>PLACA PARAGOLPE</t>
  </si>
  <si>
    <t>521630K05000</t>
  </si>
  <si>
    <t>PLACA PARAGOLPE DER</t>
  </si>
  <si>
    <t>521640K05000</t>
  </si>
  <si>
    <t>PLACA PARAGOLPE IZQ</t>
  </si>
  <si>
    <t>TORNILLO</t>
  </si>
  <si>
    <t>531000KC7000</t>
  </si>
  <si>
    <t>GRILLA RADIADOR C/EMBLEMA</t>
  </si>
  <si>
    <t>53100YP19000</t>
  </si>
  <si>
    <t>GRILLA RADIADOR INF.</t>
  </si>
  <si>
    <t>GRILLA RADIADOR LH</t>
  </si>
  <si>
    <t>RETEN</t>
  </si>
  <si>
    <t>53806YP02000</t>
  </si>
  <si>
    <t>CRISTAL PARABRISAS</t>
  </si>
  <si>
    <t>D-06-02-A01</t>
  </si>
  <si>
    <t>CRISTAL LUNETA</t>
  </si>
  <si>
    <t>661100K09000</t>
  </si>
  <si>
    <t>BISAGRA</t>
  </si>
  <si>
    <t>661200K09000</t>
  </si>
  <si>
    <t>688290K01000</t>
  </si>
  <si>
    <t>COLLAR PUERTA TRASERA</t>
  </si>
  <si>
    <t>D-08-06-C01</t>
  </si>
  <si>
    <t>753923522000</t>
  </si>
  <si>
    <t>CLIP MOLDURA</t>
  </si>
  <si>
    <t>D-07-03-B05</t>
  </si>
  <si>
    <t>FRANJA LATERAL</t>
  </si>
  <si>
    <t>75998AR01000</t>
  </si>
  <si>
    <t>AUTOADHESIVO 4X4</t>
  </si>
  <si>
    <t>769245202100</t>
  </si>
  <si>
    <t>B-04-07-B07</t>
  </si>
  <si>
    <t>811500K73000</t>
  </si>
  <si>
    <t>OPTICA IZQUIERDA</t>
  </si>
  <si>
    <t>LAMPARA</t>
  </si>
  <si>
    <t>D-08-01-A01</t>
  </si>
  <si>
    <t>815510K26100</t>
  </si>
  <si>
    <t>ACRILICO FARO TR. DER. KOITO</t>
  </si>
  <si>
    <t>D-03-01-E01</t>
  </si>
  <si>
    <t>815510K30000</t>
  </si>
  <si>
    <t>ACRILICO FARO DER. VALEO</t>
  </si>
  <si>
    <t>D-01-10-A01</t>
  </si>
  <si>
    <t>815610K27100</t>
  </si>
  <si>
    <t>ACRILICO.FARO.KOITO</t>
  </si>
  <si>
    <t>D-07-01-C01</t>
  </si>
  <si>
    <t>815610K31000</t>
  </si>
  <si>
    <t>ACRILICO FARO IZQ.VALEO</t>
  </si>
  <si>
    <t>FARO GIRO DER.</t>
  </si>
  <si>
    <t>817305210000</t>
  </si>
  <si>
    <t>842220K02000</t>
  </si>
  <si>
    <t>INTERRUPTOR</t>
  </si>
  <si>
    <t>D-07-03-C01</t>
  </si>
  <si>
    <t>CABLE ESPIRAL</t>
  </si>
  <si>
    <t>D-03-03-E02</t>
  </si>
  <si>
    <t>843060K02100</t>
  </si>
  <si>
    <t>D-03-03-D01</t>
  </si>
  <si>
    <t>843060K05100</t>
  </si>
  <si>
    <t>CABLE ESPIRAL C/CONTROL VOLANTE</t>
  </si>
  <si>
    <t>849991053000</t>
  </si>
  <si>
    <t>852140228000</t>
  </si>
  <si>
    <t>GOMA ESCOBILLA</t>
  </si>
  <si>
    <t>852140236000</t>
  </si>
  <si>
    <t>852140D07000</t>
  </si>
  <si>
    <t>852140K04000</t>
  </si>
  <si>
    <t>852144204000</t>
  </si>
  <si>
    <t>852144414000</t>
  </si>
  <si>
    <t>D-06-05-D02</t>
  </si>
  <si>
    <t>853302101000</t>
  </si>
  <si>
    <t>MOTOR LAVAPARABRISAS</t>
  </si>
  <si>
    <t>MOTOR VENTILADOR</t>
  </si>
  <si>
    <t>D-01-02-B01</t>
  </si>
  <si>
    <t>871390K01000</t>
  </si>
  <si>
    <t>FILTRO AIRE ACOND.</t>
  </si>
  <si>
    <t>D-01-02-A01</t>
  </si>
  <si>
    <t>871390K08000</t>
  </si>
  <si>
    <t>FILTRO A/A</t>
  </si>
  <si>
    <t>D-07-03-C04</t>
  </si>
  <si>
    <t>884600K39000</t>
  </si>
  <si>
    <t>CONDENSADOR</t>
  </si>
  <si>
    <t>900694900700</t>
  </si>
  <si>
    <t>CLIP CALIPER FRENO</t>
  </si>
  <si>
    <t>BULON</t>
  </si>
  <si>
    <t>RODAMIENTO</t>
  </si>
  <si>
    <t>GRAMPA ELASTICOS</t>
  </si>
  <si>
    <t>90117T000200</t>
  </si>
  <si>
    <t>901190613700</t>
  </si>
  <si>
    <t>90310T000800</t>
  </si>
  <si>
    <t>RETEN DE PALIER</t>
  </si>
  <si>
    <t>RETEN ACEITE</t>
  </si>
  <si>
    <t>903114704100</t>
  </si>
  <si>
    <t>903114704200</t>
  </si>
  <si>
    <t>90311T006900</t>
  </si>
  <si>
    <t>90312T000100</t>
  </si>
  <si>
    <t>90313T000200</t>
  </si>
  <si>
    <t>D-05-05-E01</t>
  </si>
  <si>
    <t>903665300400</t>
  </si>
  <si>
    <t>90366T004400</t>
  </si>
  <si>
    <t>90366T006000</t>
  </si>
  <si>
    <t>D-04-06-A03</t>
  </si>
  <si>
    <t>90366T006100</t>
  </si>
  <si>
    <t>90369T000300</t>
  </si>
  <si>
    <t>D-07-11-F02</t>
  </si>
  <si>
    <t>904301203100</t>
  </si>
  <si>
    <t>JTA.TAPON CARTER (AZUL)</t>
  </si>
  <si>
    <t>D-07-11-F03</t>
  </si>
  <si>
    <t>904301800800</t>
  </si>
  <si>
    <t>JTA.TAPON DIF (aluminio)</t>
  </si>
  <si>
    <t>904670721500</t>
  </si>
  <si>
    <t>D-04-02-E05</t>
  </si>
  <si>
    <t>904671018300</t>
  </si>
  <si>
    <t>FILTRO ACEITE</t>
  </si>
  <si>
    <t>D-01-04-B01</t>
  </si>
  <si>
    <t>90915YZZD200</t>
  </si>
  <si>
    <t>CORREA</t>
  </si>
  <si>
    <t>90916T200600</t>
  </si>
  <si>
    <t>D-11-01-B14</t>
  </si>
  <si>
    <t>90916T203300</t>
  </si>
  <si>
    <t>D-04-06-B02</t>
  </si>
  <si>
    <t>909420205200</t>
  </si>
  <si>
    <t>D-08-11-E05</t>
  </si>
  <si>
    <t>909812002900</t>
  </si>
  <si>
    <t>LAMPARA XENON COROLLA</t>
  </si>
  <si>
    <t>CLIP MANGUERA</t>
  </si>
  <si>
    <t>D-08-04-C01</t>
  </si>
  <si>
    <t>D-02-05-B02</t>
  </si>
  <si>
    <t>PC4580K00200</t>
  </si>
  <si>
    <t>CANDADO SEGURIDAD AUX. HX 2016 - CAT 3</t>
  </si>
  <si>
    <t>A-02-03-B02</t>
  </si>
  <si>
    <t>PH4010KM1000</t>
  </si>
  <si>
    <t>PROTECTOR FRONTAL HX 2016</t>
  </si>
  <si>
    <t>A-02-02-B02</t>
  </si>
  <si>
    <t>PH4020KM1000</t>
  </si>
  <si>
    <t>PROTECTOR PARAG.HILUX`19 - CAT 2</t>
  </si>
  <si>
    <t>B-04-03-D06</t>
  </si>
  <si>
    <t>PH9600KM10PT</t>
  </si>
  <si>
    <t>KIT PERNOS TH PU ARG HX 2016 - CAT 3</t>
  </si>
  <si>
    <t>PZ0680000300</t>
  </si>
  <si>
    <t>12V AIR COMPRESOR (DIGIT - CAT 3</t>
  </si>
  <si>
    <t>D-02-04-D02</t>
  </si>
  <si>
    <t>PZV831121000</t>
  </si>
  <si>
    <t>TUERCAS SEG  LLANT. ALEAC COROLLA -CAT 3</t>
  </si>
  <si>
    <t>D-07-09-D03</t>
  </si>
  <si>
    <t>VAR-0372-00001</t>
  </si>
  <si>
    <t>RULEMAN POLEA ACANALADA</t>
  </si>
  <si>
    <t>Esta pendiente de implementar la fecha de recepción en sello.</t>
  </si>
  <si>
    <t>Una de las cubiertas no tiene el mismo cód es por ello que sólo se conto /14)</t>
  </si>
  <si>
    <t>Inventario Rotativo 08.11.2024 - Autolux S.A. Salta</t>
  </si>
  <si>
    <t>Art.</t>
  </si>
  <si>
    <t xml:space="preserve">INGRESO DE TRANSFERENCIA X4 n°7924  SE RECEPCIONA LA TRANSFERENCIA EL DIA DE LA FECHA. STOCK OK. </t>
  </si>
  <si>
    <t>ARTICULO CRUZADO CON 15175001 15175001 (FISICO 2//VIRTUAL 1) SOBRANTE X1</t>
  </si>
  <si>
    <t>Variacion en la operativa de campañas STOCK OK</t>
  </si>
  <si>
    <t>CRUZADA CON 426110KR80 426110KR80 SE ENCUENTRA SOBRANTE X1</t>
  </si>
  <si>
    <t>Variacion en la operativa de taller de ese dia STOCK OK.(RECONTAR)</t>
  </si>
  <si>
    <t>ARTICULO CRUZADO CON 233900L050 233900L050 SE ENCUENTRA FALTANTE X1</t>
  </si>
  <si>
    <t>Variacion en la operativa de taller de ese dia (SE ENCUENTRA SOBRANTE X1) CRUZADO CON 0415237010 QUE SE ENCUENTRA FALTANTE X1</t>
  </si>
  <si>
    <t>Variacion en la operativa de taller de ese dia (SE ENCUENTRA FALTANTE X1) CRUZADO CON 90915YZZD2 QUE SE ENCUENTRA SOBRANTE X1</t>
  </si>
  <si>
    <t>CRUZADO CON 815510K261 -</t>
  </si>
  <si>
    <t>CRUZADA CON 043710K170 043710K170 SE ENCUENTRA FALTANTE X1</t>
  </si>
  <si>
    <t>MAL CONTADO (X1 MAL UBICADO) STOCK OK (RECONTAR)</t>
  </si>
  <si>
    <t>VALE TALLER N°59142890 VALE CARGADO CANTIDAD X1 Y EL VEHICULO SE LLEVO X2</t>
  </si>
  <si>
    <t>CRUZADA CON 312100K090 312100K090 SE ENCUENTRA SOBRANTE X1</t>
  </si>
  <si>
    <t>NO SE ENCUENTRA EL DESVIO AJUSTAR</t>
  </si>
  <si>
    <t>CRUZADO CON 435120K320 435120K320 SE ENCUENTRA FALTANTE X2</t>
  </si>
  <si>
    <t>CRUZADO CON 815610K271 -</t>
  </si>
  <si>
    <t>MAL CONTEO. EL ARTICULO SE ENCUENTRA SOBRANTE X1 RECONTAR</t>
  </si>
  <si>
    <t>MAL UBICADA X1 STOCK OK. RECONTAR</t>
  </si>
  <si>
    <t>VARIACION EN LA OPERATIVA DEL TALLER (ES EL DE MAS ALTA ROTACION) recomiendo contar y controlar con el stock virtual al momento de terminar. (RECONTAR)</t>
  </si>
  <si>
    <t>CRUZADO CON 815510K300 -</t>
  </si>
  <si>
    <t xml:space="preserve">FALTA CARGA REMITO R33-871005 STOCK OK </t>
  </si>
  <si>
    <t>FALTA CARGA REMITO R33-871005 stock ok</t>
  </si>
  <si>
    <t>ARTICULO X1 EN RESERVA STOCK OK.</t>
  </si>
  <si>
    <t>ARTICULO SOBRANTE X1 RECONTAR</t>
  </si>
  <si>
    <t>7. Remitos Pend. de Facturación</t>
  </si>
  <si>
    <t>Control Integral de Depósito - Recuento</t>
  </si>
  <si>
    <t>Canje A</t>
  </si>
  <si>
    <t>Sin Ajuste</t>
  </si>
  <si>
    <t>Canje B</t>
  </si>
  <si>
    <t>Canje C</t>
  </si>
  <si>
    <t>CRUZADO CON 815610K31000 -</t>
  </si>
  <si>
    <t>Canje D</t>
  </si>
  <si>
    <t>No se puede ajustar.Ajuste realizado el 28/11/2024 se encontraba inhabilitado.</t>
  </si>
  <si>
    <t>Dif</t>
  </si>
  <si>
    <t>Obs</t>
  </si>
  <si>
    <t>Locacion</t>
  </si>
  <si>
    <t>D-15-00-F01</t>
  </si>
  <si>
    <t>D-13-01-B03</t>
  </si>
  <si>
    <t>GORRA GRIS</t>
  </si>
  <si>
    <t>BUGORR000001</t>
  </si>
  <si>
    <t>D-13-01-C03</t>
  </si>
  <si>
    <t>D-06-00-C07</t>
  </si>
  <si>
    <t>ABRAZADER DE MANGUER</t>
  </si>
  <si>
    <t>900804637100</t>
  </si>
  <si>
    <t>D-20-00-A02</t>
  </si>
  <si>
    <t>D-17-00-D02</t>
  </si>
  <si>
    <t>900690K07100</t>
  </si>
  <si>
    <t>D-20-01-F09</t>
  </si>
  <si>
    <t>D-23-01-B03</t>
  </si>
  <si>
    <t>D-23-01-A09</t>
  </si>
  <si>
    <t>D-23-01-A01</t>
  </si>
  <si>
    <t>D-23-01-B01</t>
  </si>
  <si>
    <t>D-23-01-A11</t>
  </si>
  <si>
    <t>D-23-01-A05</t>
  </si>
  <si>
    <t>D-16-02-D05</t>
  </si>
  <si>
    <t>D-16-02-H03</t>
  </si>
  <si>
    <t>FARO TRASERO LH</t>
  </si>
  <si>
    <t>815609802000</t>
  </si>
  <si>
    <t>H-01-08-B03</t>
  </si>
  <si>
    <t>FARO TRAS.IZQUIERDO</t>
  </si>
  <si>
    <t>815600K26100</t>
  </si>
  <si>
    <t>H-01-06-C02</t>
  </si>
  <si>
    <t>OPTICA LH</t>
  </si>
  <si>
    <t>811704245000</t>
  </si>
  <si>
    <t>H-01-06-C03</t>
  </si>
  <si>
    <t>CONJ.BBA.COMBUSTIBLE</t>
  </si>
  <si>
    <t>770100K01100</t>
  </si>
  <si>
    <t>D-25-02-B01</t>
  </si>
  <si>
    <t>D-19-01-F04</t>
  </si>
  <si>
    <t>D-19-02-C02</t>
  </si>
  <si>
    <t>CABLE APERT.INT.PTA</t>
  </si>
  <si>
    <t>697500K03000</t>
  </si>
  <si>
    <t>E-06-02-A08</t>
  </si>
  <si>
    <t>D-20-00-A05</t>
  </si>
  <si>
    <t>D-18-02-C06</t>
  </si>
  <si>
    <t>D-18-02-C05</t>
  </si>
  <si>
    <t>648010K06100</t>
  </si>
  <si>
    <t>H-01-01-B13</t>
  </si>
  <si>
    <t>H-02-02-A02</t>
  </si>
  <si>
    <t>H-02-00-A02</t>
  </si>
  <si>
    <t>E-07-01-A10</t>
  </si>
  <si>
    <t>GRILLA RADIADOR INF. RH</t>
  </si>
  <si>
    <t>531120253000</t>
  </si>
  <si>
    <t>H-02-05-C04</t>
  </si>
  <si>
    <t>H-01-05-D03</t>
  </si>
  <si>
    <t>H-01-05-C01</t>
  </si>
  <si>
    <t>D-19-01-L01</t>
  </si>
  <si>
    <t>D-19-01-K07</t>
  </si>
  <si>
    <t>E-02-02-C01</t>
  </si>
  <si>
    <t>E-02-04-G01</t>
  </si>
  <si>
    <t>E-02-00-B01</t>
  </si>
  <si>
    <t>488186002000</t>
  </si>
  <si>
    <t>D-21-00-B06</t>
  </si>
  <si>
    <t>D-21-00-D03</t>
  </si>
  <si>
    <t>D-21-02-I01</t>
  </si>
  <si>
    <t>D-10-05-B02</t>
  </si>
  <si>
    <t>4851009K9100</t>
  </si>
  <si>
    <t>D-03-04-F04</t>
  </si>
  <si>
    <t>D-18-00-F02</t>
  </si>
  <si>
    <t>D-18-00-F06</t>
  </si>
  <si>
    <t>D-18-00-F01</t>
  </si>
  <si>
    <t>D-19-02-C05</t>
  </si>
  <si>
    <t>D-19-01-H08</t>
  </si>
  <si>
    <t>ZAPATA FRENO MANO</t>
  </si>
  <si>
    <t>465303401000</t>
  </si>
  <si>
    <t>D-05-00-C03</t>
  </si>
  <si>
    <t>ABRAZADERA FUELLE DIRECC.</t>
  </si>
  <si>
    <t>455380K05000</t>
  </si>
  <si>
    <t>D-19-00-C07</t>
  </si>
  <si>
    <t>D-21-00-D02</t>
  </si>
  <si>
    <t>D-21-02-A05</t>
  </si>
  <si>
    <t>D-21-01-A03</t>
  </si>
  <si>
    <t>D-03-00-A02</t>
  </si>
  <si>
    <t>D-25-02-B02</t>
  </si>
  <si>
    <t>LLANTA NEGRA CHAPA 17x7.5 (0KJ40)</t>
  </si>
  <si>
    <t>426110KG6000</t>
  </si>
  <si>
    <t>D-10-05-A02</t>
  </si>
  <si>
    <t>D-19-00-I08</t>
  </si>
  <si>
    <t>D-21-02-A03</t>
  </si>
  <si>
    <t>D-19-02-F01</t>
  </si>
  <si>
    <t>D-21-01-G05</t>
  </si>
  <si>
    <t>D-22-00-A01</t>
  </si>
  <si>
    <t>D-22-00-C01</t>
  </si>
  <si>
    <t>D-22-00-B01</t>
  </si>
  <si>
    <t>D-16-01-H02</t>
  </si>
  <si>
    <t>D-21-01-B04</t>
  </si>
  <si>
    <t>D-21-01-B03</t>
  </si>
  <si>
    <t>236793002100</t>
  </si>
  <si>
    <t>D-18-01-D05</t>
  </si>
  <si>
    <t>D-01-04-E03</t>
  </si>
  <si>
    <t>D-01-05-E01</t>
  </si>
  <si>
    <t>D-01-01-D03</t>
  </si>
  <si>
    <t>D-01-01-B02</t>
  </si>
  <si>
    <t>D-01-00-A01</t>
  </si>
  <si>
    <t>D-20-01-I08</t>
  </si>
  <si>
    <t>ENTRADA DE AGUA</t>
  </si>
  <si>
    <t>163214703000</t>
  </si>
  <si>
    <t>D-17-02-I04</t>
  </si>
  <si>
    <t>E-04-01-A02</t>
  </si>
  <si>
    <t>E-05-00-A01</t>
  </si>
  <si>
    <t>D-21-02-G02</t>
  </si>
  <si>
    <t>D-23-00-A01</t>
  </si>
  <si>
    <t>D-06-00-D01</t>
  </si>
  <si>
    <t>D-19-02-D01</t>
  </si>
  <si>
    <t>D-19-02-E06</t>
  </si>
  <si>
    <t>E-04-00-C01</t>
  </si>
  <si>
    <t>D-00-00-A01</t>
  </si>
  <si>
    <t>D-23-00-P01</t>
  </si>
  <si>
    <t>D-23-01-P01</t>
  </si>
  <si>
    <t>D-03-05-F01</t>
  </si>
  <si>
    <t>D-21-02-C02</t>
  </si>
  <si>
    <t>D-21-01-I04</t>
  </si>
  <si>
    <t>D-21-01-I02</t>
  </si>
  <si>
    <t>JGO. DE JUNTAS</t>
  </si>
  <si>
    <t>043513538000</t>
  </si>
  <si>
    <t>JGO. JUNTAS TURBO</t>
  </si>
  <si>
    <t>041756001200</t>
  </si>
  <si>
    <t>D-09-00-D06</t>
  </si>
  <si>
    <t>D-20-00-D09</t>
  </si>
  <si>
    <t>JUNTAS TURBO</t>
  </si>
  <si>
    <t>041750L12200</t>
  </si>
  <si>
    <t>D-09-00-D05</t>
  </si>
  <si>
    <t>KIT JUNTAS TURBO</t>
  </si>
  <si>
    <t>041750E06000</t>
  </si>
  <si>
    <t>D-08-01-G04</t>
  </si>
  <si>
    <t>D-01-05-E04</t>
  </si>
  <si>
    <t>D-01-05-G07</t>
  </si>
  <si>
    <t>041123720500</t>
  </si>
  <si>
    <t>D-05-06-D15</t>
  </si>
  <si>
    <t>D-14-01-B02</t>
  </si>
  <si>
    <t>TUBE KIT, FUEL TANK</t>
  </si>
  <si>
    <t>040096313000</t>
  </si>
  <si>
    <t>D-09-00-C03</t>
  </si>
  <si>
    <t>040080321300</t>
  </si>
  <si>
    <t>D-14-00-A01</t>
  </si>
  <si>
    <t>D-14-00-C01</t>
  </si>
  <si>
    <t>D-14-00-E01</t>
  </si>
  <si>
    <t>040071Z50K00</t>
  </si>
  <si>
    <t>D-17-01-E09</t>
  </si>
  <si>
    <t>D-14-00-D01</t>
  </si>
  <si>
    <t>SALON</t>
  </si>
  <si>
    <t>Valoriz.</t>
  </si>
  <si>
    <t>Denominación</t>
  </si>
  <si>
    <t>Linea</t>
  </si>
  <si>
    <t>Suc. Tartagal</t>
  </si>
  <si>
    <t>Suc. Las Lajitas</t>
  </si>
  <si>
    <t xml:space="preserve"> Estado: Pendientes Suc.Origen: Casa Central - Jujuy Suc.Destino: Todas Kits de Repuestos: No Observaciones: No Valorizado: Costo de Compra Formato: Detallado</t>
  </si>
  <si>
    <t xml:space="preserve">Artículos Componentes de Kit de Repuestos </t>
  </si>
  <si>
    <t>R-0007-00107594</t>
  </si>
  <si>
    <t>Normal</t>
  </si>
  <si>
    <t>A-0007-00124305</t>
  </si>
  <si>
    <t>Factura</t>
  </si>
  <si>
    <t>AMORTIGUADOR DELANTERO</t>
  </si>
  <si>
    <t>36020</t>
  </si>
  <si>
    <t>A-0002-00003291</t>
  </si>
  <si>
    <t>BATERIA 12 X 80 A. IZQ.</t>
  </si>
  <si>
    <t>EN 600 I</t>
  </si>
  <si>
    <t>R-0033-00383043</t>
  </si>
  <si>
    <t>A-0075-00010632</t>
  </si>
  <si>
    <t>CUBREALFOMFRA STD SC</t>
  </si>
  <si>
    <t>PZU100601500</t>
  </si>
  <si>
    <t>R-0033-00870179</t>
  </si>
  <si>
    <t>A-0300-00178635</t>
  </si>
  <si>
    <t>R-0033-00833757</t>
  </si>
  <si>
    <t>A-0300-00144566</t>
  </si>
  <si>
    <t>R-0933-00416862</t>
  </si>
  <si>
    <t>A-0075-00032879</t>
  </si>
  <si>
    <t>9913212050AR</t>
  </si>
  <si>
    <t>R-0033-00793905</t>
  </si>
  <si>
    <t>A-0300-00112073</t>
  </si>
  <si>
    <t>961364250100</t>
  </si>
  <si>
    <t>R-0009-00060687</t>
  </si>
  <si>
    <t>A-0023-00012348</t>
  </si>
  <si>
    <t>JUNTA ESCAPE</t>
  </si>
  <si>
    <t>909170604100</t>
  </si>
  <si>
    <t>R-0009-00060688</t>
  </si>
  <si>
    <t>ASIENTO RESORTE VALV</t>
  </si>
  <si>
    <t>902012300300</t>
  </si>
  <si>
    <t>R-0033-00416707</t>
  </si>
  <si>
    <t>A-0075-00032789</t>
  </si>
  <si>
    <t>R-0033-00698059</t>
  </si>
  <si>
    <t>A-0300-00034676</t>
  </si>
  <si>
    <t>R-0009-00064270</t>
  </si>
  <si>
    <t>A-0023-00013708</t>
  </si>
  <si>
    <t>753793508000</t>
  </si>
  <si>
    <t>R-0009-00071822</t>
  </si>
  <si>
    <t>A-0023-00016848</t>
  </si>
  <si>
    <t>521638910100</t>
  </si>
  <si>
    <t>R-0033-00793070</t>
  </si>
  <si>
    <t>A-0300-00111430</t>
  </si>
  <si>
    <t>R-0009-00225515</t>
  </si>
  <si>
    <t>A-0023-00066548</t>
  </si>
  <si>
    <t>AMORTIG.TRASERO</t>
  </si>
  <si>
    <t>485314927500</t>
  </si>
  <si>
    <t>R-0033-00738141</t>
  </si>
  <si>
    <t>A-0300-00066353</t>
  </si>
  <si>
    <t>R-0009-00082909</t>
  </si>
  <si>
    <t>A-0023-00021389</t>
  </si>
  <si>
    <t>HOJA ELASTICO</t>
  </si>
  <si>
    <t>482023588100</t>
  </si>
  <si>
    <t>R-0033-00744074</t>
  </si>
  <si>
    <t>A-0300-00071099</t>
  </si>
  <si>
    <t>R-0009-00086267</t>
  </si>
  <si>
    <t>A-0023-00022679</t>
  </si>
  <si>
    <t>BRAZO AUXILIAR</t>
  </si>
  <si>
    <t>454903936500</t>
  </si>
  <si>
    <t>R-0033-00767489</t>
  </si>
  <si>
    <t>A-0300-00090003</t>
  </si>
  <si>
    <t>R-0033-00750708</t>
  </si>
  <si>
    <t>A-0300-00076403</t>
  </si>
  <si>
    <t>167110L08000</t>
  </si>
  <si>
    <t>R-0033-00873034</t>
  </si>
  <si>
    <t>A-0300-00180976</t>
  </si>
  <si>
    <t>BALANCIN VALVULA</t>
  </si>
  <si>
    <t>138011101200</t>
  </si>
  <si>
    <t>R-0033-00798925</t>
  </si>
  <si>
    <t>A-0300-00116267</t>
  </si>
  <si>
    <t>A-0300-00176708</t>
  </si>
  <si>
    <t>A-0300-00134535</t>
  </si>
  <si>
    <t>JGO. JUNTAS CAJA TRANSFER</t>
  </si>
  <si>
    <t>043627114000</t>
  </si>
  <si>
    <t xml:space="preserve"> Suc.: Casa Central - Jujuy Tipo Ped.: Todos Ordenado: Artículo </t>
  </si>
  <si>
    <t>Subsistema Compras</t>
  </si>
  <si>
    <t>Observacion</t>
  </si>
  <si>
    <t>Total General</t>
  </si>
  <si>
    <t>Total Cliente</t>
  </si>
  <si>
    <t>VALVULA EXPANSION Nº 1</t>
  </si>
  <si>
    <t>885150K49000</t>
  </si>
  <si>
    <t>R-0005-00003816</t>
  </si>
  <si>
    <t>( 50105)</t>
  </si>
  <si>
    <t>Pcio.Unit.</t>
  </si>
  <si>
    <t xml:space="preserve"> Suc.: Casa Central - Jujuy Agrupado: Cliente </t>
  </si>
  <si>
    <t>Pendiente de Facturar</t>
  </si>
  <si>
    <t>Dev. Taller</t>
  </si>
  <si>
    <t>Cortesías - Planes</t>
  </si>
  <si>
    <t>Vta. Taller</t>
  </si>
  <si>
    <t>Preparación Pre-Entrega</t>
  </si>
  <si>
    <t>Cortesías - 0km</t>
  </si>
  <si>
    <t>Vta. Mostrador</t>
  </si>
  <si>
    <t>Insumos Varios Taller</t>
  </si>
  <si>
    <t>Dev. Mostrador</t>
  </si>
  <si>
    <t>Reparación Usadas</t>
  </si>
  <si>
    <t>Cortesias - Repuestos</t>
  </si>
  <si>
    <t>Cumplimiento</t>
  </si>
  <si>
    <t>Cliente: LEDESMA S.A.A.I.</t>
  </si>
  <si>
    <t xml:space="preserve">Cumplimiento </t>
  </si>
  <si>
    <t>REMITO QUE SE HIZO A LEDESMA, NO LLAMO AL REMITO QUE ESTABA // ver mail</t>
  </si>
  <si>
    <t>REMITO QUE SE HIZO A LEDESMA, NO LLAMO AL REMITO QUE ESTABA /ver mail</t>
  </si>
  <si>
    <t>Dif.Neta</t>
  </si>
  <si>
    <t>Dif.Absoluta</t>
  </si>
  <si>
    <t>Si</t>
  </si>
  <si>
    <t>OTRAS MARCAS</t>
  </si>
  <si>
    <t>D-19-02-B03</t>
  </si>
  <si>
    <t>SENSOR ESTACIONAMIENTO SONORO</t>
  </si>
  <si>
    <t>V04-11972-00003</t>
  </si>
  <si>
    <t>D-15-03-B03</t>
  </si>
  <si>
    <t>ALARMA DE RETROCESO</t>
  </si>
  <si>
    <t>V04-10248-00000</t>
  </si>
  <si>
    <t>D-CENTRO</t>
  </si>
  <si>
    <t>KIT CINTA REFLECT + LOGO 110 MAX</t>
  </si>
  <si>
    <t>V04-10109-00019</t>
  </si>
  <si>
    <t>PROTECTOR TANQUE COMB</t>
  </si>
  <si>
    <t>V04-10072-00002</t>
  </si>
  <si>
    <t>ADITIVO DIESEL COMMON RAIL</t>
  </si>
  <si>
    <t>V04-10064-00024</t>
  </si>
  <si>
    <t>D-16-00-F01</t>
  </si>
  <si>
    <t>T-131 CUBRE CAJA TRANSF.</t>
  </si>
  <si>
    <t>V04-10000-00001</t>
  </si>
  <si>
    <t>KIT DE PROTECCION DE FUELLES</t>
  </si>
  <si>
    <t>V04-00001-0001</t>
  </si>
  <si>
    <t>TOYOTA</t>
  </si>
  <si>
    <t>E-06-01-J01</t>
  </si>
  <si>
    <t>PULSADOR DE CAPOT- ALARMA</t>
  </si>
  <si>
    <t>V02-2530-00004</t>
  </si>
  <si>
    <t>D-19-01-B06</t>
  </si>
  <si>
    <t>LEVANTA CRISTAL ETIOS-UNIVERSAL P/DELAN</t>
  </si>
  <si>
    <t>V02-2530-00003</t>
  </si>
  <si>
    <t>E-06-03-E03</t>
  </si>
  <si>
    <t>JUEGO DE CALZAS METALICAS (JGO X 2)</t>
  </si>
  <si>
    <t>V01-MIN-0010</t>
  </si>
  <si>
    <t>E-06-01-B04</t>
  </si>
  <si>
    <t>CUBRE LUNETA MATERIAL DESPLEGADO</t>
  </si>
  <si>
    <t>V01-MIN-0005</t>
  </si>
  <si>
    <t>D-24-01-A02</t>
  </si>
  <si>
    <t>BALIZA ESTROBOSCOPICA</t>
  </si>
  <si>
    <t>V01-MIN-0003</t>
  </si>
  <si>
    <t>D-15-01-D01</t>
  </si>
  <si>
    <t>PERTIGA</t>
  </si>
  <si>
    <t>V01-MIN-0002</t>
  </si>
  <si>
    <t>D-10-06-K01</t>
  </si>
  <si>
    <t>JAULA INTERNA 4PTS C/D</t>
  </si>
  <si>
    <t>V01-MIN-0001</t>
  </si>
  <si>
    <t>H-02-09-M01</t>
  </si>
  <si>
    <t>LINTERNA MULTIFUNCION</t>
  </si>
  <si>
    <t>V01-LINTERNA</t>
  </si>
  <si>
    <t>D-15-01-D05</t>
  </si>
  <si>
    <t>SNORKEL ALTERNATIVO HX 2005&gt;2015</t>
  </si>
  <si>
    <t>V01-2984-0005</t>
  </si>
  <si>
    <t>H-01-10-F01</t>
  </si>
  <si>
    <t>CUBRE CARTER COROLLA 2020</t>
  </si>
  <si>
    <t>V01-2984-00001</t>
  </si>
  <si>
    <t>H-02-07-A12</t>
  </si>
  <si>
    <t>MARIPOSERO ETIOS (MAR-804)</t>
  </si>
  <si>
    <t>V01-2691-00004</t>
  </si>
  <si>
    <t>E-06-03-D03</t>
  </si>
  <si>
    <t>T-73 CUBRE CARTER ETIOS</t>
  </si>
  <si>
    <t>V01-2691-00003</t>
  </si>
  <si>
    <t>H-02-07-A08</t>
  </si>
  <si>
    <t>DEFLECTORES DE VENTANILLAS HILUX C/D</t>
  </si>
  <si>
    <t>V01-2571-0008</t>
  </si>
  <si>
    <t>H-02-06-C02</t>
  </si>
  <si>
    <t>BARRA 4PTS C/S INTERNA</t>
  </si>
  <si>
    <t>V01-2546-00007</t>
  </si>
  <si>
    <t>H-02-09-A00</t>
  </si>
  <si>
    <t>ALARMA DP20 TX-390 + CTRL</t>
  </si>
  <si>
    <t>V01-2530-00005</t>
  </si>
  <si>
    <t>D-15-03-C03</t>
  </si>
  <si>
    <t>ALARMA HILUX TX-915 3480 C/CONTROL</t>
  </si>
  <si>
    <t>V01-2530-00002</t>
  </si>
  <si>
    <t>D-15-03-C01</t>
  </si>
  <si>
    <t>ALARMA TX-360 PLIP(3479) CONTROL LLAVE</t>
  </si>
  <si>
    <t>V01-2530-00001</t>
  </si>
  <si>
    <t>D-15-03-C02</t>
  </si>
  <si>
    <t>KIT TUERCAS ANTIRROBO chapa etios</t>
  </si>
  <si>
    <t>V01-2514-00019</t>
  </si>
  <si>
    <t>D-15-00-E01</t>
  </si>
  <si>
    <t>KIT FAROS ANTINIEBLAS RAV4 2006...</t>
  </si>
  <si>
    <t>V01-1516-00082</t>
  </si>
  <si>
    <t>E-06-03-D01</t>
  </si>
  <si>
    <t>KIT FAROS ANTINIEBLAS ETIOS</t>
  </si>
  <si>
    <t>V01-1516-00081</t>
  </si>
  <si>
    <t>E-06-00-B04</t>
  </si>
  <si>
    <t>D-584 CAÑO SALIDA DE MOTOR HILUX</t>
  </si>
  <si>
    <t>V01-1410-00001</t>
  </si>
  <si>
    <t>H-02-08-A08</t>
  </si>
  <si>
    <t>MAR-807-R MARIPOSERO REFORZ SW4 16+</t>
  </si>
  <si>
    <t>V01-0737-00058</t>
  </si>
  <si>
    <t>H-01-09-C07</t>
  </si>
  <si>
    <t>T-31 CUBRE CARTER NUEVO COROLLA 14+</t>
  </si>
  <si>
    <t>V01-0737-00046</t>
  </si>
  <si>
    <t>H-02-07-A09</t>
  </si>
  <si>
    <t>MAR-811 MARIPOSERO COROLLA 2010/2011</t>
  </si>
  <si>
    <t>V01-0737-00039</t>
  </si>
  <si>
    <t>H-01-10-E06</t>
  </si>
  <si>
    <t>MAR-810 MARIPOSERO COROLLA 2008/2010</t>
  </si>
  <si>
    <t>V01-0737-00038</t>
  </si>
  <si>
    <t>H-01-10-E05</t>
  </si>
  <si>
    <t>T-30 CUBRE CARTER COROLLA 08...</t>
  </si>
  <si>
    <t>V01-0737-00035</t>
  </si>
  <si>
    <t>H-02-07-A11</t>
  </si>
  <si>
    <t>T-28 CUBRE CAJA TRANSF. HILUX 05....</t>
  </si>
  <si>
    <t>V01-0737-00023</t>
  </si>
  <si>
    <t>H-02-07-A04</t>
  </si>
  <si>
    <t>MAR-803/1 CUBRE MALEZA</t>
  </si>
  <si>
    <t>V01-0737-00016</t>
  </si>
  <si>
    <t>H-02-08-B09</t>
  </si>
  <si>
    <t>MAR-803/2 MARIPOSERO TURBO HILUX IMV</t>
  </si>
  <si>
    <t>V01-0737-00015</t>
  </si>
  <si>
    <t>E-06-03-D02</t>
  </si>
  <si>
    <t>KIT LEVANTA VIDRIOS PST 2 P(12516000)</t>
  </si>
  <si>
    <t>V01-0715-00013</t>
  </si>
  <si>
    <t>E-06-03-E01</t>
  </si>
  <si>
    <t>ADITIVO ANTICONGELANTE COMB.</t>
  </si>
  <si>
    <t>V01-064-00004</t>
  </si>
  <si>
    <t>D-16-00-F03</t>
  </si>
  <si>
    <t>PROTECTOR DIFERENCIAL HILUX2016</t>
  </si>
  <si>
    <t>V01-039-00022</t>
  </si>
  <si>
    <t>H-02-07-B03</t>
  </si>
  <si>
    <t>PROTECTOR TANQUE HILUX</t>
  </si>
  <si>
    <t>V01-039-00005</t>
  </si>
  <si>
    <t>H-02-06-B01</t>
  </si>
  <si>
    <t>tecla levantacristal</t>
  </si>
  <si>
    <t>V01-0145-00052</t>
  </si>
  <si>
    <t>D-17-02-F05</t>
  </si>
  <si>
    <t>16361410917 PALETA DE VENTILADOR 2L/3L</t>
  </si>
  <si>
    <t>V01-0145-00023</t>
  </si>
  <si>
    <t>D-05-05-A19</t>
  </si>
  <si>
    <t>arandela estrella</t>
  </si>
  <si>
    <t>V01-0145-00017</t>
  </si>
  <si>
    <t>E-06-01-F05</t>
  </si>
  <si>
    <t>CIRCULO DE MAX. SEG. VEL110</t>
  </si>
  <si>
    <t>V01-003-00006</t>
  </si>
  <si>
    <t>E-06-00-C03</t>
  </si>
  <si>
    <t>SST TOOLING</t>
  </si>
  <si>
    <t>TDB190800100</t>
  </si>
  <si>
    <t>D-17-01-C01</t>
  </si>
  <si>
    <t>PASTILLAS DE FRENO</t>
  </si>
  <si>
    <t>TA6250200300</t>
  </si>
  <si>
    <t>D-03-01-B05</t>
  </si>
  <si>
    <t>ACRILICO TRAS DER</t>
  </si>
  <si>
    <t>SUG010006000</t>
  </si>
  <si>
    <t>D-12-03-D05</t>
  </si>
  <si>
    <t>JGO. PASTILLAS FRENO</t>
  </si>
  <si>
    <t>SU0030467800</t>
  </si>
  <si>
    <t>D-03-00-F08</t>
  </si>
  <si>
    <t>JUNTA CARTER ACEITE</t>
  </si>
  <si>
    <t>SU0030215900</t>
  </si>
  <si>
    <t>BUJIA</t>
  </si>
  <si>
    <t>SU0030041600</t>
  </si>
  <si>
    <t>D-18-01-D09</t>
  </si>
  <si>
    <t>RELAY</t>
  </si>
  <si>
    <t>D-19-02-H04</t>
  </si>
  <si>
    <t>KIT APAGADO DE LUCES - CAT 3</t>
  </si>
  <si>
    <t>PZV861421000</t>
  </si>
  <si>
    <t>D-05-02-F01</t>
  </si>
  <si>
    <t>TUERCAS SEG  LLANT. ALEAC COROLL Y YARIS</t>
  </si>
  <si>
    <t>D-15-00-E05</t>
  </si>
  <si>
    <t>ALFOMBRA BAUL ETIOS H/B - CAT 3</t>
  </si>
  <si>
    <t>PZV821511000</t>
  </si>
  <si>
    <t>H-02-09-L01</t>
  </si>
  <si>
    <t>MOLDURA LATERAL - CAT 3</t>
  </si>
  <si>
    <t>PZV811603000</t>
  </si>
  <si>
    <t>H-01-07-D06</t>
  </si>
  <si>
    <t>MOLDURA LATERAL S/D - CAT 3</t>
  </si>
  <si>
    <t>PZV811421000</t>
  </si>
  <si>
    <t>H-01-07-D04</t>
  </si>
  <si>
    <t>PZV811401000</t>
  </si>
  <si>
    <t>H-01-03-D06</t>
  </si>
  <si>
    <t>SENSOR ESTACIONAM. COROL 14 ETIOS -CAT 3</t>
  </si>
  <si>
    <t>PZV801601000</t>
  </si>
  <si>
    <t>D-15-03-D01</t>
  </si>
  <si>
    <t>TARJETA MEMORIA ARG ETIOS P 42017..</t>
  </si>
  <si>
    <t>PZV682121100</t>
  </si>
  <si>
    <t>D-17-02-E04</t>
  </si>
  <si>
    <t>INST.ELEC.SET GPS.TV.MIC</t>
  </si>
  <si>
    <t>PZV681423300</t>
  </si>
  <si>
    <t>D-16-02-C03</t>
  </si>
  <si>
    <t>MANIJA PTA.CROMADA - CAT 3</t>
  </si>
  <si>
    <t>PZV611601000</t>
  </si>
  <si>
    <t>H-01-07-D13</t>
  </si>
  <si>
    <t>PZV611421000</t>
  </si>
  <si>
    <t>E-06-00-E02</t>
  </si>
  <si>
    <t>PROTECTOR PARAGOLPE - CAT 3</t>
  </si>
  <si>
    <t>PZV341601000</t>
  </si>
  <si>
    <t>H-01-06-E03</t>
  </si>
  <si>
    <t>PROTECTOR PARAG. H/B RR - CAT 3</t>
  </si>
  <si>
    <t>PZV341411000</t>
  </si>
  <si>
    <t>H-01-07-D14</t>
  </si>
  <si>
    <t>PROTECTOR PARAGOLPES - CAT 3</t>
  </si>
  <si>
    <t>PZV340801100</t>
  </si>
  <si>
    <t>H-01-06-E16</t>
  </si>
  <si>
    <t>SIDE VISOR COROLLA 2014 - CAT 3</t>
  </si>
  <si>
    <t>PZV331601000</t>
  </si>
  <si>
    <t>H-01-03-D03</t>
  </si>
  <si>
    <t>PROTECTOR LUNETA</t>
  </si>
  <si>
    <t>PZV198900300</t>
  </si>
  <si>
    <t>H-01-05-E05</t>
  </si>
  <si>
    <t>PROTECTOR FARO NEGRO</t>
  </si>
  <si>
    <t>PZV1689001BL</t>
  </si>
  <si>
    <t>H-02-06-E03</t>
  </si>
  <si>
    <t>GANCHO CERRADURA PTA</t>
  </si>
  <si>
    <t>PZU350601006</t>
  </si>
  <si>
    <t>D-16-00-D08</t>
  </si>
  <si>
    <t>CERRADURA PUERTA TRASERA</t>
  </si>
  <si>
    <t>PZU350601005</t>
  </si>
  <si>
    <t>D-05-02-E01</t>
  </si>
  <si>
    <t>ZOCALO ALUM COROLLA - CAT 3</t>
  </si>
  <si>
    <t>PZU290801000</t>
  </si>
  <si>
    <t>H-01-06-E17</t>
  </si>
  <si>
    <t>ZOCALOS ALUMINIO  HILUX DC - CAT 3</t>
  </si>
  <si>
    <t>PZU290601000</t>
  </si>
  <si>
    <t>E-06-03-B01</t>
  </si>
  <si>
    <t>CONJ.TOMA ELEC.ENGAN - CAT 3</t>
  </si>
  <si>
    <t>PZU1206010TM</t>
  </si>
  <si>
    <t>D-18-01-B02</t>
  </si>
  <si>
    <t>CUBREALFOMBRA RAV4</t>
  </si>
  <si>
    <t>PZU101001100</t>
  </si>
  <si>
    <t>H-02-09-J01</t>
  </si>
  <si>
    <t>TAILGATE CENTRAL LOCKING</t>
  </si>
  <si>
    <t>PZQ718907000</t>
  </si>
  <si>
    <t>D-15-02-F04</t>
  </si>
  <si>
    <t>GANCHO DE ARRASTRE</t>
  </si>
  <si>
    <t>PZQ636031000</t>
  </si>
  <si>
    <t>D-10-02-D01</t>
  </si>
  <si>
    <t>DEFLECTOR DE CAPOT HX NEGRO - CAT 3</t>
  </si>
  <si>
    <t>PZQ158933000</t>
  </si>
  <si>
    <t>H-02-06-E10</t>
  </si>
  <si>
    <t>DEFLEC. DE CAPOT TRANSP. HILUX 21 -CAT 3</t>
  </si>
  <si>
    <t>PZQ158932000</t>
  </si>
  <si>
    <t>H-02-06-E07</t>
  </si>
  <si>
    <t>DEFLECTOR DE CAPOT HX - CAT 3</t>
  </si>
  <si>
    <t>PZQ158931500</t>
  </si>
  <si>
    <t>H-02-06-E06</t>
  </si>
  <si>
    <t>SCUFFPLATE ALUMIN.</t>
  </si>
  <si>
    <t>PZ467X018200</t>
  </si>
  <si>
    <t>E-06-03-B03</t>
  </si>
  <si>
    <t>PROT NEGRO FARO TRAS</t>
  </si>
  <si>
    <t>PZ415X0994ZA</t>
  </si>
  <si>
    <t>H-01-05-E06</t>
  </si>
  <si>
    <t>FRONT GUARD</t>
  </si>
  <si>
    <t>PZ415X095200</t>
  </si>
  <si>
    <t>H-02-06-E02</t>
  </si>
  <si>
    <t>PROTECTOR DE ZOCALO</t>
  </si>
  <si>
    <t>PZ415J018000</t>
  </si>
  <si>
    <t>E-06-03-B02</t>
  </si>
  <si>
    <t>PARASOL PORTAOBJETOS</t>
  </si>
  <si>
    <t>PZ0810001402</t>
  </si>
  <si>
    <t>D-15-03-A03</t>
  </si>
  <si>
    <t>D-13-00-B01</t>
  </si>
  <si>
    <t>ij</t>
  </si>
  <si>
    <t>MUFFLER CUTTER (COLA ESCAPE CROMADA)</t>
  </si>
  <si>
    <t>pz0560d00700</t>
  </si>
  <si>
    <t>D-06-02-E03</t>
  </si>
  <si>
    <t>MOLDURAS LATERALES HATCHBACK - CAT 3</t>
  </si>
  <si>
    <t>PZ0470D60200</t>
  </si>
  <si>
    <t>H-01-07-D05</t>
  </si>
  <si>
    <t>MOLDURA CROMADA ESPEJO - CAT 3</t>
  </si>
  <si>
    <t>PZ0421200500</t>
  </si>
  <si>
    <t>E-06-00-C02</t>
  </si>
  <si>
    <t>CUBRE ESPEJO C/LUZ DE GIRO</t>
  </si>
  <si>
    <t>PZ0420K03200</t>
  </si>
  <si>
    <t>D-12-02-D04</t>
  </si>
  <si>
    <t>MOLDURA INF.TRASERA - CAT 3</t>
  </si>
  <si>
    <t>PZ0381200300</t>
  </si>
  <si>
    <t>H-01-07-D03</t>
  </si>
  <si>
    <t>MOLDURA BAUL COROLLA - CAT 3</t>
  </si>
  <si>
    <t>PZ0381200200</t>
  </si>
  <si>
    <t>H-01-07-D12</t>
  </si>
  <si>
    <t>SHIFT KNOB 4X4 LEATH</t>
  </si>
  <si>
    <t>PZ0200K01900</t>
  </si>
  <si>
    <t>D-15-00-B02</t>
  </si>
  <si>
    <t>PORTA TABLET - CAT 3</t>
  </si>
  <si>
    <t>PZ0170000601</t>
  </si>
  <si>
    <t>D-08-02-E03</t>
  </si>
  <si>
    <t>APLIQUE CROM. CAJA CAMBIO - CAT 3</t>
  </si>
  <si>
    <t>PZ0150D60300</t>
  </si>
  <si>
    <t>D-15-03-A02</t>
  </si>
  <si>
    <t>HELADERA - CAT 3</t>
  </si>
  <si>
    <t>PZ00606001M1</t>
  </si>
  <si>
    <t>H-01-09-C05</t>
  </si>
  <si>
    <t>RED DE BAUL - CAT 3</t>
  </si>
  <si>
    <t>PZ0030D00600</t>
  </si>
  <si>
    <t>D-15-00-C02</t>
  </si>
  <si>
    <t>BANDEJA BAUL ETIOS 4P - CAT 3</t>
  </si>
  <si>
    <t>PZ0020D01000</t>
  </si>
  <si>
    <t>H-02-06-D01</t>
  </si>
  <si>
    <t>TUERCA SEGURIDAD</t>
  </si>
  <si>
    <t>PW4560001300</t>
  </si>
  <si>
    <t>D-06-01-G01</t>
  </si>
  <si>
    <t>BORDE CONTENEDOR DE CARGA</t>
  </si>
  <si>
    <t>PW3B10K02200</t>
  </si>
  <si>
    <t>H-01-07-D10</t>
  </si>
  <si>
    <t>BARRAS PORTAEQUIPAJES P/CAJA - CAT 2</t>
  </si>
  <si>
    <t>PW3010K00000</t>
  </si>
  <si>
    <t>H-01-07-D07</t>
  </si>
  <si>
    <t>BANDEJA BAUL RAV5 2022 - CAT 3</t>
  </si>
  <si>
    <t>PW2414200000</t>
  </si>
  <si>
    <t>H-01-10-B01</t>
  </si>
  <si>
    <t>ENGANCHE DE REMOLQUE COROLLA CROSS</t>
  </si>
  <si>
    <t>PV9600221000</t>
  </si>
  <si>
    <t>H-01-01-A02</t>
  </si>
  <si>
    <t>COROLLA FOG LIGHT CHROME</t>
  </si>
  <si>
    <t>PV5980202000</t>
  </si>
  <si>
    <t>E-06-00-C04</t>
  </si>
  <si>
    <t>SENSOR ESTAC TRAS YARIS</t>
  </si>
  <si>
    <t>PV5010D22000</t>
  </si>
  <si>
    <t>D-15-03-C06</t>
  </si>
  <si>
    <t>SENSOR ESTAC. SD - CAT 3</t>
  </si>
  <si>
    <t>PV5010D00200</t>
  </si>
  <si>
    <t>D-15-03-D03</t>
  </si>
  <si>
    <t>SEGURO PARA RUEDA DE AUXILIO - CAT 3</t>
  </si>
  <si>
    <t>PV4580D00100</t>
  </si>
  <si>
    <t>D-15-00-D02</t>
  </si>
  <si>
    <t>TUERCAS SEGURIDAD COROLLA - CAT 3</t>
  </si>
  <si>
    <t>PV4580200100</t>
  </si>
  <si>
    <t>D-15-00-E02</t>
  </si>
  <si>
    <t>TUERCA DE SEGURIDAD</t>
  </si>
  <si>
    <t>PV4560K00100</t>
  </si>
  <si>
    <t>D-15-00-F05</t>
  </si>
  <si>
    <t>PUNTA DE ESCAPE CROM - COROLLA CROSS</t>
  </si>
  <si>
    <t>PV4130A01000</t>
  </si>
  <si>
    <t>D-08-01-H02</t>
  </si>
  <si>
    <t>COROLLA REAR BUMPER CHROM</t>
  </si>
  <si>
    <t>PV4050201000</t>
  </si>
  <si>
    <t>H-01-04-D01</t>
  </si>
  <si>
    <t>CROMADO DE ESPEJOS RETROV</t>
  </si>
  <si>
    <t>PV4030A01000</t>
  </si>
  <si>
    <t>D-06-01-C04</t>
  </si>
  <si>
    <t>COROLLA REAR VIEW MIRROR</t>
  </si>
  <si>
    <t>PV4030202000</t>
  </si>
  <si>
    <t>E-06-00-C01</t>
  </si>
  <si>
    <t>APLIQUE CROM. FAROL NEBLI</t>
  </si>
  <si>
    <t>PV4010A01000</t>
  </si>
  <si>
    <t>D-15-00-F04</t>
  </si>
  <si>
    <t>COROLLA FRONT BUMPER CHRO</t>
  </si>
  <si>
    <t>PV4010201000</t>
  </si>
  <si>
    <t>E-06-01-E03</t>
  </si>
  <si>
    <t>ESTRIBOS</t>
  </si>
  <si>
    <t>PV3880A01000</t>
  </si>
  <si>
    <t>H-01-04-A02</t>
  </si>
  <si>
    <t>CONJUNTO ZOCALOS DE ALUMINIO - CAT 3</t>
  </si>
  <si>
    <t>PV3820D00100</t>
  </si>
  <si>
    <t>D-15-01-C05</t>
  </si>
  <si>
    <t>SCUFF PLATE</t>
  </si>
  <si>
    <t>PV3820A01000</t>
  </si>
  <si>
    <t>D-15-00-F03</t>
  </si>
  <si>
    <t>ZOCALOS - CAT 3</t>
  </si>
  <si>
    <t>PV3820201000</t>
  </si>
  <si>
    <t>H-01-06-E08</t>
  </si>
  <si>
    <t>COBERTOR BAUL - SD</t>
  </si>
  <si>
    <t>PV2410D02100</t>
  </si>
  <si>
    <t>H-02-07-C02</t>
  </si>
  <si>
    <t>COBERTOR BAUL - SD - CAT 3</t>
  </si>
  <si>
    <t>PV2410D02000</t>
  </si>
  <si>
    <t>H-02-05-G01</t>
  </si>
  <si>
    <t>BANDEJA BAUL HB</t>
  </si>
  <si>
    <t>PV2410D01100</t>
  </si>
  <si>
    <t>H-01-09-C02</t>
  </si>
  <si>
    <t>COBERT.BAUL - HB - CAT 3</t>
  </si>
  <si>
    <t>PV2410D01000</t>
  </si>
  <si>
    <t>H-02-05-G02</t>
  </si>
  <si>
    <t>BANDEJA BAUL - HB - CAT 3</t>
  </si>
  <si>
    <t>PV2410D00100</t>
  </si>
  <si>
    <t>H-01-09-C01</t>
  </si>
  <si>
    <t>COBERTOR DE BAUL COROLLA CROSS - CAT 3</t>
  </si>
  <si>
    <t>PV2410A01000</t>
  </si>
  <si>
    <t>H-01-09-B01</t>
  </si>
  <si>
    <t>COBERTOR DE BAUL COROLLA S/D - CAT 3</t>
  </si>
  <si>
    <t>PV2410203000</t>
  </si>
  <si>
    <t>H-02-06-D02</t>
  </si>
  <si>
    <t>PROTECTOR PARAG.SD - CAT 3</t>
  </si>
  <si>
    <t>PV1770D04000</t>
  </si>
  <si>
    <t>H-01-06-E07</t>
  </si>
  <si>
    <t>PROTECTOR LAT.PARAG.HB - CAT 3</t>
  </si>
  <si>
    <t>PV1770D01000</t>
  </si>
  <si>
    <t>D-15-03-A01</t>
  </si>
  <si>
    <t>MOLDURA LATERAL</t>
  </si>
  <si>
    <t>PV1700D02010</t>
  </si>
  <si>
    <t>H-01-06-E05</t>
  </si>
  <si>
    <t>MOLDURA EXTERIOR BAJA - CAT 3</t>
  </si>
  <si>
    <t>PV1700203000</t>
  </si>
  <si>
    <t>H-01-03-D05</t>
  </si>
  <si>
    <t>PV1700201000</t>
  </si>
  <si>
    <t>H-01-04-D03</t>
  </si>
  <si>
    <t>DEFLECTOR DE VIENTO - SD - CAT 3</t>
  </si>
  <si>
    <t>PV1620D02000</t>
  </si>
  <si>
    <t>H-01-07-D01</t>
  </si>
  <si>
    <t>DEFLECTOR DE VIENTO - HB - CAT 3</t>
  </si>
  <si>
    <t>PV1620D01000</t>
  </si>
  <si>
    <t>H-01-06-E14</t>
  </si>
  <si>
    <t>DEFLECTORES DE VENTANILLA</t>
  </si>
  <si>
    <t>PV1620A01000</t>
  </si>
  <si>
    <t>H-01-07-D08</t>
  </si>
  <si>
    <t>DEFLECTOR DE VENTANILLAS - CAT 3</t>
  </si>
  <si>
    <t>PV1620202000</t>
  </si>
  <si>
    <t>H-01-06-A03</t>
  </si>
  <si>
    <t>PERNO P/GANCHO 750KG - CAT 3</t>
  </si>
  <si>
    <t>PH9601002000</t>
  </si>
  <si>
    <t>D-06-02-B03</t>
  </si>
  <si>
    <t>D-06-02-B01</t>
  </si>
  <si>
    <t>KIT GANCHO cuerpo principal - CAT 1</t>
  </si>
  <si>
    <t>PH9600KM1000</t>
  </si>
  <si>
    <t>H-01-01-A05</t>
  </si>
  <si>
    <t>COVERTOR PLASTICO GANCHO SW4 DIAMOND</t>
  </si>
  <si>
    <t>PH9600KB11PC</t>
  </si>
  <si>
    <t>D-10-02-C06</t>
  </si>
  <si>
    <t>GANCHO DE ARRASTRE SW4 DIAMOND/SRX MY24</t>
  </si>
  <si>
    <t>PH9600KB1100</t>
  </si>
  <si>
    <t>H-01-00-A01</t>
  </si>
  <si>
    <t>KIT PERNO TH SW4 ARG - CAT 3</t>
  </si>
  <si>
    <t>PH9600KB10PT</t>
  </si>
  <si>
    <t>D-06-02-B02</t>
  </si>
  <si>
    <t>COBERT.PLAST.TRAS CTRAL ENGA SW4 - CAT 3</t>
  </si>
  <si>
    <t>PH9600KB10PC</t>
  </si>
  <si>
    <t>D-07-02-D04</t>
  </si>
  <si>
    <t>KIT BOCHA TH SW4 ARG - CAT 3</t>
  </si>
  <si>
    <t>PH9600KB10BT</t>
  </si>
  <si>
    <t>D-10-01-C01</t>
  </si>
  <si>
    <t>KIT GANCHO BOCHA SW4 - CAT 1</t>
  </si>
  <si>
    <t>PH9600KB1000</t>
  </si>
  <si>
    <t>H-01-00-A02</t>
  </si>
  <si>
    <t>SOPORTE MATAFUEGO - CAT 3</t>
  </si>
  <si>
    <t>PH8B00KM1000</t>
  </si>
  <si>
    <t>E-06-02-C03</t>
  </si>
  <si>
    <t>PH8B00001000</t>
  </si>
  <si>
    <t>D-08-01-F04</t>
  </si>
  <si>
    <t>JGO ESTRIBO - CAT 2</t>
  </si>
  <si>
    <t>PH7000KM10DO</t>
  </si>
  <si>
    <t>H-02-08-A10</t>
  </si>
  <si>
    <t>INST.ELEC.SW4 (TH) - CAT 1</t>
  </si>
  <si>
    <t>PH5D21002000</t>
  </si>
  <si>
    <t>H-01-04-D07</t>
  </si>
  <si>
    <t>INST.ELEC.PU (TH) - CAT 1</t>
  </si>
  <si>
    <t>PH5D21001000</t>
  </si>
  <si>
    <t>H-01-04-D06</t>
  </si>
  <si>
    <t>AMORTIGUADOR DEL</t>
  </si>
  <si>
    <t>PH5101001000</t>
  </si>
  <si>
    <t>D-10-05-C01</t>
  </si>
  <si>
    <t>CENTRO LLANTA ED.LIMITADA</t>
  </si>
  <si>
    <t>PH4580KX1000</t>
  </si>
  <si>
    <t>D-10-04-C05</t>
  </si>
  <si>
    <t>SOPORTE RUEDA AUXILIO</t>
  </si>
  <si>
    <t>PH4580KM1000</t>
  </si>
  <si>
    <t>H-01-02-B01</t>
  </si>
  <si>
    <t>SET HERRAM. TUERCAS SEG.</t>
  </si>
  <si>
    <t>PH45610010ST</t>
  </si>
  <si>
    <t>D-06-02-E04</t>
  </si>
  <si>
    <t>PROTEC.INSECT.GRILLA DEL. - CAT 3</t>
  </si>
  <si>
    <t>PH4231001000</t>
  </si>
  <si>
    <t>H-02-07-C10</t>
  </si>
  <si>
    <t>FRONT, BUMPER GUARD SW4</t>
  </si>
  <si>
    <t>PH4011005000</t>
  </si>
  <si>
    <t>H-01-02-C01</t>
  </si>
  <si>
    <t>PROTECTOR FRONTAL HILUX 2021 - CAT 2</t>
  </si>
  <si>
    <t>PH4011002000</t>
  </si>
  <si>
    <t>H-01-02-C02</t>
  </si>
  <si>
    <t>PROTECTOR CARTER HILUX</t>
  </si>
  <si>
    <t>PH3B41001000</t>
  </si>
  <si>
    <t>TERMINACION PORTON TRAS. - CAT 3</t>
  </si>
  <si>
    <t>PH3B20KA10TG</t>
  </si>
  <si>
    <t>H-01-03-D01</t>
  </si>
  <si>
    <t>LONA CAJA</t>
  </si>
  <si>
    <t>PH3B10KA22SP</t>
  </si>
  <si>
    <t>H-01-00-B03</t>
  </si>
  <si>
    <t>COBERTOR CAJA DC DO</t>
  </si>
  <si>
    <t>PH3B10KA13DO</t>
  </si>
  <si>
    <t>DEPOSITO</t>
  </si>
  <si>
    <t>STC FOAM KIT 1</t>
  </si>
  <si>
    <t>PH3B10KA11K1</t>
  </si>
  <si>
    <t>D-15-02-F01</t>
  </si>
  <si>
    <t>COB.CAJA DC- VARILLA COB HX16&gt; - CAT 3</t>
  </si>
  <si>
    <t>PH3B10KA10UP</t>
  </si>
  <si>
    <t>H-01-06-E12</t>
  </si>
  <si>
    <t>SEPARADOR DE CARGA HX 2016 - CAT 3</t>
  </si>
  <si>
    <t>PH3B10KA10LS</t>
  </si>
  <si>
    <t>H-01-03-D02</t>
  </si>
  <si>
    <t>BARRA GRS-3</t>
  </si>
  <si>
    <t>PH3B010160SP</t>
  </si>
  <si>
    <t>H-01-02-A03</t>
  </si>
  <si>
    <t>BARRA ANTIV.CROM.SPORT - CAT 1</t>
  </si>
  <si>
    <t>PH3B01015000</t>
  </si>
  <si>
    <t>H-01-04-A01</t>
  </si>
  <si>
    <t>BARRA GAZOO II</t>
  </si>
  <si>
    <t>PH3B010010SP</t>
  </si>
  <si>
    <t>H-01-00-A04</t>
  </si>
  <si>
    <t>BARRA PORTON TRAS.SC - CAT</t>
  </si>
  <si>
    <t>PH3B00KJ2000</t>
  </si>
  <si>
    <t>H-01-09-B09</t>
  </si>
  <si>
    <t>BARRA DE TRABAJO SC - CAT 1</t>
  </si>
  <si>
    <t>PH3B00KJ1000</t>
  </si>
  <si>
    <t>D-24-00-A05</t>
  </si>
  <si>
    <t>BARRA PORTON TRAS.DC - CAT 3</t>
  </si>
  <si>
    <t>PH3B00KA2000</t>
  </si>
  <si>
    <t>H-01-09-A01</t>
  </si>
  <si>
    <t>BARRA NEGRA GR-S IV</t>
  </si>
  <si>
    <t>PH3B00KA17FF</t>
  </si>
  <si>
    <t>B-CENTRO</t>
  </si>
  <si>
    <t>BARRA DE LUJO CROMADA H</t>
  </si>
  <si>
    <t>PH3B00KA15HS</t>
  </si>
  <si>
    <t>H-01-02-A01</t>
  </si>
  <si>
    <t>BARRA DE LUJO NEGRA H - CAT 1</t>
  </si>
  <si>
    <t>PH3B00KA14HB</t>
  </si>
  <si>
    <t>H-01-03-A01</t>
  </si>
  <si>
    <t>BARRA DE LUJO NEGRA C - CAT 1</t>
  </si>
  <si>
    <t>PH3B00KA14CB</t>
  </si>
  <si>
    <t>H-01-08-A03</t>
  </si>
  <si>
    <t>SOPORTE BAR.LUJO C/LONA 2016 - CAT 3</t>
  </si>
  <si>
    <t>PH3B00KA12CT</t>
  </si>
  <si>
    <t>H-01-06-A02</t>
  </si>
  <si>
    <t>BARRA SPORT HX 2016 - CAT 1</t>
  </si>
  <si>
    <t>PH3B00KA1100</t>
  </si>
  <si>
    <t>H-01-01-A01</t>
  </si>
  <si>
    <t>BARRA DE TRABAJO DC- CAT 1</t>
  </si>
  <si>
    <t>PH3B00KA1000</t>
  </si>
  <si>
    <t>H-01-01-A03</t>
  </si>
  <si>
    <t>TRUNK LINER 2 ROW SEAT</t>
  </si>
  <si>
    <t>PH2410KB1300</t>
  </si>
  <si>
    <t>H-01-03-A02</t>
  </si>
  <si>
    <t>TRUNK LINER 3 ROW SEAT</t>
  </si>
  <si>
    <t>PH2410KB1200</t>
  </si>
  <si>
    <t>H-02-05-M03</t>
  </si>
  <si>
    <t>CALCO 4X4 - CAT 3</t>
  </si>
  <si>
    <t>PH1861013000</t>
  </si>
  <si>
    <t>D-15-01-C02</t>
  </si>
  <si>
    <t>CALCO LAT.PU.LH BRONCE - CAT 3</t>
  </si>
  <si>
    <t>PH1861006000</t>
  </si>
  <si>
    <t>H-01-06-B02</t>
  </si>
  <si>
    <t>CALCO LAT.PU.RH BRONCE - CAT 3</t>
  </si>
  <si>
    <t>PH1861005000</t>
  </si>
  <si>
    <t>H-01-06-B03</t>
  </si>
  <si>
    <t>CALCO LAT.PU.LH NEGRO - CAT 3</t>
  </si>
  <si>
    <t>PH1861004000</t>
  </si>
  <si>
    <t>H-01-06-B04</t>
  </si>
  <si>
    <t>CALCO LAT.PU.RH NEGRO - CAT 3</t>
  </si>
  <si>
    <t>PH1861003000</t>
  </si>
  <si>
    <t>H-01-06-B01</t>
  </si>
  <si>
    <t>CALCO LAT. SW4 - CAT 3</t>
  </si>
  <si>
    <t>PH1860KB1000</t>
  </si>
  <si>
    <t>H-01-09-A07</t>
  </si>
  <si>
    <t>CALCO LAT. DC HX 2016 - CAT 3</t>
  </si>
  <si>
    <t>PH1860KA1000</t>
  </si>
  <si>
    <t>H-01-09-A09</t>
  </si>
  <si>
    <t>PAINT PROTECT FILM</t>
  </si>
  <si>
    <t>PH1750KM1000</t>
  </si>
  <si>
    <t>H-01-10-B12</t>
  </si>
  <si>
    <t>PAINT PROTECTION FILM - D</t>
  </si>
  <si>
    <t>PH1741001000</t>
  </si>
  <si>
    <t>D-17-02-C04</t>
  </si>
  <si>
    <t>KIT DE AUXILIO TOYOTA - CAT 3</t>
  </si>
  <si>
    <t>PH0221001000</t>
  </si>
  <si>
    <t>R-01-02-A01</t>
  </si>
  <si>
    <t>D-25-01-A01</t>
  </si>
  <si>
    <t>PROY. DE VELOC. EN PARAB. HX 2016 -CAT 3</t>
  </si>
  <si>
    <t>PC6A60K00100</t>
  </si>
  <si>
    <t>D-15-03-B01</t>
  </si>
  <si>
    <t>DESPL. AUTOM. DE ESPEJOS LATERAL - CAT 3</t>
  </si>
  <si>
    <t>PC6420K00200</t>
  </si>
  <si>
    <t>D-15-01-E04</t>
  </si>
  <si>
    <t>CARGADOR INAL. - CAT 3</t>
  </si>
  <si>
    <t>PC5C11200600</t>
  </si>
  <si>
    <t>D-15-00-F02</t>
  </si>
  <si>
    <t>WIRELESS CHARGER - CAT 1</t>
  </si>
  <si>
    <t>PC5C10K00900</t>
  </si>
  <si>
    <t>D-15-01-E07</t>
  </si>
  <si>
    <t>CARGADOR INALAMBRICO - CAT 3</t>
  </si>
  <si>
    <t>PC5C10A00A00</t>
  </si>
  <si>
    <t>D-15-03-E04</t>
  </si>
  <si>
    <t>SET FARO ANTINIEBLA - CAT 2</t>
  </si>
  <si>
    <t>PC5930K00300</t>
  </si>
  <si>
    <t>D-12-01-D02</t>
  </si>
  <si>
    <t>COMPRESOR 12V (V2)</t>
  </si>
  <si>
    <t>PC5571200100</t>
  </si>
  <si>
    <t>D-13-01-A05</t>
  </si>
  <si>
    <t>ILUMINACION LED DEL HABITACULO HX -CAT 2</t>
  </si>
  <si>
    <t>PC5230K00G00</t>
  </si>
  <si>
    <t>D-15-02-D04</t>
  </si>
  <si>
    <t>BACK PARKING SENSOR - CAT 3</t>
  </si>
  <si>
    <t>PC5070K00RCR</t>
  </si>
  <si>
    <t>D-15-02-B02</t>
  </si>
  <si>
    <t>BACK SENSOR W/ECU 4X4 - CAT 3</t>
  </si>
  <si>
    <t>PC5070K001CR</t>
  </si>
  <si>
    <t>D-15-02-E03</t>
  </si>
  <si>
    <t>SENSOR 8 DEG. RED M.M</t>
  </si>
  <si>
    <t>PC5040D00L72</t>
  </si>
  <si>
    <t>D-17-02-F08</t>
  </si>
  <si>
    <t>SENSOR AT BLACK</t>
  </si>
  <si>
    <t>PC5040D00L43</t>
  </si>
  <si>
    <t>D-17-02-H07</t>
  </si>
  <si>
    <t>HOOD LIFT ASSIST - CAT 3</t>
  </si>
  <si>
    <t>PC4A10K00100</t>
  </si>
  <si>
    <t>H-01-06-E06</t>
  </si>
  <si>
    <t>BOCHA PALANCA CAMBIO KEVLAR MT</t>
  </si>
  <si>
    <t>PC4660K00600</t>
  </si>
  <si>
    <t>D-15-02-C01</t>
  </si>
  <si>
    <t>BOCHA PALANC. CAMB. KEVLAR AT</t>
  </si>
  <si>
    <t>PC4660K00400</t>
  </si>
  <si>
    <t>E-06-00-D02</t>
  </si>
  <si>
    <t>DISPOS. SEGURIDAD AUX. HX 2016 - CAT 3</t>
  </si>
  <si>
    <t>PC4580K00100</t>
  </si>
  <si>
    <t>D-15-00-E03</t>
  </si>
  <si>
    <t>TUERCA SEGURIDAD ALE. HX 2016 - CAT 3</t>
  </si>
  <si>
    <t>PC4560K00100</t>
  </si>
  <si>
    <t>D-15-00-E04</t>
  </si>
  <si>
    <t>MOLDURA INF.PARAG.DEL.HB - CAT 1</t>
  </si>
  <si>
    <t>PC4170D00100</t>
  </si>
  <si>
    <t>H-01-09-A03</t>
  </si>
  <si>
    <t>SALIDA DE ESCAPE CROMADA - CAT 3</t>
  </si>
  <si>
    <t>PC4131200100</t>
  </si>
  <si>
    <t>D-06-02-D05</t>
  </si>
  <si>
    <t>PC4130K00100</t>
  </si>
  <si>
    <t>E-06-00-B03</t>
  </si>
  <si>
    <t>COBERT. CROMADO FARO TRAS. - CAT 3</t>
  </si>
  <si>
    <t>PC4100K00100</t>
  </si>
  <si>
    <t>D-14-03-B01</t>
  </si>
  <si>
    <t>EMBELL CROM PORTON TRAS HX 2016 - CAT 3</t>
  </si>
  <si>
    <t>PC4060K00100</t>
  </si>
  <si>
    <t>H-01-06-E10</t>
  </si>
  <si>
    <t>COBERTOR DE FARO (NEGRO MATE)</t>
  </si>
  <si>
    <t>PC4050K00800</t>
  </si>
  <si>
    <t>D-14-03-A03</t>
  </si>
  <si>
    <t>REAR LAMP CHROMED COVER - CAT 3</t>
  </si>
  <si>
    <t>PC4050K00500</t>
  </si>
  <si>
    <t>D-15-02-A07</t>
  </si>
  <si>
    <t>MOLDURA INF.DEL. - CAT 3</t>
  </si>
  <si>
    <t>PC4041200100</t>
  </si>
  <si>
    <t>H-01-04-C12</t>
  </si>
  <si>
    <t>GRILLA INF. CROMADA - CAT 3</t>
  </si>
  <si>
    <t>PC4040K00100</t>
  </si>
  <si>
    <t>H-01-05-E07</t>
  </si>
  <si>
    <t>OVER FENDER D-CAB.RED.SET</t>
  </si>
  <si>
    <t>PC4030K01B00</t>
  </si>
  <si>
    <t>H-01-02-A02</t>
  </si>
  <si>
    <t>OVERFENDER SILVER DCAB my2021 - CAT 2</t>
  </si>
  <si>
    <t>PC4030K01400</t>
  </si>
  <si>
    <t>H-01-00-C02</t>
  </si>
  <si>
    <t>OVER FENDER HX 2016 - CAT 2</t>
  </si>
  <si>
    <t>PC4030K00200</t>
  </si>
  <si>
    <t>H-01-08-C06</t>
  </si>
  <si>
    <t>MOLDURA CROMADA GUARDABARRO - CAT 3</t>
  </si>
  <si>
    <t>PC4030K00100</t>
  </si>
  <si>
    <t>E-06-01-D06</t>
  </si>
  <si>
    <t>COBERT. CROMADO OPTICA DEL. - CAT 3</t>
  </si>
  <si>
    <t>PC4020K00200</t>
  </si>
  <si>
    <t>E-01-01-E01</t>
  </si>
  <si>
    <t>EMB. CROM FAROS ANTINIEBLA HX21 - CAT 3</t>
  </si>
  <si>
    <t>PC4010K02Z00</t>
  </si>
  <si>
    <t>D-15-02-B01</t>
  </si>
  <si>
    <t>HEADLAMP GARNISH HAL CHRO</t>
  </si>
  <si>
    <t>PC4010K02A00</t>
  </si>
  <si>
    <t>D-15-01-B01</t>
  </si>
  <si>
    <t>MOLDURA FARO ANTINIEBLA - CAT 3</t>
  </si>
  <si>
    <t>PC4010K00300</t>
  </si>
  <si>
    <t>E-06-00-A01</t>
  </si>
  <si>
    <t>COBERT. FARO ANTINIEB. CROM - CAT 3</t>
  </si>
  <si>
    <t>PC4010K00200</t>
  </si>
  <si>
    <t>D-15-02-D02</t>
  </si>
  <si>
    <t>MOLDURA LAT. CROMADA CAPOT</t>
  </si>
  <si>
    <t>PC4010K00100</t>
  </si>
  <si>
    <t>E-06-01-C05</t>
  </si>
  <si>
    <t>COBERT.ANTINIEBLA YARIS - CAT 3</t>
  </si>
  <si>
    <t>PC4010D00100</t>
  </si>
  <si>
    <t>E-06-00-A02</t>
  </si>
  <si>
    <t>ASIST.PORTON TRAS. - CAT 3</t>
  </si>
  <si>
    <t>PC3B20K00100</t>
  </si>
  <si>
    <t>H-01-06-E11</t>
  </si>
  <si>
    <t>ASIST.PORTON TRAS.</t>
  </si>
  <si>
    <t>PC3A20K00US2</t>
  </si>
  <si>
    <t>D-15-02-D01</t>
  </si>
  <si>
    <t>SOPORTE IZQ. ASIST. PORTO</t>
  </si>
  <si>
    <t>PC3A20K00M00</t>
  </si>
  <si>
    <t>D-19-02-E05</t>
  </si>
  <si>
    <t>SW4 SCUFF PLATE</t>
  </si>
  <si>
    <t>PC3820K00H00</t>
  </si>
  <si>
    <t>H-01-07-D02</t>
  </si>
  <si>
    <t>FUNDA COBERTOR PICK UP D/C - CAT 3</t>
  </si>
  <si>
    <t>PC3720K00200</t>
  </si>
  <si>
    <t>D-15-02-F02</t>
  </si>
  <si>
    <t>ROOF RACK BARRA DE TECHO</t>
  </si>
  <si>
    <t>PC3010K005S1</t>
  </si>
  <si>
    <t>H-01-07-D11</t>
  </si>
  <si>
    <t>BARRA PORTAEQUIPAJE HX D/C 2016 - CAT 1</t>
  </si>
  <si>
    <t>PC3010K00200</t>
  </si>
  <si>
    <t>H-01-09-A02</t>
  </si>
  <si>
    <t>BASE PALANCA CAMB. KEVLAR - CAT 3</t>
  </si>
  <si>
    <t>PC2880K00200</t>
  </si>
  <si>
    <t>E-06-00-B01</t>
  </si>
  <si>
    <t>CARGO NET (SUV) - CAT 3</t>
  </si>
  <si>
    <t>PC2461200100</t>
  </si>
  <si>
    <t>D-15-00-C03</t>
  </si>
  <si>
    <t>RED DE CARGA SW4 2016 - CAT 3</t>
  </si>
  <si>
    <t>PC2460K00100</t>
  </si>
  <si>
    <t>D-15-00-C01</t>
  </si>
  <si>
    <t>RED DE CARGA COROLLA CROSS</t>
  </si>
  <si>
    <t>PC2460A00100</t>
  </si>
  <si>
    <t>D-15-00-D04</t>
  </si>
  <si>
    <t>PARASOL FRONTAL PARAB. HX 2016 - CAT 3</t>
  </si>
  <si>
    <t>PC2340K00100</t>
  </si>
  <si>
    <t>D-15-01-B04</t>
  </si>
  <si>
    <t>SOPORTE PORTA TABLET</t>
  </si>
  <si>
    <t>PC22B0K004M2</t>
  </si>
  <si>
    <t>D-06-01-C02</t>
  </si>
  <si>
    <t>FILM IMPERMEABLE P/ESPEJO</t>
  </si>
  <si>
    <t>PC1860K1FG00</t>
  </si>
  <si>
    <t>D-06-02-D01</t>
  </si>
  <si>
    <t>MOLDURAS LATERALES SILVER HX 2022</t>
  </si>
  <si>
    <t>PC1700K01U00</t>
  </si>
  <si>
    <t>H-01-06-E15</t>
  </si>
  <si>
    <t>SIDE PROTEC.MOLDING ROJO - CAT 3</t>
  </si>
  <si>
    <t>PC1700K01T00</t>
  </si>
  <si>
    <t>H-01-07-D09</t>
  </si>
  <si>
    <t>BASE+MANIJA PTA CROMADA</t>
  </si>
  <si>
    <t>PC1680K00500</t>
  </si>
  <si>
    <t>E-06-00-F06</t>
  </si>
  <si>
    <t>SIDE VISORS SW4 - CAT 3</t>
  </si>
  <si>
    <t>PC1620K00H00</t>
  </si>
  <si>
    <t>H-01-06-A01</t>
  </si>
  <si>
    <t>DEFLECTORES LATERALES - CAT 3</t>
  </si>
  <si>
    <t>PC1620K00300</t>
  </si>
  <si>
    <t>KIT CAMARA DE RETROCESO</t>
  </si>
  <si>
    <t>PBR302922100</t>
  </si>
  <si>
    <t>D-15-02-B03</t>
  </si>
  <si>
    <t>KIT BACK CAMERA - CAT 3</t>
  </si>
  <si>
    <t>PBR302922000</t>
  </si>
  <si>
    <t>D-15-03-E02</t>
  </si>
  <si>
    <t>CAMARA DE RETROCESO - CAT 3 etios s/cabl</t>
  </si>
  <si>
    <t>PBR302020100</t>
  </si>
  <si>
    <t>D-17-02-D06</t>
  </si>
  <si>
    <t>CABLEADO ENG COROLLA CROSS</t>
  </si>
  <si>
    <t>PBR033040100</t>
  </si>
  <si>
    <t>D-06-02-D04</t>
  </si>
  <si>
    <t>KIT CONECTIVIDAD YARIS C/TECHO SOLAR</t>
  </si>
  <si>
    <t>PBR032321100</t>
  </si>
  <si>
    <t>D-15-00-D03</t>
  </si>
  <si>
    <t>TRD SIDE VISOR</t>
  </si>
  <si>
    <t>P5162BZA1B00</t>
  </si>
  <si>
    <t>H-01-05-E01</t>
  </si>
  <si>
    <t>YARIS GR</t>
  </si>
  <si>
    <t>GRYARISMINI1</t>
  </si>
  <si>
    <t>D-13-01-D07</t>
  </si>
  <si>
    <t>VASO DE ACERO INOX.750CC</t>
  </si>
  <si>
    <t>GRVASOCAMPIN</t>
  </si>
  <si>
    <t>D-13-01-D02</t>
  </si>
  <si>
    <t>KIT DE HERRAMIENTAS GR</t>
  </si>
  <si>
    <t>GRTOOLSET001</t>
  </si>
  <si>
    <t>D-13-02-D03</t>
  </si>
  <si>
    <t>SENSOR PRES./TEMP.</t>
  </si>
  <si>
    <t>GRSENSORMED2</t>
  </si>
  <si>
    <t>D-15-03-C05</t>
  </si>
  <si>
    <t>RINONERA DE GOMA IMPERM.</t>
  </si>
  <si>
    <t>GRRINOERAGOM</t>
  </si>
  <si>
    <t>D-13-01-D04</t>
  </si>
  <si>
    <t>REMERA EQUIPO TGRA 2023</t>
  </si>
  <si>
    <t>GRREMEQUIP02</t>
  </si>
  <si>
    <t>D-13-02-B03</t>
  </si>
  <si>
    <t>REMERA GR SUPRA TALLE L</t>
  </si>
  <si>
    <t>GRREMEHSUP03</t>
  </si>
  <si>
    <t>D-13-02-B01</t>
  </si>
  <si>
    <t>REMERA GR SUPRA TALLE M</t>
  </si>
  <si>
    <t>GRREMEHSUP02</t>
  </si>
  <si>
    <t>D-13-03-A03</t>
  </si>
  <si>
    <t>REMERA GR SUPRA TALLE S</t>
  </si>
  <si>
    <t>GRREMEHSUP01</t>
  </si>
  <si>
    <t>PROTECTOR PATENTE TRASERA</t>
  </si>
  <si>
    <t>GRPROT9PATTR</t>
  </si>
  <si>
    <t>D-14-03-D05</t>
  </si>
  <si>
    <t>PORTA CELULAR</t>
  </si>
  <si>
    <t>GRPORTACELU1</t>
  </si>
  <si>
    <t>D-13-02-C02</t>
  </si>
  <si>
    <t>REMERA POLO HOMBRE</t>
  </si>
  <si>
    <t>GRPOLOHO2302</t>
  </si>
  <si>
    <t>D-13-01-B02</t>
  </si>
  <si>
    <t>GRPOLOHO2301</t>
  </si>
  <si>
    <t>CHOMBA WRC HOMBRE</t>
  </si>
  <si>
    <t>GRPOLOBRAND4</t>
  </si>
  <si>
    <t>GRPOLOBRAND2</t>
  </si>
  <si>
    <t>GRPOLOBRAND1</t>
  </si>
  <si>
    <t>MOCHILA DE GOMA 25LTS</t>
  </si>
  <si>
    <t>GRMOCHIGOMA1</t>
  </si>
  <si>
    <t>D-13-03-A01</t>
  </si>
  <si>
    <t>LLAVERO DE GOMA DE CINTA</t>
  </si>
  <si>
    <t>GRLLAVERGOMA</t>
  </si>
  <si>
    <t>D-13-02-D04</t>
  </si>
  <si>
    <t>GRLLAVECHAPA</t>
  </si>
  <si>
    <t>D-13-02-D01</t>
  </si>
  <si>
    <t>LUZ LED PARA USO OFF-ROAD</t>
  </si>
  <si>
    <t>GRLEDLIGHTS1</t>
  </si>
  <si>
    <t>BIROME GR</t>
  </si>
  <si>
    <t>GRLAPICERA01</t>
  </si>
  <si>
    <t>D-13-02-C04</t>
  </si>
  <si>
    <t>KIT MOMO GRS</t>
  </si>
  <si>
    <t>GRKITMOMO001</t>
  </si>
  <si>
    <t>D-13-00-A01</t>
  </si>
  <si>
    <t>KIT MATERO GR</t>
  </si>
  <si>
    <t>GRKITMATERO1</t>
  </si>
  <si>
    <t>D-13-03-B04</t>
  </si>
  <si>
    <t>LLAVERO DE GOMA GR+INFINI</t>
  </si>
  <si>
    <t>GRINFLLAVERO</t>
  </si>
  <si>
    <t>D-13-02-B02</t>
  </si>
  <si>
    <t>HILUX DAKAR</t>
  </si>
  <si>
    <t>GRHILUXMINI1</t>
  </si>
  <si>
    <t>D-13-01-D08</t>
  </si>
  <si>
    <t>GRIP PARA CELULAR GR</t>
  </si>
  <si>
    <t>GRGRIPCELULA</t>
  </si>
  <si>
    <t>D-13-01-D01</t>
  </si>
  <si>
    <t>GORRA NEGRA LOGO GR GARAG</t>
  </si>
  <si>
    <t>GRGORGARA01</t>
  </si>
  <si>
    <t>D-13-01-C02</t>
  </si>
  <si>
    <t>TERMO ELECTRICO GR</t>
  </si>
  <si>
    <t>GRETERMO0001</t>
  </si>
  <si>
    <t>D-13-03-C04</t>
  </si>
  <si>
    <t>CARGADOR USB</t>
  </si>
  <si>
    <t>GRESCAPEUSB1</t>
  </si>
  <si>
    <t>D-13-02-C03</t>
  </si>
  <si>
    <t>CHOMBA HOMBRE GR</t>
  </si>
  <si>
    <t>GRCHOHOM2305</t>
  </si>
  <si>
    <t>GRCHOHOM2304</t>
  </si>
  <si>
    <t>GRCHOHOM2302</t>
  </si>
  <si>
    <t>GRCHOHOM2301</t>
  </si>
  <si>
    <t>CHOMBA WEC HOMBRE</t>
  </si>
  <si>
    <t>GRCHOHBRAND4</t>
  </si>
  <si>
    <t>D-13-01-B01</t>
  </si>
  <si>
    <t>GRCHOHBRAND2</t>
  </si>
  <si>
    <t>GRCHOHBRAND1</t>
  </si>
  <si>
    <t>REMERA POLO EQUIPO TGRA</t>
  </si>
  <si>
    <t>GRCHOEQM2405</t>
  </si>
  <si>
    <t>GRCHOEQM2403</t>
  </si>
  <si>
    <t>GRCHOEQM2402</t>
  </si>
  <si>
    <t>GRCHOEQM2401</t>
  </si>
  <si>
    <t>BUZO POLAR EQUIPO TGRA</t>
  </si>
  <si>
    <t>GRBUZEQU2401</t>
  </si>
  <si>
    <t>D-13-02-A03</t>
  </si>
  <si>
    <t>BOTELLA TERMICA 500 CC</t>
  </si>
  <si>
    <t>GRBOTERMICA1</t>
  </si>
  <si>
    <t>BARBIJO GR NEGRO CON LOGO</t>
  </si>
  <si>
    <t>GRBARBIJOEQU</t>
  </si>
  <si>
    <t>D-13-02-C06</t>
  </si>
  <si>
    <t>ANTEOJOS SOL GR ZETA 11</t>
  </si>
  <si>
    <t>GRANTEZETA11</t>
  </si>
  <si>
    <t>D-13-01-C07</t>
  </si>
  <si>
    <t>ANTEOJOS DE SOL GR MOSCOW</t>
  </si>
  <si>
    <t>GRANTEMOSCOW</t>
  </si>
  <si>
    <t>D-13-02-C07</t>
  </si>
  <si>
    <t>ANTEOJOS SOL GR LE MANS</t>
  </si>
  <si>
    <t>GRANTELEMANS</t>
  </si>
  <si>
    <t>REMERA GR NEU AGELESS TALLE S</t>
  </si>
  <si>
    <t>GRALPNEANG01</t>
  </si>
  <si>
    <t>OVER FENDER</t>
  </si>
  <si>
    <t>GR3560K0011B</t>
  </si>
  <si>
    <t>H-01-00-C01</t>
  </si>
  <si>
    <t>TRUNK SPOILER</t>
  </si>
  <si>
    <t>GR344020011N</t>
  </si>
  <si>
    <t>H-01-09-B05</t>
  </si>
  <si>
    <t>LLANTA ALEACION 18"</t>
  </si>
  <si>
    <t>GR2130K00100</t>
  </si>
  <si>
    <t>D-25-00-A01</t>
  </si>
  <si>
    <t>FILTRO NO.1</t>
  </si>
  <si>
    <t>G92DH4707000</t>
  </si>
  <si>
    <t>D-01-05-D04</t>
  </si>
  <si>
    <t>G92DH4201000</t>
  </si>
  <si>
    <t>D-01-05-D02</t>
  </si>
  <si>
    <t>G92DH1205000</t>
  </si>
  <si>
    <t>D-01-05-D03</t>
  </si>
  <si>
    <t>265/65 R17 DUELER AT</t>
  </si>
  <si>
    <t>CUBKOMPAS</t>
  </si>
  <si>
    <t>E-04-01-A03</t>
  </si>
  <si>
    <t>ESTEREO BLUETOOTH P/HILUX</t>
  </si>
  <si>
    <t>CS6020K01000</t>
  </si>
  <si>
    <t>D-15-02-E02</t>
  </si>
  <si>
    <t>CUBRE CARTER GR STICK</t>
  </si>
  <si>
    <t>CS41700010ST</t>
  </si>
  <si>
    <t>H-02-07-A02</t>
  </si>
  <si>
    <t>TERMO DE ACERO INOX. 1LTS</t>
  </si>
  <si>
    <t>BUTERMOACERO</t>
  </si>
  <si>
    <t>D-13-03-C02</t>
  </si>
  <si>
    <t>REMERON DEPORTIVO POWER T</t>
  </si>
  <si>
    <t>BUREMERONM04</t>
  </si>
  <si>
    <t>BUREMERONM03</t>
  </si>
  <si>
    <t>D-13-03-B02</t>
  </si>
  <si>
    <t>REMERA HOMBRE MC CROWN</t>
  </si>
  <si>
    <t>BUREMECWNH04</t>
  </si>
  <si>
    <t>D-13-03-B03</t>
  </si>
  <si>
    <t>REMERA CLASSIC V-ONE CON</t>
  </si>
  <si>
    <t>BUREMECVMU03</t>
  </si>
  <si>
    <t>D-13-03-B01</t>
  </si>
  <si>
    <t>REMERA CLASICA JERSEY</t>
  </si>
  <si>
    <t>BUREMECSIC01</t>
  </si>
  <si>
    <t>D-13-02-B04</t>
  </si>
  <si>
    <t>REMERA MUJER BATIK CON LO</t>
  </si>
  <si>
    <t>BUREMEBTKM03</t>
  </si>
  <si>
    <t>REMERA FREE STEPS. T:M</t>
  </si>
  <si>
    <t>BUREMEBTKH02</t>
  </si>
  <si>
    <t>REMERA FREE STEPS. T:S</t>
  </si>
  <si>
    <t>BUREMEBTKH01</t>
  </si>
  <si>
    <t>REMERA ALGODON T:M</t>
  </si>
  <si>
    <t>BUREMEALGO02</t>
  </si>
  <si>
    <t>D-13-03-A02</t>
  </si>
  <si>
    <t>FUNDA PORTA NOTEBOOK SIMO</t>
  </si>
  <si>
    <t>BUPORTANOT01</t>
  </si>
  <si>
    <t>PARAGUAS NINOS</t>
  </si>
  <si>
    <t>BUPARAGUANI1</t>
  </si>
  <si>
    <t>D-13-02-D07</t>
  </si>
  <si>
    <t>MATE/BOMBILLA ACERO INOX.</t>
  </si>
  <si>
    <t>BUMATEACERO1</t>
  </si>
  <si>
    <t>LONCHERA</t>
  </si>
  <si>
    <t>BULONCHERA01</t>
  </si>
  <si>
    <t>LLAVERO CUERO</t>
  </si>
  <si>
    <t>BULLAV000001</t>
  </si>
  <si>
    <t>GORRA SNAPBACK TOYOTA</t>
  </si>
  <si>
    <t>BUGORRASNAP1</t>
  </si>
  <si>
    <t>GORRA PRELAVADA COLOR MAI</t>
  </si>
  <si>
    <t>BUGORRAPRE03</t>
  </si>
  <si>
    <t>D-13-01-C01</t>
  </si>
  <si>
    <t>TERMO ELECTRICO TOYOTA</t>
  </si>
  <si>
    <t>BUETERMOTOYO</t>
  </si>
  <si>
    <t>D-13-03-C01</t>
  </si>
  <si>
    <t>CUELLO TOYOTA</t>
  </si>
  <si>
    <t>BUCUELLOTYT1</t>
  </si>
  <si>
    <t>D-13-02-C01</t>
  </si>
  <si>
    <t>WILD CAMPERA MATELASEADA</t>
  </si>
  <si>
    <t>BUCAMPWILD03</t>
  </si>
  <si>
    <t>BUCAMPWILD02</t>
  </si>
  <si>
    <t>BOTELLA DEPORTIVA 500ML</t>
  </si>
  <si>
    <t>BUBOTELLA004</t>
  </si>
  <si>
    <t>D-13-02-D05</t>
  </si>
  <si>
    <t>BOLIGRAFO METAL ENGOMADO</t>
  </si>
  <si>
    <t>BUBOLIGRAFO1</t>
  </si>
  <si>
    <t>D-13-02-C05</t>
  </si>
  <si>
    <t>BILLETERA POCKET DE MUJER</t>
  </si>
  <si>
    <t>BUBILLEMUJ00</t>
  </si>
  <si>
    <t>D-13-01-D05</t>
  </si>
  <si>
    <t>BILLETERA HOMBRE</t>
  </si>
  <si>
    <t>BUBILH000001</t>
  </si>
  <si>
    <t>D-13-03-C06</t>
  </si>
  <si>
    <t>BARBIJO TOYOTA DES.</t>
  </si>
  <si>
    <t>BUBARBIDES01</t>
  </si>
  <si>
    <t>ANTEOJO DE SOL MARSELLA MUJ</t>
  </si>
  <si>
    <t>BUANTEOJOSMA</t>
  </si>
  <si>
    <t>265/60 R18 LTX TRAIL 114 H</t>
  </si>
  <si>
    <t>997246</t>
  </si>
  <si>
    <t>???????????</t>
  </si>
  <si>
    <t>CORREA COROLLA XRS</t>
  </si>
  <si>
    <t>99366H173000</t>
  </si>
  <si>
    <t>D-23-00-C03</t>
  </si>
  <si>
    <t>99366H156000</t>
  </si>
  <si>
    <t>D-23-00-C04</t>
  </si>
  <si>
    <t>993653121000</t>
  </si>
  <si>
    <t>D-23-00-B09</t>
  </si>
  <si>
    <t>993652101000</t>
  </si>
  <si>
    <t>D-23-00-B05</t>
  </si>
  <si>
    <t>993321120500</t>
  </si>
  <si>
    <t>D-23-00-B10</t>
  </si>
  <si>
    <t>993321104000</t>
  </si>
  <si>
    <t>D-23-00-B13</t>
  </si>
  <si>
    <t>CORREA DIRECCION</t>
  </si>
  <si>
    <t>993321086500</t>
  </si>
  <si>
    <t>D-23-00-A07</t>
  </si>
  <si>
    <t>993321086000</t>
  </si>
  <si>
    <t>D-23-00-C07</t>
  </si>
  <si>
    <t>LAMPARA 2 POLOS</t>
  </si>
  <si>
    <t>991322121000</t>
  </si>
  <si>
    <t>D-16-02-F02</t>
  </si>
  <si>
    <t>991321210000</t>
  </si>
  <si>
    <t>D-16-02-C09</t>
  </si>
  <si>
    <t>LAMPARA MUELITA 12V 5W</t>
  </si>
  <si>
    <t>9913212050BR</t>
  </si>
  <si>
    <t>D-16-02-E07</t>
  </si>
  <si>
    <t>LAMPARA 1 POLO</t>
  </si>
  <si>
    <t>9913211210BR</t>
  </si>
  <si>
    <t>D-16-02-F01</t>
  </si>
  <si>
    <t>O RING</t>
  </si>
  <si>
    <t>967233502800</t>
  </si>
  <si>
    <t>ANILLO DE GOMA</t>
  </si>
  <si>
    <t>967211901700</t>
  </si>
  <si>
    <t>D-19-02-F06</t>
  </si>
  <si>
    <t>TAPON BLOCK</t>
  </si>
  <si>
    <t>964114350000</t>
  </si>
  <si>
    <t>D-19-02-C06</t>
  </si>
  <si>
    <t>961384250100</t>
  </si>
  <si>
    <t>D-20-01-B08</t>
  </si>
  <si>
    <t>961374130100</t>
  </si>
  <si>
    <t>D-20-00-H01</t>
  </si>
  <si>
    <t>961365190100</t>
  </si>
  <si>
    <t>D-20-00-G06</t>
  </si>
  <si>
    <t>961364210100</t>
  </si>
  <si>
    <t>E-06-01-F06</t>
  </si>
  <si>
    <t>961364190100</t>
  </si>
  <si>
    <t>D-19-02-A06</t>
  </si>
  <si>
    <t>961364180100</t>
  </si>
  <si>
    <t>D-20-00-A03</t>
  </si>
  <si>
    <t>961325100000</t>
  </si>
  <si>
    <t>D-19-02-E04</t>
  </si>
  <si>
    <t>961324100000</t>
  </si>
  <si>
    <t>D-20-00-F04</t>
  </si>
  <si>
    <t>CHAVETA</t>
  </si>
  <si>
    <t>953810322500</t>
  </si>
  <si>
    <t>D-17-02-D07</t>
  </si>
  <si>
    <t>CHAVETA CIGUENAL</t>
  </si>
  <si>
    <t>951613062200</t>
  </si>
  <si>
    <t>E-06-01-I08</t>
  </si>
  <si>
    <t>CHAVETA CIGUEðAL</t>
  </si>
  <si>
    <t>951613051600</t>
  </si>
  <si>
    <t>D-19-01-E01</t>
  </si>
  <si>
    <t>ARANDELA</t>
  </si>
  <si>
    <t>946223120000</t>
  </si>
  <si>
    <t>D-20-01-H03</t>
  </si>
  <si>
    <t>ARANDELA ESP. DIF.</t>
  </si>
  <si>
    <t>946211100000</t>
  </si>
  <si>
    <t>D-18-02-D03</t>
  </si>
  <si>
    <t>TUERCA</t>
  </si>
  <si>
    <t>941880124100</t>
  </si>
  <si>
    <t>D-18-00-E09</t>
  </si>
  <si>
    <t>941880120100</t>
  </si>
  <si>
    <t>D-19-02-E02</t>
  </si>
  <si>
    <t>TUERCA AUTOFR.</t>
  </si>
  <si>
    <t>941846100100</t>
  </si>
  <si>
    <t>D-20-01-I09</t>
  </si>
  <si>
    <t>941840104100</t>
  </si>
  <si>
    <t>D-18-00-B06</t>
  </si>
  <si>
    <t>941821080000</t>
  </si>
  <si>
    <t>941512120100</t>
  </si>
  <si>
    <t>D-20-01-H04</t>
  </si>
  <si>
    <t>941508060000</t>
  </si>
  <si>
    <t>D-18-02-C02</t>
  </si>
  <si>
    <t>941306120000</t>
  </si>
  <si>
    <t>D-18-00-B05</t>
  </si>
  <si>
    <t>933191501000</t>
  </si>
  <si>
    <t>932291502000</t>
  </si>
  <si>
    <t>D-19-02-B06</t>
  </si>
  <si>
    <t>ESPARRAGO</t>
  </si>
  <si>
    <t>921224081600</t>
  </si>
  <si>
    <t>D-20-01-A07</t>
  </si>
  <si>
    <t>91674G102800</t>
  </si>
  <si>
    <t>D-20-00-H04</t>
  </si>
  <si>
    <t>BRIDA DE PERNO C/ARANDELA</t>
  </si>
  <si>
    <t>91673B103000</t>
  </si>
  <si>
    <t>D-18-02-E06</t>
  </si>
  <si>
    <t>BULON TENSOR CORREA</t>
  </si>
  <si>
    <t>916728102500</t>
  </si>
  <si>
    <t>D-18-02-F05</t>
  </si>
  <si>
    <t>BULON C ARANDELA</t>
  </si>
  <si>
    <t>91671A061600</t>
  </si>
  <si>
    <t>D-18-02-I02</t>
  </si>
  <si>
    <t>916718083500</t>
  </si>
  <si>
    <t>D-19-01-G01</t>
  </si>
  <si>
    <t>916718082500</t>
  </si>
  <si>
    <t>D-18-02-A04</t>
  </si>
  <si>
    <t>91642H102200</t>
  </si>
  <si>
    <t>D-20-00-C09</t>
  </si>
  <si>
    <t>91635A061600</t>
  </si>
  <si>
    <t>D-18-02-H06</t>
  </si>
  <si>
    <t>TORNILLO CON ARANDELA</t>
  </si>
  <si>
    <t>91631B061800</t>
  </si>
  <si>
    <t>D-18-02-J04</t>
  </si>
  <si>
    <t>91631B061600</t>
  </si>
  <si>
    <t>D-20-00-I03</t>
  </si>
  <si>
    <t>916214061400</t>
  </si>
  <si>
    <t>D-18-02-A03</t>
  </si>
  <si>
    <t>91554L169000</t>
  </si>
  <si>
    <t>D-19-02-B05</t>
  </si>
  <si>
    <t>915528124500</t>
  </si>
  <si>
    <t>D-18-02-I04</t>
  </si>
  <si>
    <t>BULON SUSPENSION</t>
  </si>
  <si>
    <t>915528122500</t>
  </si>
  <si>
    <t>D-19-02-I01</t>
  </si>
  <si>
    <t>915518082000</t>
  </si>
  <si>
    <t>D-18-00-B02</t>
  </si>
  <si>
    <t>PERNO</t>
  </si>
  <si>
    <t>915518081800</t>
  </si>
  <si>
    <t>D-18-02-F08</t>
  </si>
  <si>
    <t>FUSIBLE 30AMP</t>
  </si>
  <si>
    <t>909820902500</t>
  </si>
  <si>
    <t>D-17-02-H04</t>
  </si>
  <si>
    <t>FUSIBLE 25AMP</t>
  </si>
  <si>
    <t>909820902400</t>
  </si>
  <si>
    <t>D-17-02-A05</t>
  </si>
  <si>
    <t>FUSIBLE 20AMP</t>
  </si>
  <si>
    <t>909820902300</t>
  </si>
  <si>
    <t>D-17-02-A04</t>
  </si>
  <si>
    <t>FUSIBLE 15AMP</t>
  </si>
  <si>
    <t>909820902200</t>
  </si>
  <si>
    <t>D-17-02-A03</t>
  </si>
  <si>
    <t>FUSIBLE 10AMP</t>
  </si>
  <si>
    <t>909820902100</t>
  </si>
  <si>
    <t>D-17-02-A02</t>
  </si>
  <si>
    <t>FUSIBLE 7.5 AMP</t>
  </si>
  <si>
    <t>909820902000</t>
  </si>
  <si>
    <t>D-17-02-A01</t>
  </si>
  <si>
    <t>FUSIBLE 30A</t>
  </si>
  <si>
    <t>909820901300</t>
  </si>
  <si>
    <t>D-17-02-A06</t>
  </si>
  <si>
    <t>FUSIBLE 140 AMP</t>
  </si>
  <si>
    <t>909820828600</t>
  </si>
  <si>
    <t>D-17-02-F09</t>
  </si>
  <si>
    <t>FUSIBLE 40A(FEMALE)</t>
  </si>
  <si>
    <t>909820818900</t>
  </si>
  <si>
    <t>D-17-02-B01</t>
  </si>
  <si>
    <t>TERMINAL BATERIA (-)</t>
  </si>
  <si>
    <t>909820605900</t>
  </si>
  <si>
    <t>D-16-02-B07</t>
  </si>
  <si>
    <t>TERMINAL (-)</t>
  </si>
  <si>
    <t>909820602400</t>
  </si>
  <si>
    <t>TERMINAL BATERIA (+)</t>
  </si>
  <si>
    <t>909820505600</t>
  </si>
  <si>
    <t>D-16-02-B03</t>
  </si>
  <si>
    <t>TERMINAL BATERIA POS</t>
  </si>
  <si>
    <t>909820505400</t>
  </si>
  <si>
    <t>D-16-02-A04</t>
  </si>
  <si>
    <t>90981WD015BR</t>
  </si>
  <si>
    <t>D-16-02-B05</t>
  </si>
  <si>
    <t>LAMPARA 1P AMBAR</t>
  </si>
  <si>
    <t>909811502800</t>
  </si>
  <si>
    <t>D-16-02-F06</t>
  </si>
  <si>
    <t>LAMPARA MUELON  AMBAR</t>
  </si>
  <si>
    <t>909811502100</t>
  </si>
  <si>
    <t>D-16-02-E04</t>
  </si>
  <si>
    <t>909811502000</t>
  </si>
  <si>
    <t>D-16-02-H02</t>
  </si>
  <si>
    <t>LAMPARA MUELITA AMBAR</t>
  </si>
  <si>
    <t>909811501200</t>
  </si>
  <si>
    <t>D-16-02-D08</t>
  </si>
  <si>
    <t>909811501100</t>
  </si>
  <si>
    <t>D-16-02-H08</t>
  </si>
  <si>
    <t>909811500900</t>
  </si>
  <si>
    <t>D-16-02-I01</t>
  </si>
  <si>
    <t>LAMPARA INTERIOR TECHO</t>
  </si>
  <si>
    <t>909811401100</t>
  </si>
  <si>
    <t>D-16-02-G05</t>
  </si>
  <si>
    <t>909811400100</t>
  </si>
  <si>
    <t>D-16-02-C07</t>
  </si>
  <si>
    <t>BULBO</t>
  </si>
  <si>
    <t>909811309300</t>
  </si>
  <si>
    <t>D-16-02-F08</t>
  </si>
  <si>
    <t>LAMPARA H1R2 9012</t>
  </si>
  <si>
    <t>909811309100</t>
  </si>
  <si>
    <t>D-16-02-E05</t>
  </si>
  <si>
    <t>LAMPARA H16 original</t>
  </si>
  <si>
    <t>909811309000</t>
  </si>
  <si>
    <t>D-16-02-H01</t>
  </si>
  <si>
    <t>LAMPARITA</t>
  </si>
  <si>
    <t>909811308800</t>
  </si>
  <si>
    <t>D-16-02-C05</t>
  </si>
  <si>
    <t>909811308200</t>
  </si>
  <si>
    <t>D-16-02-F03</t>
  </si>
  <si>
    <t>LAMPARA H11 original</t>
  </si>
  <si>
    <t>909811307500</t>
  </si>
  <si>
    <t>D-16-02-F07</t>
  </si>
  <si>
    <t>LAMPARA H4 original</t>
  </si>
  <si>
    <t>909811305800</t>
  </si>
  <si>
    <t>D-16-02-G01</t>
  </si>
  <si>
    <t>LAMPARA 9006 original</t>
  </si>
  <si>
    <t>909811304700</t>
  </si>
  <si>
    <t>D-16-02-H04</t>
  </si>
  <si>
    <t>LAMPARA 9005 original</t>
  </si>
  <si>
    <t>909811304600</t>
  </si>
  <si>
    <t>D-16-02-D04</t>
  </si>
  <si>
    <t>LAMPARA MUELON 2P.</t>
  </si>
  <si>
    <t>909811304400</t>
  </si>
  <si>
    <t>D-16-02-H06</t>
  </si>
  <si>
    <t>LAMPARA MUELON 1P</t>
  </si>
  <si>
    <t>909811304300</t>
  </si>
  <si>
    <t>D-16-02-I06</t>
  </si>
  <si>
    <t>909811106900</t>
  </si>
  <si>
    <t>D-16-02-G02</t>
  </si>
  <si>
    <t>909811106200</t>
  </si>
  <si>
    <t>D-16-02-D03</t>
  </si>
  <si>
    <t>LAMPARA MUELA</t>
  </si>
  <si>
    <t>909811105900</t>
  </si>
  <si>
    <t>D-16-02-E02</t>
  </si>
  <si>
    <t>909811102100</t>
  </si>
  <si>
    <t>D-16-02-I09</t>
  </si>
  <si>
    <t>LAMPARA DE INTERIOR</t>
  </si>
  <si>
    <t>909811101800</t>
  </si>
  <si>
    <t>D-16-02-G04</t>
  </si>
  <si>
    <t>CONECTOR</t>
  </si>
  <si>
    <t>909801115600</t>
  </si>
  <si>
    <t>D-17-02-E09</t>
  </si>
  <si>
    <t>EMBLEMA</t>
  </si>
  <si>
    <t>90975T203000</t>
  </si>
  <si>
    <t>D-18-00-H07</t>
  </si>
  <si>
    <t>EMBLEMA TOYOTA</t>
  </si>
  <si>
    <t>90975T200800</t>
  </si>
  <si>
    <t>D-19-01-K08</t>
  </si>
  <si>
    <t>EMBLEMA TAPA BAUL</t>
  </si>
  <si>
    <t>909750214900</t>
  </si>
  <si>
    <t>D-19-01-G07</t>
  </si>
  <si>
    <t>909750210000</t>
  </si>
  <si>
    <t>D-18-00-E04</t>
  </si>
  <si>
    <t>909750203700</t>
  </si>
  <si>
    <t>D-18-00-E02</t>
  </si>
  <si>
    <t>TAPON AGUJERO</t>
  </si>
  <si>
    <t>909500199500</t>
  </si>
  <si>
    <t>E-06-01-K02</t>
  </si>
  <si>
    <t>TAPON PLASTICO</t>
  </si>
  <si>
    <t>909500195500</t>
  </si>
  <si>
    <t>D-17-02-E02</t>
  </si>
  <si>
    <t>909500184400</t>
  </si>
  <si>
    <t>909500165300</t>
  </si>
  <si>
    <t>E-06-01-L02</t>
  </si>
  <si>
    <t>909500162000</t>
  </si>
  <si>
    <t>D-19-01-H05</t>
  </si>
  <si>
    <t>TAPON DE GOMA</t>
  </si>
  <si>
    <t>909500135300</t>
  </si>
  <si>
    <t>D-19-01-H02</t>
  </si>
  <si>
    <t>9094901C9900</t>
  </si>
  <si>
    <t>D-19-01-L08</t>
  </si>
  <si>
    <t>909490164600</t>
  </si>
  <si>
    <t>E-06-01-I03</t>
  </si>
  <si>
    <t>BUJE DE GOMA</t>
  </si>
  <si>
    <t>90948T100100</t>
  </si>
  <si>
    <t>D-17-00-A06</t>
  </si>
  <si>
    <t>90948S200100</t>
  </si>
  <si>
    <t>D-20-00-F09</t>
  </si>
  <si>
    <t>90948S100300</t>
  </si>
  <si>
    <t>D-21-02-B02</t>
  </si>
  <si>
    <t>909480301100</t>
  </si>
  <si>
    <t>D-20-01-G02</t>
  </si>
  <si>
    <t>ARANDELA AMORTIG.</t>
  </si>
  <si>
    <t>909480300400</t>
  </si>
  <si>
    <t>D-20-01-A01</t>
  </si>
  <si>
    <t>BUJE</t>
  </si>
  <si>
    <t>909480220200</t>
  </si>
  <si>
    <t>D-20-00-D01</t>
  </si>
  <si>
    <t>909480217900</t>
  </si>
  <si>
    <t>D-20-01-A03</t>
  </si>
  <si>
    <t>909480217800</t>
  </si>
  <si>
    <t>D-20-01-A02</t>
  </si>
  <si>
    <t>909480216100</t>
  </si>
  <si>
    <t>ARANDELA METALICA</t>
  </si>
  <si>
    <t>909480203200</t>
  </si>
  <si>
    <t>D-20-01-B01</t>
  </si>
  <si>
    <t>909480105600</t>
  </si>
  <si>
    <t>E-06-01-L06</t>
  </si>
  <si>
    <t>909480100300</t>
  </si>
  <si>
    <t>D-19-02-D04</t>
  </si>
  <si>
    <t>909480100200</t>
  </si>
  <si>
    <t>E-06-01-M02</t>
  </si>
  <si>
    <t>909420208200</t>
  </si>
  <si>
    <t>D-19-02-A01</t>
  </si>
  <si>
    <t>909420208100</t>
  </si>
  <si>
    <t>D-18-02-L07</t>
  </si>
  <si>
    <t>BULON RUEDA</t>
  </si>
  <si>
    <t>909420207900</t>
  </si>
  <si>
    <t>D-19-02-A03</t>
  </si>
  <si>
    <t>BULON DE RUEDA</t>
  </si>
  <si>
    <t>909420205800</t>
  </si>
  <si>
    <t>D-18-02-K09</t>
  </si>
  <si>
    <t>D-19-02-B01</t>
  </si>
  <si>
    <t>909420204900</t>
  </si>
  <si>
    <t>D-18-02-G02</t>
  </si>
  <si>
    <t>909420204700</t>
  </si>
  <si>
    <t>D-18-02-F04</t>
  </si>
  <si>
    <t>TUERCA CON ARANDELA</t>
  </si>
  <si>
    <t>909420110900</t>
  </si>
  <si>
    <t>D-19-02-A05</t>
  </si>
  <si>
    <t>TUERCA CHAPA HILUX</t>
  </si>
  <si>
    <t>909420108200</t>
  </si>
  <si>
    <t>D-19-02-A04</t>
  </si>
  <si>
    <t>909420108100</t>
  </si>
  <si>
    <t>D-18-02-B01</t>
  </si>
  <si>
    <t>909420107500</t>
  </si>
  <si>
    <t>D-18-02-G05</t>
  </si>
  <si>
    <t>TUERCA RUEDA</t>
  </si>
  <si>
    <t>909420105800</t>
  </si>
  <si>
    <t>D-19-02-B04</t>
  </si>
  <si>
    <t>909420103300</t>
  </si>
  <si>
    <t>D-19-02-D06</t>
  </si>
  <si>
    <t>909420100700</t>
  </si>
  <si>
    <t>D-18-02-L03</t>
  </si>
  <si>
    <t>TAPON CAJA</t>
  </si>
  <si>
    <t>909300303100</t>
  </si>
  <si>
    <t>90919A100300</t>
  </si>
  <si>
    <t>D-18-01-F07</t>
  </si>
  <si>
    <t>90919A100200</t>
  </si>
  <si>
    <t>D-18-01-F08</t>
  </si>
  <si>
    <t>BOBINA ENCENDIDO</t>
  </si>
  <si>
    <t>909190226600</t>
  </si>
  <si>
    <t>D-16-01-G03</t>
  </si>
  <si>
    <t>909190226200</t>
  </si>
  <si>
    <t>D-18-00-H06</t>
  </si>
  <si>
    <t>BOBINA DE ENCENDIDO</t>
  </si>
  <si>
    <t>909190225800</t>
  </si>
  <si>
    <t>D-16-01-F08</t>
  </si>
  <si>
    <t>909190129800</t>
  </si>
  <si>
    <t>D-18-01-E08</t>
  </si>
  <si>
    <t>909190129700</t>
  </si>
  <si>
    <t>D-18-01-E03</t>
  </si>
  <si>
    <t>909190128900</t>
  </si>
  <si>
    <t>D-18-01-E07</t>
  </si>
  <si>
    <t>909190128700</t>
  </si>
  <si>
    <t>D-18-01-E09</t>
  </si>
  <si>
    <t>BUJIAS COROLLA 2015</t>
  </si>
  <si>
    <t>909190127500</t>
  </si>
  <si>
    <t>D-18-01-H07</t>
  </si>
  <si>
    <t>909190126300</t>
  </si>
  <si>
    <t>D-18-01-F06</t>
  </si>
  <si>
    <t>909190126100</t>
  </si>
  <si>
    <t>D-18-01-G04</t>
  </si>
  <si>
    <t>909190125800</t>
  </si>
  <si>
    <t>D-18-01-H08</t>
  </si>
  <si>
    <t>909190124700</t>
  </si>
  <si>
    <t>D-18-01-D04</t>
  </si>
  <si>
    <t>909190123600</t>
  </si>
  <si>
    <t>D-18-01-G06</t>
  </si>
  <si>
    <t>909190123300</t>
  </si>
  <si>
    <t>D-18-01-G05</t>
  </si>
  <si>
    <t>909190121000</t>
  </si>
  <si>
    <t>D-18-01-F02</t>
  </si>
  <si>
    <t>909190119100</t>
  </si>
  <si>
    <t>D-18-01-H06</t>
  </si>
  <si>
    <t>909190117600</t>
  </si>
  <si>
    <t>D-18-01-H02</t>
  </si>
  <si>
    <t>BUJIA ENCENDIDO</t>
  </si>
  <si>
    <t>909190116600</t>
  </si>
  <si>
    <t>D-18-01-H03</t>
  </si>
  <si>
    <t>909190116400</t>
  </si>
  <si>
    <t>D-18-01-G08</t>
  </si>
  <si>
    <t>909190106400</t>
  </si>
  <si>
    <t>D-18-01-G09</t>
  </si>
  <si>
    <t>909190105900</t>
  </si>
  <si>
    <t>D-18-01-G03</t>
  </si>
  <si>
    <t>FILTRO GAS</t>
  </si>
  <si>
    <t>909171104400</t>
  </si>
  <si>
    <t>D-18-01-B05</t>
  </si>
  <si>
    <t>909170606800</t>
  </si>
  <si>
    <t>D-20-01-F06</t>
  </si>
  <si>
    <t>909170606100</t>
  </si>
  <si>
    <t>D-20-01-F03</t>
  </si>
  <si>
    <t>D-20-01-F01</t>
  </si>
  <si>
    <t>CORREA POLY-V</t>
  </si>
  <si>
    <t>90916T204600</t>
  </si>
  <si>
    <t>D-23-00-C02</t>
  </si>
  <si>
    <t>D-23-00-C10</t>
  </si>
  <si>
    <t>90916T202400</t>
  </si>
  <si>
    <t>D-23-00-A06</t>
  </si>
  <si>
    <t>D-23-00-C08</t>
  </si>
  <si>
    <t>TERMOSTATO</t>
  </si>
  <si>
    <t>909160314500</t>
  </si>
  <si>
    <t>D-18-01-F04</t>
  </si>
  <si>
    <t>909160314400</t>
  </si>
  <si>
    <t>909160311800</t>
  </si>
  <si>
    <t>D-18-01-F01</t>
  </si>
  <si>
    <t>909160269000</t>
  </si>
  <si>
    <t>D-23-00-B06</t>
  </si>
  <si>
    <t>909160267900</t>
  </si>
  <si>
    <t>D-23-00-B07</t>
  </si>
  <si>
    <t>909160265200</t>
  </si>
  <si>
    <t>CORREA VENTIL.</t>
  </si>
  <si>
    <t>909160251700</t>
  </si>
  <si>
    <t>D-23-00-B08</t>
  </si>
  <si>
    <t>909160250900</t>
  </si>
  <si>
    <t>D-23-00-C05</t>
  </si>
  <si>
    <t>CORREA VENTILADOR</t>
  </si>
  <si>
    <t>909160245200</t>
  </si>
  <si>
    <t>D-23-00-C06</t>
  </si>
  <si>
    <t>CORREA AIRE AC.</t>
  </si>
  <si>
    <t>909160239000</t>
  </si>
  <si>
    <t>D-23-00-B11</t>
  </si>
  <si>
    <t>909160238500</t>
  </si>
  <si>
    <t>D-23-00-A04</t>
  </si>
  <si>
    <t>909160235500</t>
  </si>
  <si>
    <t>D-23-00-C01</t>
  </si>
  <si>
    <t>909160234500</t>
  </si>
  <si>
    <t>D-23-00-B03</t>
  </si>
  <si>
    <t>MANGUERA RADIADOR</t>
  </si>
  <si>
    <t>909160116600</t>
  </si>
  <si>
    <t>D-07-03-D02</t>
  </si>
  <si>
    <t>MANGUERA</t>
  </si>
  <si>
    <t>909160116400</t>
  </si>
  <si>
    <t>D-07-03-D01</t>
  </si>
  <si>
    <t>90915YZZM300</t>
  </si>
  <si>
    <t>D-01-03-B01</t>
  </si>
  <si>
    <t>D-01-03-C01</t>
  </si>
  <si>
    <t>90915TA00500</t>
  </si>
  <si>
    <t>D-01-03-B02</t>
  </si>
  <si>
    <t>909154000200</t>
  </si>
  <si>
    <t>909153000300</t>
  </si>
  <si>
    <t>D-01-04-D02</t>
  </si>
  <si>
    <t>909153000200</t>
  </si>
  <si>
    <t>D-01-03-A02</t>
  </si>
  <si>
    <t>909152000500</t>
  </si>
  <si>
    <t>D-01-05-F04</t>
  </si>
  <si>
    <t>909152000400</t>
  </si>
  <si>
    <t>D-01-05-G06</t>
  </si>
  <si>
    <t>909151000900</t>
  </si>
  <si>
    <t>R-01-03-B02</t>
  </si>
  <si>
    <t>D-01-04-D04</t>
  </si>
  <si>
    <t>909151000400</t>
  </si>
  <si>
    <t>D-01-05-F03</t>
  </si>
  <si>
    <t>RETEN VALVULA TYPE B</t>
  </si>
  <si>
    <t>909130213000</t>
  </si>
  <si>
    <t>D-16-00-D05</t>
  </si>
  <si>
    <t>RETEN DE VALVULAS</t>
  </si>
  <si>
    <t>909130211700</t>
  </si>
  <si>
    <t>D-16-01-E07</t>
  </si>
  <si>
    <t>RETEN VALVULAS</t>
  </si>
  <si>
    <t>909130211200</t>
  </si>
  <si>
    <t>D-17-02-F03</t>
  </si>
  <si>
    <t>909130211000</t>
  </si>
  <si>
    <t>D-16-01-E08</t>
  </si>
  <si>
    <t>BULON VOLANTE MOTOR</t>
  </si>
  <si>
    <t>909130102700</t>
  </si>
  <si>
    <t>D-18-02-F06</t>
  </si>
  <si>
    <t>VALVULA VACIO</t>
  </si>
  <si>
    <t>909101218400</t>
  </si>
  <si>
    <t>D-18-01-C01</t>
  </si>
  <si>
    <t>909100219200</t>
  </si>
  <si>
    <t>D-18-02-A01</t>
  </si>
  <si>
    <t>BULON TAPA CILINDROS</t>
  </si>
  <si>
    <t>909100217400</t>
  </si>
  <si>
    <t>D-18-00-A08</t>
  </si>
  <si>
    <t>909100216600</t>
  </si>
  <si>
    <t>D-16-01-F02</t>
  </si>
  <si>
    <t>909100216200</t>
  </si>
  <si>
    <t>D-16-00-E08</t>
  </si>
  <si>
    <t>909100214600</t>
  </si>
  <si>
    <t>D-16-00-B01</t>
  </si>
  <si>
    <t>909100214500</t>
  </si>
  <si>
    <t>D-16-00-B02</t>
  </si>
  <si>
    <t>BULON TAPA CILINDRO</t>
  </si>
  <si>
    <t>909100212100</t>
  </si>
  <si>
    <t>D-16-00-B05</t>
  </si>
  <si>
    <t>909100212000</t>
  </si>
  <si>
    <t>D-16-00-B04</t>
  </si>
  <si>
    <t>BULON TAPA CILINDROS LARGO</t>
  </si>
  <si>
    <t>909100208000</t>
  </si>
  <si>
    <t>D-16-01-F04</t>
  </si>
  <si>
    <t>909046703700</t>
  </si>
  <si>
    <t>909046703600</t>
  </si>
  <si>
    <t>D-19-01-G06</t>
  </si>
  <si>
    <t>909043001300</t>
  </si>
  <si>
    <t>D-20-01-H06</t>
  </si>
  <si>
    <t>909043001200</t>
  </si>
  <si>
    <t>D-19-02-G03</t>
  </si>
  <si>
    <t>909010700200</t>
  </si>
  <si>
    <t>D-18-00-D03</t>
  </si>
  <si>
    <t>BOLT WASHER BASED</t>
  </si>
  <si>
    <t>909010502600</t>
  </si>
  <si>
    <t>D-18-00-A06</t>
  </si>
  <si>
    <t>90564S009200</t>
  </si>
  <si>
    <t>D-20-00-H05</t>
  </si>
  <si>
    <t>90564S004500</t>
  </si>
  <si>
    <t>D-17-00-F03</t>
  </si>
  <si>
    <t>90564S003400</t>
  </si>
  <si>
    <t>905645411400</t>
  </si>
  <si>
    <t>D-17-01-G05</t>
  </si>
  <si>
    <t>ESPACIADOR DIFERENCI</t>
  </si>
  <si>
    <t>905645000400</t>
  </si>
  <si>
    <t>D-20-00-D03</t>
  </si>
  <si>
    <t>905645000200</t>
  </si>
  <si>
    <t>D-20-00-D02</t>
  </si>
  <si>
    <t>ARANDELA FRENO TRAS.</t>
  </si>
  <si>
    <t>905640900200</t>
  </si>
  <si>
    <t>D-20-00-H03</t>
  </si>
  <si>
    <t>ANILLO</t>
  </si>
  <si>
    <t>905624200200</t>
  </si>
  <si>
    <t>D-20-01-G08</t>
  </si>
  <si>
    <t>REPAR.VALV.DIF.</t>
  </si>
  <si>
    <t>905623300700</t>
  </si>
  <si>
    <t>D-19-02-G02</t>
  </si>
  <si>
    <t>905613000500</t>
  </si>
  <si>
    <t>D-19-00-D05</t>
  </si>
  <si>
    <t>905603900200</t>
  </si>
  <si>
    <t>D-19-00-F06</t>
  </si>
  <si>
    <t>905602701100</t>
  </si>
  <si>
    <t>D-17-00-D09</t>
  </si>
  <si>
    <t>905601302300</t>
  </si>
  <si>
    <t>D-20-01-H07</t>
  </si>
  <si>
    <t>TOPE DE GOMA</t>
  </si>
  <si>
    <t>90541T000500</t>
  </si>
  <si>
    <t>D-19-01-A07</t>
  </si>
  <si>
    <t>905411502400</t>
  </si>
  <si>
    <t>D-19-01-H06</t>
  </si>
  <si>
    <t>TOPE DE GOMA CAPOT</t>
  </si>
  <si>
    <t>905411501900</t>
  </si>
  <si>
    <t>905410913100</t>
  </si>
  <si>
    <t>D-18-02-F02</t>
  </si>
  <si>
    <t>905410912400</t>
  </si>
  <si>
    <t>D-19-00-B03</t>
  </si>
  <si>
    <t>905410910800</t>
  </si>
  <si>
    <t>D-19-02-C03</t>
  </si>
  <si>
    <t>TOPE CIERRE TAPA COMBUST.</t>
  </si>
  <si>
    <t>905410801400</t>
  </si>
  <si>
    <t>E-06-01-H01</t>
  </si>
  <si>
    <t>RESORTE RETENEDOR</t>
  </si>
  <si>
    <t>905240900100</t>
  </si>
  <si>
    <t>D-19-00-A02</t>
  </si>
  <si>
    <t>SEGURO</t>
  </si>
  <si>
    <t>90520T016200</t>
  </si>
  <si>
    <t>D-17-00-E01</t>
  </si>
  <si>
    <t>90520T016000</t>
  </si>
  <si>
    <t>D-17-00-C09</t>
  </si>
  <si>
    <t>90520T003300</t>
  </si>
  <si>
    <t>D-17-00-C08</t>
  </si>
  <si>
    <t>SEGURO EJE TRASERO</t>
  </si>
  <si>
    <t>905204601400</t>
  </si>
  <si>
    <t>D-20-00-B02</t>
  </si>
  <si>
    <t>905204101900</t>
  </si>
  <si>
    <t>D-17-00-C02</t>
  </si>
  <si>
    <t>905203902900</t>
  </si>
  <si>
    <t>D-20-00-E03</t>
  </si>
  <si>
    <t>905203902600</t>
  </si>
  <si>
    <t>D-18-00-E05</t>
  </si>
  <si>
    <t>SEGURO CAJA</t>
  </si>
  <si>
    <t>905203801400</t>
  </si>
  <si>
    <t>D-17-00-C03</t>
  </si>
  <si>
    <t>SEGURO PALIER</t>
  </si>
  <si>
    <t>905203604500</t>
  </si>
  <si>
    <t>D-17-00-A04</t>
  </si>
  <si>
    <t>905203601300</t>
  </si>
  <si>
    <t>D-17-00-B05</t>
  </si>
  <si>
    <t>905203103100</t>
  </si>
  <si>
    <t>D-17-00-E04</t>
  </si>
  <si>
    <t>905203102600</t>
  </si>
  <si>
    <t>D-19-00-E05</t>
  </si>
  <si>
    <t>905203102300</t>
  </si>
  <si>
    <t>D-17-00-E03</t>
  </si>
  <si>
    <t>905203102100</t>
  </si>
  <si>
    <t>D-17-00-B06</t>
  </si>
  <si>
    <t>905203102000</t>
  </si>
  <si>
    <t>D-19-01-E05</t>
  </si>
  <si>
    <t>905203101800</t>
  </si>
  <si>
    <t>D-17-00-E05</t>
  </si>
  <si>
    <t>905203101700</t>
  </si>
  <si>
    <t>D-17-00-B02</t>
  </si>
  <si>
    <t>905203002000</t>
  </si>
  <si>
    <t>D-17-00-D05</t>
  </si>
  <si>
    <t>905203000200</t>
  </si>
  <si>
    <t>E-06-01-H03</t>
  </si>
  <si>
    <t>905202805200</t>
  </si>
  <si>
    <t>D-17-00-E07</t>
  </si>
  <si>
    <t>SEGURO DE CAJA</t>
  </si>
  <si>
    <t>905202803300</t>
  </si>
  <si>
    <t>D-17-00-C01</t>
  </si>
  <si>
    <t>ANILLO CAJA</t>
  </si>
  <si>
    <t>905202506800</t>
  </si>
  <si>
    <t>D-17-00-B04</t>
  </si>
  <si>
    <t>905202306200</t>
  </si>
  <si>
    <t>D-17-00-B01</t>
  </si>
  <si>
    <t>ANILLO TRANSMISION</t>
  </si>
  <si>
    <t>905202202200</t>
  </si>
  <si>
    <t>D-17-00-B03</t>
  </si>
  <si>
    <t>RESORTE DISTRIB.</t>
  </si>
  <si>
    <t>905072700300</t>
  </si>
  <si>
    <t>D-19-01-A06</t>
  </si>
  <si>
    <t>RESORTE</t>
  </si>
  <si>
    <t>905061206100</t>
  </si>
  <si>
    <t>D-19-02-D03</t>
  </si>
  <si>
    <t>RESORTE COMPRESION</t>
  </si>
  <si>
    <t>905013503500</t>
  </si>
  <si>
    <t>D-17-01-F07</t>
  </si>
  <si>
    <t>RESORTE FRENO</t>
  </si>
  <si>
    <t>905012060400</t>
  </si>
  <si>
    <t>D-19-01-D01</t>
  </si>
  <si>
    <t>905011813300</t>
  </si>
  <si>
    <t>D-19-01-D03</t>
  </si>
  <si>
    <t>905010821200</t>
  </si>
  <si>
    <t>D-19-00-I07</t>
  </si>
  <si>
    <t>RESORTE PALANCA CAMB</t>
  </si>
  <si>
    <t>905010703700</t>
  </si>
  <si>
    <t>D-19-01-D02</t>
  </si>
  <si>
    <t>904802443900</t>
  </si>
  <si>
    <t>D-19-01-G08</t>
  </si>
  <si>
    <t>904802202500</t>
  </si>
  <si>
    <t>E-06-01-L04</t>
  </si>
  <si>
    <t>904801800600</t>
  </si>
  <si>
    <t>E-06-01-L08</t>
  </si>
  <si>
    <t>TOPE PLASTICO</t>
  </si>
  <si>
    <t>904801502800</t>
  </si>
  <si>
    <t>D-17-02-G08</t>
  </si>
  <si>
    <t>904681800800</t>
  </si>
  <si>
    <t>904681602200</t>
  </si>
  <si>
    <t>D-19-01-F01</t>
  </si>
  <si>
    <t>SEGURO DE CHAPA</t>
  </si>
  <si>
    <t>904681601900</t>
  </si>
  <si>
    <t>90467T002000</t>
  </si>
  <si>
    <t>90467T001100</t>
  </si>
  <si>
    <t>90467T0002B0</t>
  </si>
  <si>
    <t>ABRAZADERAS</t>
  </si>
  <si>
    <t>904673700300</t>
  </si>
  <si>
    <t>D-20-00-A07</t>
  </si>
  <si>
    <t>904672201500</t>
  </si>
  <si>
    <t>D-19-01-J07</t>
  </si>
  <si>
    <t>904672201400</t>
  </si>
  <si>
    <t>D-20-00-I06</t>
  </si>
  <si>
    <t>9046717027C0</t>
  </si>
  <si>
    <t>D-19-02-G05</t>
  </si>
  <si>
    <t>904671312800</t>
  </si>
  <si>
    <t>D-19-00-F02</t>
  </si>
  <si>
    <t>904671206900</t>
  </si>
  <si>
    <t>D-19-01-C04</t>
  </si>
  <si>
    <t>904671021600</t>
  </si>
  <si>
    <t>D-19-02-C01</t>
  </si>
  <si>
    <t>904671020600</t>
  </si>
  <si>
    <t>D-19-01-B08</t>
  </si>
  <si>
    <t>904671020300</t>
  </si>
  <si>
    <t>D-19-02-A02</t>
  </si>
  <si>
    <t>CLIPS</t>
  </si>
  <si>
    <t>904671018600</t>
  </si>
  <si>
    <t>D-19-02-D05</t>
  </si>
  <si>
    <t>9046710170C0</t>
  </si>
  <si>
    <t>D-19-02-F04</t>
  </si>
  <si>
    <t>904671016200</t>
  </si>
  <si>
    <t>D-19-00-C04</t>
  </si>
  <si>
    <t>904671010700</t>
  </si>
  <si>
    <t>904670923700</t>
  </si>
  <si>
    <t>904670921300</t>
  </si>
  <si>
    <t>E-06-01-M07</t>
  </si>
  <si>
    <t>904670919600</t>
  </si>
  <si>
    <t>E-06-01-H05</t>
  </si>
  <si>
    <t>904670917700</t>
  </si>
  <si>
    <t>904670900600</t>
  </si>
  <si>
    <t>904670822800</t>
  </si>
  <si>
    <t>904670822500</t>
  </si>
  <si>
    <t>D-19-02-G04</t>
  </si>
  <si>
    <t>904670822400</t>
  </si>
  <si>
    <t>D-19-01-F06</t>
  </si>
  <si>
    <t>9046708186C3</t>
  </si>
  <si>
    <t>904670814500</t>
  </si>
  <si>
    <t>E-06-01-M08</t>
  </si>
  <si>
    <t>904670801100</t>
  </si>
  <si>
    <t>904670722000</t>
  </si>
  <si>
    <t>904670721700</t>
  </si>
  <si>
    <t>D-19-02-I02</t>
  </si>
  <si>
    <t>D-19-01-L02</t>
  </si>
  <si>
    <t>904670721400</t>
  </si>
  <si>
    <t>D-19-01-I04</t>
  </si>
  <si>
    <t>904670720100</t>
  </si>
  <si>
    <t>D-19-01-I01</t>
  </si>
  <si>
    <t>904670716600</t>
  </si>
  <si>
    <t>D-19-02-C04</t>
  </si>
  <si>
    <t>904670716400</t>
  </si>
  <si>
    <t>9046707085B0</t>
  </si>
  <si>
    <t>9046707076C0</t>
  </si>
  <si>
    <t>D-19-01-I03</t>
  </si>
  <si>
    <t>904670620200</t>
  </si>
  <si>
    <t>D-18-02-J07</t>
  </si>
  <si>
    <t>9046706165C0</t>
  </si>
  <si>
    <t>904670517000</t>
  </si>
  <si>
    <t>D-19-01-I05</t>
  </si>
  <si>
    <t>904670513800</t>
  </si>
  <si>
    <t>D-19-01-K02</t>
  </si>
  <si>
    <t>904670512800</t>
  </si>
  <si>
    <t>D-19-01-I09</t>
  </si>
  <si>
    <t>904670511400</t>
  </si>
  <si>
    <t>D-19-01-L04</t>
  </si>
  <si>
    <t>9046705090B1</t>
  </si>
  <si>
    <t>9046705063C0</t>
  </si>
  <si>
    <t>D-19-01-K09</t>
  </si>
  <si>
    <t>904662200500</t>
  </si>
  <si>
    <t>D-19-00-F03</t>
  </si>
  <si>
    <t>904660700200</t>
  </si>
  <si>
    <t>D-19-01-C05</t>
  </si>
  <si>
    <t>ABRAZADERA MANGUERA</t>
  </si>
  <si>
    <t>904607600100</t>
  </si>
  <si>
    <t>D-20-01-A08</t>
  </si>
  <si>
    <t>904606400300</t>
  </si>
  <si>
    <t>D-20-00-A04</t>
  </si>
  <si>
    <t>ABRAZADERA FUELLE COL.DIR</t>
  </si>
  <si>
    <t>904606000800</t>
  </si>
  <si>
    <t>D-18-00-A01</t>
  </si>
  <si>
    <t>904605501600</t>
  </si>
  <si>
    <t>D-17-02-G05</t>
  </si>
  <si>
    <t>904605000800</t>
  </si>
  <si>
    <t>D-20-00-H07</t>
  </si>
  <si>
    <t>904401601800</t>
  </si>
  <si>
    <t>D-17-00-D01</t>
  </si>
  <si>
    <t>90430T001700</t>
  </si>
  <si>
    <t>D-19-02-H05</t>
  </si>
  <si>
    <t>JUNTA DE BRONCE</t>
  </si>
  <si>
    <t>904302401700</t>
  </si>
  <si>
    <t>D-19-02-D02</t>
  </si>
  <si>
    <t>904301800600</t>
  </si>
  <si>
    <t>D-19-02-G06</t>
  </si>
  <si>
    <t>JUNTA CANO INYECCION</t>
  </si>
  <si>
    <t>904301401500</t>
  </si>
  <si>
    <t>D-20-01-E09</t>
  </si>
  <si>
    <t>904301200800</t>
  </si>
  <si>
    <t>D-17-00-D07</t>
  </si>
  <si>
    <t>904300801700</t>
  </si>
  <si>
    <t>D-17-00-D06</t>
  </si>
  <si>
    <t>904300601300</t>
  </si>
  <si>
    <t>D-20-01-I07</t>
  </si>
  <si>
    <t>TORNILLO UNION</t>
  </si>
  <si>
    <t>90401T000700</t>
  </si>
  <si>
    <t>D-19-00-G05</t>
  </si>
  <si>
    <t>BUJE PLASTICO</t>
  </si>
  <si>
    <t>90389T003100</t>
  </si>
  <si>
    <t>D-18-00-G04</t>
  </si>
  <si>
    <t>903892100400</t>
  </si>
  <si>
    <t>D-19-00-F04</t>
  </si>
  <si>
    <t>903891004200</t>
  </si>
  <si>
    <t>D-18-02-I08</t>
  </si>
  <si>
    <t>903891003200</t>
  </si>
  <si>
    <t>D-17-02-H03</t>
  </si>
  <si>
    <t>903890605500</t>
  </si>
  <si>
    <t>D-18-02-J02</t>
  </si>
  <si>
    <t>903890501700</t>
  </si>
  <si>
    <t>D-18-02-M01</t>
  </si>
  <si>
    <t>COLLAR</t>
  </si>
  <si>
    <t>903871503300</t>
  </si>
  <si>
    <t>D-19-02-F05</t>
  </si>
  <si>
    <t>903861301500</t>
  </si>
  <si>
    <t>D-18-02-L02</t>
  </si>
  <si>
    <t>903860800200</t>
  </si>
  <si>
    <t>D-18-02-M07</t>
  </si>
  <si>
    <t>90385T002000</t>
  </si>
  <si>
    <t>BUJE (90385S0003)</t>
  </si>
  <si>
    <t>90385T001900</t>
  </si>
  <si>
    <t>D-19-02-I06</t>
  </si>
  <si>
    <t>90385T001700</t>
  </si>
  <si>
    <t>D-19-02-H03</t>
  </si>
  <si>
    <t>90385T001400</t>
  </si>
  <si>
    <t>D-19-02-H02</t>
  </si>
  <si>
    <t>BUJE (90385T0002)</t>
  </si>
  <si>
    <t>90385T001000</t>
  </si>
  <si>
    <t>D-21-01-C02</t>
  </si>
  <si>
    <t>BUJE (90385T0001)</t>
  </si>
  <si>
    <t>90385T000900</t>
  </si>
  <si>
    <t>D-21-01-C04</t>
  </si>
  <si>
    <t>90385T000400</t>
  </si>
  <si>
    <t>E-06-01-K07</t>
  </si>
  <si>
    <t>BUJE ELASTICO</t>
  </si>
  <si>
    <t>903851804600</t>
  </si>
  <si>
    <t>D-21-01-B05</t>
  </si>
  <si>
    <t>903851802000</t>
  </si>
  <si>
    <t>D-19-02-H06</t>
  </si>
  <si>
    <t>903851801900</t>
  </si>
  <si>
    <t>903851801200</t>
  </si>
  <si>
    <t>D-21-00-H02</t>
  </si>
  <si>
    <t>903851006400</t>
  </si>
  <si>
    <t>D-17-02-I03</t>
  </si>
  <si>
    <t>BUJE PUNTA DE EJE</t>
  </si>
  <si>
    <t>903813300200</t>
  </si>
  <si>
    <t>D-20-00-H06</t>
  </si>
  <si>
    <t>903813300100</t>
  </si>
  <si>
    <t>D-20-00-J03</t>
  </si>
  <si>
    <t>215/60 R17 PRIMACY 4</t>
  </si>
  <si>
    <t>903727</t>
  </si>
  <si>
    <t>E-05-00-A02</t>
  </si>
  <si>
    <t>D-05-00-A01</t>
  </si>
  <si>
    <t>903694300900</t>
  </si>
  <si>
    <t>D-20-01-J08</t>
  </si>
  <si>
    <t>D-05-01-C02</t>
  </si>
  <si>
    <t>D-21-00-G04</t>
  </si>
  <si>
    <t>D-20-00-J07</t>
  </si>
  <si>
    <t>90366T000100</t>
  </si>
  <si>
    <t>D-20-01-L02</t>
  </si>
  <si>
    <t>90366S002200</t>
  </si>
  <si>
    <t>D-21-00-H03</t>
  </si>
  <si>
    <t>90366S001900</t>
  </si>
  <si>
    <t>D-21-00-I05</t>
  </si>
  <si>
    <t>90366S001600</t>
  </si>
  <si>
    <t>D-21-02-C04</t>
  </si>
  <si>
    <t>90366S001300</t>
  </si>
  <si>
    <t>D-21-02-D03</t>
  </si>
  <si>
    <t>D-20-01-K08</t>
  </si>
  <si>
    <t>903665007200</t>
  </si>
  <si>
    <t>D-20-01-J01</t>
  </si>
  <si>
    <t>903663508700</t>
  </si>
  <si>
    <t>D-20-01-K10</t>
  </si>
  <si>
    <t>903663006700</t>
  </si>
  <si>
    <t>D-20-01-L01</t>
  </si>
  <si>
    <t>90365T001000</t>
  </si>
  <si>
    <t>D-20-00-B03</t>
  </si>
  <si>
    <t>903652502300</t>
  </si>
  <si>
    <t>D-20-01-K01</t>
  </si>
  <si>
    <t>90364T003900</t>
  </si>
  <si>
    <t>D-20-00-I07</t>
  </si>
  <si>
    <t>90364T003500</t>
  </si>
  <si>
    <t>D-20-00-E08</t>
  </si>
  <si>
    <t>903644700100</t>
  </si>
  <si>
    <t>D-20-00-I09</t>
  </si>
  <si>
    <t>903643501000</t>
  </si>
  <si>
    <t>903642600200</t>
  </si>
  <si>
    <t>D-20-00-D07</t>
  </si>
  <si>
    <t>90363T004100</t>
  </si>
  <si>
    <t>D-20-00-J02</t>
  </si>
  <si>
    <t>RODAMIENTO RODILLO CAJA T</t>
  </si>
  <si>
    <t>90363T003000</t>
  </si>
  <si>
    <t>D-21-00-I01</t>
  </si>
  <si>
    <t>90363T001400</t>
  </si>
  <si>
    <t>D-20-01-K06</t>
  </si>
  <si>
    <t>90363T000600</t>
  </si>
  <si>
    <t>D-20-01-I06</t>
  </si>
  <si>
    <t>903636700100</t>
  </si>
  <si>
    <t>D-20-01-L09</t>
  </si>
  <si>
    <t>903634006800</t>
  </si>
  <si>
    <t>D-21-00-I06</t>
  </si>
  <si>
    <t>903634002000</t>
  </si>
  <si>
    <t>D-20-01-K03</t>
  </si>
  <si>
    <t>903633600600</t>
  </si>
  <si>
    <t>D-21-00-G02</t>
  </si>
  <si>
    <t>903632800400</t>
  </si>
  <si>
    <t>D-20-01-L06</t>
  </si>
  <si>
    <t>903631202400</t>
  </si>
  <si>
    <t>D-19-00-J09</t>
  </si>
  <si>
    <t>RODILLO</t>
  </si>
  <si>
    <t>903610600200</t>
  </si>
  <si>
    <t>D-16-01-H03</t>
  </si>
  <si>
    <t>BOLILLA</t>
  </si>
  <si>
    <t>903600600400</t>
  </si>
  <si>
    <t>D-16-01-H04</t>
  </si>
  <si>
    <t>TAPON DRENAJE DIF DEL</t>
  </si>
  <si>
    <t>903412401400</t>
  </si>
  <si>
    <t>TAPON ACEITE CAJA</t>
  </si>
  <si>
    <t>903411806400</t>
  </si>
  <si>
    <t>D-19-02-F03</t>
  </si>
  <si>
    <t>903411805700</t>
  </si>
  <si>
    <t>TAPON LLENADO DIF DEL</t>
  </si>
  <si>
    <t>903411803200</t>
  </si>
  <si>
    <t>903411802300</t>
  </si>
  <si>
    <t>TAPON DIFERENCIAL</t>
  </si>
  <si>
    <t>903411800600</t>
  </si>
  <si>
    <t>903411203400</t>
  </si>
  <si>
    <t>D-17-01-F05</t>
  </si>
  <si>
    <t>903411201400</t>
  </si>
  <si>
    <t>TAPON CARTER</t>
  </si>
  <si>
    <t>903411201200</t>
  </si>
  <si>
    <t>TAPON DRENAJE ATM</t>
  </si>
  <si>
    <t>903411001100</t>
  </si>
  <si>
    <t>90316T000200</t>
  </si>
  <si>
    <t>D-21-01-J05</t>
  </si>
  <si>
    <t>265/60 R18 FRV PRIMACY SUV+</t>
  </si>
  <si>
    <t>903168</t>
  </si>
  <si>
    <t>903166000400</t>
  </si>
  <si>
    <t>D-19-00-H06</t>
  </si>
  <si>
    <t>D-21-01-J06</t>
  </si>
  <si>
    <t>RETEN EJE TRASERO</t>
  </si>
  <si>
    <t>903135400100</t>
  </si>
  <si>
    <t>D-21-02-I02</t>
  </si>
  <si>
    <t>D-21-02-I05</t>
  </si>
  <si>
    <t>SELLO ACEITE</t>
  </si>
  <si>
    <t>90311T010700</t>
  </si>
  <si>
    <t>90311T007400</t>
  </si>
  <si>
    <t>D-19-00-B08</t>
  </si>
  <si>
    <t>SEAL, TYPE T OIL</t>
  </si>
  <si>
    <t>90311T007200</t>
  </si>
  <si>
    <t>D-19-00-E09</t>
  </si>
  <si>
    <t>D-19-00-C01</t>
  </si>
  <si>
    <t>90311S000100</t>
  </si>
  <si>
    <t>D-19-00-C06</t>
  </si>
  <si>
    <t>RETEN BANCADA</t>
  </si>
  <si>
    <t>903119500800</t>
  </si>
  <si>
    <t>D-17-00-E08</t>
  </si>
  <si>
    <t>903117800400</t>
  </si>
  <si>
    <t>D-19-00-G08</t>
  </si>
  <si>
    <t>RETEN DISTRIBUCION gde</t>
  </si>
  <si>
    <t>903116500300</t>
  </si>
  <si>
    <t>D-19-00-K01</t>
  </si>
  <si>
    <t>RETEN DISTRIBUCION</t>
  </si>
  <si>
    <t>903115800600</t>
  </si>
  <si>
    <t>D-19-00-E07</t>
  </si>
  <si>
    <t>903115500500</t>
  </si>
  <si>
    <t>D-19-00-A06</t>
  </si>
  <si>
    <t>RETEN ACEITE DIF. TRAS</t>
  </si>
  <si>
    <t>903115300100</t>
  </si>
  <si>
    <t>D-19-00-J04</t>
  </si>
  <si>
    <t>RETEN CIGUEÑAL</t>
  </si>
  <si>
    <t>903115005100</t>
  </si>
  <si>
    <t>D-19-00-D07</t>
  </si>
  <si>
    <t>903115002900</t>
  </si>
  <si>
    <t>D-19-00-E08</t>
  </si>
  <si>
    <t>903115000500</t>
  </si>
  <si>
    <t>D-19-00-A08</t>
  </si>
  <si>
    <t>D-19-00-K06</t>
  </si>
  <si>
    <t>RETEN SEMIEJE LH</t>
  </si>
  <si>
    <t>903114702700</t>
  </si>
  <si>
    <t>D-21-00-E03</t>
  </si>
  <si>
    <t>RETEN SEMIEJE RH DER</t>
  </si>
  <si>
    <t>903114702600</t>
  </si>
  <si>
    <t>D-21-00-F02</t>
  </si>
  <si>
    <t>903114700100</t>
  </si>
  <si>
    <t>D-19-00-D04</t>
  </si>
  <si>
    <t>903114503900</t>
  </si>
  <si>
    <t>D-19-00-B06</t>
  </si>
  <si>
    <t>RETEN ACEITE TIPO T</t>
  </si>
  <si>
    <t>903114503700</t>
  </si>
  <si>
    <t>D-19-00-K05</t>
  </si>
  <si>
    <t>903114501400</t>
  </si>
  <si>
    <t>D-19-00-A03</t>
  </si>
  <si>
    <t>903114301300</t>
  </si>
  <si>
    <t>D-19-00-G04</t>
  </si>
  <si>
    <t>903114300800</t>
  </si>
  <si>
    <t>D-19-00-C02</t>
  </si>
  <si>
    <t>RETEN ARBOL DE LEVAS</t>
  </si>
  <si>
    <t>903114202700</t>
  </si>
  <si>
    <t>D-19-00-G07</t>
  </si>
  <si>
    <t>903114201000</t>
  </si>
  <si>
    <t>D-19-00-F01</t>
  </si>
  <si>
    <t>RETEN DE PIÑON</t>
  </si>
  <si>
    <t>903114101400</t>
  </si>
  <si>
    <t>D-19-00-A04</t>
  </si>
  <si>
    <t>RETEN DE CAJA</t>
  </si>
  <si>
    <t>903114101200</t>
  </si>
  <si>
    <t>D-19-00-J02</t>
  </si>
  <si>
    <t>903114100900</t>
  </si>
  <si>
    <t>D-19-00-C09</t>
  </si>
  <si>
    <t>RETEN COLA DE CAJA</t>
  </si>
  <si>
    <t>903114004800</t>
  </si>
  <si>
    <t>D-19-00-A09</t>
  </si>
  <si>
    <t>903114000100</t>
  </si>
  <si>
    <t>D-19-00-J07</t>
  </si>
  <si>
    <t>903113808700</t>
  </si>
  <si>
    <t>D-19-02-H01</t>
  </si>
  <si>
    <t>RETEN PIÑON</t>
  </si>
  <si>
    <t>903113804700</t>
  </si>
  <si>
    <t>D-19-00-I02</t>
  </si>
  <si>
    <t>903113803200</t>
  </si>
  <si>
    <t>903113600500</t>
  </si>
  <si>
    <t>D-17-00-C04</t>
  </si>
  <si>
    <t>903113506800</t>
  </si>
  <si>
    <t>D-19-00-G01</t>
  </si>
  <si>
    <t>903113506500</t>
  </si>
  <si>
    <t>D-19-00-D09</t>
  </si>
  <si>
    <t>903113506400</t>
  </si>
  <si>
    <t>903113505600</t>
  </si>
  <si>
    <t>D-19-00-F07</t>
  </si>
  <si>
    <t>903113503200</t>
  </si>
  <si>
    <t>D-19-00-C03</t>
  </si>
  <si>
    <t>RETEN RH</t>
  </si>
  <si>
    <t>903113403900</t>
  </si>
  <si>
    <t>D-19-00-H05</t>
  </si>
  <si>
    <t>903113401600</t>
  </si>
  <si>
    <t>D-19-00-D03</t>
  </si>
  <si>
    <t>903113202000</t>
  </si>
  <si>
    <t>D-19-00-A07</t>
  </si>
  <si>
    <t>903113200900</t>
  </si>
  <si>
    <t>D-19-00-B01</t>
  </si>
  <si>
    <t>903113001400</t>
  </si>
  <si>
    <t>D-19-00-G09</t>
  </si>
  <si>
    <t>903112502800</t>
  </si>
  <si>
    <t>D-19-00-K07</t>
  </si>
  <si>
    <t>903112400100</t>
  </si>
  <si>
    <t>D-19-00-A05</t>
  </si>
  <si>
    <t>D-19-00-J01</t>
  </si>
  <si>
    <t>903105000600</t>
  </si>
  <si>
    <t>D-19-00-I01</t>
  </si>
  <si>
    <t>903104100100</t>
  </si>
  <si>
    <t>D-19-00-C05</t>
  </si>
  <si>
    <t>903103600300</t>
  </si>
  <si>
    <t>D-19-00-F05</t>
  </si>
  <si>
    <t>90304T000100</t>
  </si>
  <si>
    <t>D-21-01-J03</t>
  </si>
  <si>
    <t>DEFLECTOR SEMIEJE</t>
  </si>
  <si>
    <t>903048300100</t>
  </si>
  <si>
    <t>D-19-00-B02</t>
  </si>
  <si>
    <t>DEFLECTOR</t>
  </si>
  <si>
    <t>903047600300</t>
  </si>
  <si>
    <t>D-19-00-F08</t>
  </si>
  <si>
    <t>90301T005000</t>
  </si>
  <si>
    <t>D-20-01-L03</t>
  </si>
  <si>
    <t>90301T004900</t>
  </si>
  <si>
    <t>D-20-01-L04</t>
  </si>
  <si>
    <t>90301T004300</t>
  </si>
  <si>
    <t>D-20-01-J03</t>
  </si>
  <si>
    <t>90301T001800</t>
  </si>
  <si>
    <t>90301T001300</t>
  </si>
  <si>
    <t>D-20-01-E05</t>
  </si>
  <si>
    <t>903019200300</t>
  </si>
  <si>
    <t>D-20-01-D03</t>
  </si>
  <si>
    <t>903016000200</t>
  </si>
  <si>
    <t>903014900300</t>
  </si>
  <si>
    <t>D-20-01-D04</t>
  </si>
  <si>
    <t>ORING</t>
  </si>
  <si>
    <t>903014300200</t>
  </si>
  <si>
    <t>903012901600</t>
  </si>
  <si>
    <t>D-20-01-E07</t>
  </si>
  <si>
    <t>O-RING</t>
  </si>
  <si>
    <t>903012701000</t>
  </si>
  <si>
    <t>903012401300</t>
  </si>
  <si>
    <t>D-19-02-F02</t>
  </si>
  <si>
    <t>903012300500</t>
  </si>
  <si>
    <t>903012201300</t>
  </si>
  <si>
    <t>D-17-00-E06</t>
  </si>
  <si>
    <t>903012200700</t>
  </si>
  <si>
    <t>903010901800</t>
  </si>
  <si>
    <t>D-20-01-D09</t>
  </si>
  <si>
    <t>903010801000</t>
  </si>
  <si>
    <t>903010703300</t>
  </si>
  <si>
    <t>D-18-02-L09</t>
  </si>
  <si>
    <t>902800400300</t>
  </si>
  <si>
    <t>D-20-01-H09</t>
  </si>
  <si>
    <t>REMACHE</t>
  </si>
  <si>
    <t>902690507400</t>
  </si>
  <si>
    <t>D-19-01-C02</t>
  </si>
  <si>
    <t>902690405100</t>
  </si>
  <si>
    <t>902520301500</t>
  </si>
  <si>
    <t>D-17-00-A09</t>
  </si>
  <si>
    <t>902501003000</t>
  </si>
  <si>
    <t>D-16-00-D06</t>
  </si>
  <si>
    <t>PASADOR</t>
  </si>
  <si>
    <t>90240T000200</t>
  </si>
  <si>
    <t>D-20-01-L05</t>
  </si>
  <si>
    <t>ARANDELA PUNTA EJE</t>
  </si>
  <si>
    <t>902142000700</t>
  </si>
  <si>
    <t>D-20-00-C03</t>
  </si>
  <si>
    <t>902101201100</t>
  </si>
  <si>
    <t>D-19-02-I03</t>
  </si>
  <si>
    <t>90208T000100</t>
  </si>
  <si>
    <t>D-17-01-B07</t>
  </si>
  <si>
    <t>90201T001200</t>
  </si>
  <si>
    <t>D-18-02-L04</t>
  </si>
  <si>
    <t>902011402500</t>
  </si>
  <si>
    <t>D-19-00-A01</t>
  </si>
  <si>
    <t>ARANDELA SOP.AMORT.</t>
  </si>
  <si>
    <t>902011401600</t>
  </si>
  <si>
    <t>D-18-02-E04</t>
  </si>
  <si>
    <t>902011101300</t>
  </si>
  <si>
    <t>902010800200</t>
  </si>
  <si>
    <t>902010604700</t>
  </si>
  <si>
    <t>D-19-01-I07</t>
  </si>
  <si>
    <t>90189T001900</t>
  </si>
  <si>
    <t>90189T000300</t>
  </si>
  <si>
    <t>D-19-01-H01</t>
  </si>
  <si>
    <t>901890900200</t>
  </si>
  <si>
    <t>D-19-01-B01</t>
  </si>
  <si>
    <t>901890623700</t>
  </si>
  <si>
    <t>CLIP SPOILER TRAS</t>
  </si>
  <si>
    <t>901890623600</t>
  </si>
  <si>
    <t>D-19-01-I06</t>
  </si>
  <si>
    <t>901890623000</t>
  </si>
  <si>
    <t>901890622800</t>
  </si>
  <si>
    <t>901890621400</t>
  </si>
  <si>
    <t>D-19-01-F07</t>
  </si>
  <si>
    <t>901890621200</t>
  </si>
  <si>
    <t>D-19-01-J02</t>
  </si>
  <si>
    <t>901890621100</t>
  </si>
  <si>
    <t>901890619300</t>
  </si>
  <si>
    <t>901890614800</t>
  </si>
  <si>
    <t>CLIP PARAGOLPE TRAS</t>
  </si>
  <si>
    <t>901890614500</t>
  </si>
  <si>
    <t>D-19-01-B05</t>
  </si>
  <si>
    <t>901890613100</t>
  </si>
  <si>
    <t>E-06-01-M03</t>
  </si>
  <si>
    <t>901890611400</t>
  </si>
  <si>
    <t>901890606500</t>
  </si>
  <si>
    <t>D-19-01-L03</t>
  </si>
  <si>
    <t>901890602900</t>
  </si>
  <si>
    <t>E-06-01-M05</t>
  </si>
  <si>
    <t>901890602800</t>
  </si>
  <si>
    <t>901890602700</t>
  </si>
  <si>
    <t>901890601300</t>
  </si>
  <si>
    <t>D-19-01-J09</t>
  </si>
  <si>
    <t>901890600600</t>
  </si>
  <si>
    <t>901890514400</t>
  </si>
  <si>
    <t>901890509600</t>
  </si>
  <si>
    <t>901890503900</t>
  </si>
  <si>
    <t>E-06-01-M06</t>
  </si>
  <si>
    <t>901890500300</t>
  </si>
  <si>
    <t>D-19-01-I02</t>
  </si>
  <si>
    <t>901890400200</t>
  </si>
  <si>
    <t>E-06-01-M01</t>
  </si>
  <si>
    <t>901830601900</t>
  </si>
  <si>
    <t>TUERCA C/ARANDELA</t>
  </si>
  <si>
    <t>901820601200</t>
  </si>
  <si>
    <t>D-18-02-E08</t>
  </si>
  <si>
    <t>901791500100</t>
  </si>
  <si>
    <t>D-18-00-B07</t>
  </si>
  <si>
    <t>901791406900</t>
  </si>
  <si>
    <t>D-18-00-C03</t>
  </si>
  <si>
    <t>901791406800</t>
  </si>
  <si>
    <t>901791406300</t>
  </si>
  <si>
    <t>D-18-02-H05</t>
  </si>
  <si>
    <t>901791403900</t>
  </si>
  <si>
    <t>D-19-02-E03</t>
  </si>
  <si>
    <t>901791215100</t>
  </si>
  <si>
    <t>D-18-02-C09</t>
  </si>
  <si>
    <t>901791214500</t>
  </si>
  <si>
    <t>D-18-01-B01</t>
  </si>
  <si>
    <t>901791207400</t>
  </si>
  <si>
    <t>D-18-02-G07</t>
  </si>
  <si>
    <t>901791207100</t>
  </si>
  <si>
    <t>D-20-00-A01</t>
  </si>
  <si>
    <t>901791017600</t>
  </si>
  <si>
    <t>901791007000</t>
  </si>
  <si>
    <t>901791005900</t>
  </si>
  <si>
    <t>D-18-00-B01</t>
  </si>
  <si>
    <t>901790809600</t>
  </si>
  <si>
    <t>901790802200</t>
  </si>
  <si>
    <t>D-18-00-C04</t>
  </si>
  <si>
    <t>901790634900</t>
  </si>
  <si>
    <t>D-18-02-D04</t>
  </si>
  <si>
    <t>901790632300</t>
  </si>
  <si>
    <t>D-20-00-I05</t>
  </si>
  <si>
    <t>901790621900</t>
  </si>
  <si>
    <t>D-18-02-L08</t>
  </si>
  <si>
    <t>901790615900</t>
  </si>
  <si>
    <t>D-18-00-B04</t>
  </si>
  <si>
    <t>901790610400</t>
  </si>
  <si>
    <t>D-18-02-I06</t>
  </si>
  <si>
    <t>90178T008100</t>
  </si>
  <si>
    <t>D-18-00-A02</t>
  </si>
  <si>
    <t>90178T007300</t>
  </si>
  <si>
    <t>D-18-00-B03</t>
  </si>
  <si>
    <t>90178T001500</t>
  </si>
  <si>
    <t>D-18-02-M08</t>
  </si>
  <si>
    <t>901782800200</t>
  </si>
  <si>
    <t>D-20-00-H10</t>
  </si>
  <si>
    <t>TUERCA MAZA DELANT.</t>
  </si>
  <si>
    <t>901782200100</t>
  </si>
  <si>
    <t>D-20-01-G01</t>
  </si>
  <si>
    <t>901781700200</t>
  </si>
  <si>
    <t>D-18-00-B08</t>
  </si>
  <si>
    <t>901781100100</t>
  </si>
  <si>
    <t>D-18-02-B08</t>
  </si>
  <si>
    <t>901772200100</t>
  </si>
  <si>
    <t>D-18-02-H09</t>
  </si>
  <si>
    <t>TUERCA AUTOFRENANTE</t>
  </si>
  <si>
    <t>901771400700</t>
  </si>
  <si>
    <t>D-18-00-A04</t>
  </si>
  <si>
    <t>MARIPOSA FILTRO AIRE</t>
  </si>
  <si>
    <t>901750800800</t>
  </si>
  <si>
    <t>E-06-01-I06</t>
  </si>
  <si>
    <t>901750600300</t>
  </si>
  <si>
    <t>E-06-01-F04</t>
  </si>
  <si>
    <t>901711605000</t>
  </si>
  <si>
    <t>D-18-02-N07</t>
  </si>
  <si>
    <t>901711401100</t>
  </si>
  <si>
    <t>901711202800</t>
  </si>
  <si>
    <t>D-19-01-D04</t>
  </si>
  <si>
    <t>901711200700</t>
  </si>
  <si>
    <t>D-18-02-D01</t>
  </si>
  <si>
    <t>TUERCA HEXAGONAL</t>
  </si>
  <si>
    <t>90170T001700</t>
  </si>
  <si>
    <t>TUERCA BARRA TORSION</t>
  </si>
  <si>
    <t>901701200400</t>
  </si>
  <si>
    <t>E-06-01-H02</t>
  </si>
  <si>
    <t>TUERCA ESP. DIFER.</t>
  </si>
  <si>
    <t>901701002100</t>
  </si>
  <si>
    <t>D-18-02-J09</t>
  </si>
  <si>
    <t>901700820400</t>
  </si>
  <si>
    <t>901700804200</t>
  </si>
  <si>
    <t>901684011300</t>
  </si>
  <si>
    <t>D-19-01-J01</t>
  </si>
  <si>
    <t>901684006400</t>
  </si>
  <si>
    <t>D-18-02-M03</t>
  </si>
  <si>
    <t>90167T000700</t>
  </si>
  <si>
    <t>D-20-00-D04</t>
  </si>
  <si>
    <t>901675006300</t>
  </si>
  <si>
    <t>D-20-01-G05</t>
  </si>
  <si>
    <t>90164T000800</t>
  </si>
  <si>
    <t>D-18-02-K08</t>
  </si>
  <si>
    <t>901636002400</t>
  </si>
  <si>
    <t>D-18-02-E02</t>
  </si>
  <si>
    <t>901624003500</t>
  </si>
  <si>
    <t>D-18-01-D06</t>
  </si>
  <si>
    <t>90159T003400</t>
  </si>
  <si>
    <t>D-20-01-C06</t>
  </si>
  <si>
    <t>90159T003300</t>
  </si>
  <si>
    <t>D-18-02-G09</t>
  </si>
  <si>
    <t>TORNILLO C/ARANDELA</t>
  </si>
  <si>
    <t>901596062300</t>
  </si>
  <si>
    <t>D-18-02-G08</t>
  </si>
  <si>
    <t>901596060300</t>
  </si>
  <si>
    <t>D-18-02-I05</t>
  </si>
  <si>
    <t>901596060200</t>
  </si>
  <si>
    <t>D-18-02-I07</t>
  </si>
  <si>
    <t>BULON DE BARRERO</t>
  </si>
  <si>
    <t>901596051900</t>
  </si>
  <si>
    <t>D-18-02-K02</t>
  </si>
  <si>
    <t>901596050000</t>
  </si>
  <si>
    <t>D-20-01-C01</t>
  </si>
  <si>
    <t>901596049800</t>
  </si>
  <si>
    <t>901596049600</t>
  </si>
  <si>
    <t>D-18-02-J03</t>
  </si>
  <si>
    <t>TORNILLO CON ARANDEL</t>
  </si>
  <si>
    <t>901596048800</t>
  </si>
  <si>
    <t>TORNILLO PARAGOLPE</t>
  </si>
  <si>
    <t>901596047700</t>
  </si>
  <si>
    <t>D-18-02-C01</t>
  </si>
  <si>
    <t>BULON PARAGOLPE TR.</t>
  </si>
  <si>
    <t>901596043100</t>
  </si>
  <si>
    <t>D-18-01-A05</t>
  </si>
  <si>
    <t>901596041400</t>
  </si>
  <si>
    <t>D-18-02-K06</t>
  </si>
  <si>
    <t>901596039700</t>
  </si>
  <si>
    <t>D-18-02-J06</t>
  </si>
  <si>
    <t>901596038300</t>
  </si>
  <si>
    <t>D-18-02-H04</t>
  </si>
  <si>
    <t>901596035300</t>
  </si>
  <si>
    <t>D-18-02-H01</t>
  </si>
  <si>
    <t>901596021700</t>
  </si>
  <si>
    <t>D-18-02-H02</t>
  </si>
  <si>
    <t>901595038800</t>
  </si>
  <si>
    <t>D-18-02-I09</t>
  </si>
  <si>
    <t>901535001000</t>
  </si>
  <si>
    <t>D-18-02-G06</t>
  </si>
  <si>
    <t>901516001300</t>
  </si>
  <si>
    <t>D-18-02-K05</t>
  </si>
  <si>
    <t>SSP  TORNILLOS</t>
  </si>
  <si>
    <t>901498002000</t>
  </si>
  <si>
    <t>D-18-02-J01</t>
  </si>
  <si>
    <t>TORNILLO C/HEXAGONAL</t>
  </si>
  <si>
    <t>90148T001500</t>
  </si>
  <si>
    <t>D-18-00-C02</t>
  </si>
  <si>
    <t>TORNILLO HEXAGONAL</t>
  </si>
  <si>
    <t>901488006600</t>
  </si>
  <si>
    <t>D-18-02-F07</t>
  </si>
  <si>
    <t>901486002200</t>
  </si>
  <si>
    <t>D-18-02-K01</t>
  </si>
  <si>
    <t>901261003400</t>
  </si>
  <si>
    <t>D-16-00-B06</t>
  </si>
  <si>
    <t>901260804800</t>
  </si>
  <si>
    <t>901260603000</t>
  </si>
  <si>
    <t>BULON C/ ARANDELA</t>
  </si>
  <si>
    <t>90119T046400</t>
  </si>
  <si>
    <t>90119T030100</t>
  </si>
  <si>
    <t>BULON W/ARANDELA</t>
  </si>
  <si>
    <t>90119T026000</t>
  </si>
  <si>
    <t>D-18-00-D05</t>
  </si>
  <si>
    <t>90119T025900</t>
  </si>
  <si>
    <t>D-18-00-E03</t>
  </si>
  <si>
    <t>90119T024200</t>
  </si>
  <si>
    <t>D-19-02-B02</t>
  </si>
  <si>
    <t>90119T021200</t>
  </si>
  <si>
    <t>90119T012400</t>
  </si>
  <si>
    <t>D-18-02-N08</t>
  </si>
  <si>
    <t>90119T002800</t>
  </si>
  <si>
    <t>D-20-00-E06</t>
  </si>
  <si>
    <t>PERNO C/ARANDELA</t>
  </si>
  <si>
    <t>901191417200</t>
  </si>
  <si>
    <t>D-18-02-K03</t>
  </si>
  <si>
    <t>901191239300</t>
  </si>
  <si>
    <t>D-18-01-A01</t>
  </si>
  <si>
    <t>BULON C/ARANDELA</t>
  </si>
  <si>
    <t>901191234200</t>
  </si>
  <si>
    <t>D-20-01-E08</t>
  </si>
  <si>
    <t>901191098000</t>
  </si>
  <si>
    <t>901191092100</t>
  </si>
  <si>
    <t>D-18-00-E01</t>
  </si>
  <si>
    <t>901191090400</t>
  </si>
  <si>
    <t>D-19-02-G01</t>
  </si>
  <si>
    <t>901191090200</t>
  </si>
  <si>
    <t>D-18-02-E05</t>
  </si>
  <si>
    <t>901191086600</t>
  </si>
  <si>
    <t>TORNILLOS</t>
  </si>
  <si>
    <t>901191036700</t>
  </si>
  <si>
    <t>D-18-00-D08</t>
  </si>
  <si>
    <t>9011908A3300</t>
  </si>
  <si>
    <t>D-18-02-H03</t>
  </si>
  <si>
    <t>901190853000</t>
  </si>
  <si>
    <t>D-18-00-C01</t>
  </si>
  <si>
    <t>901190700900</t>
  </si>
  <si>
    <t>D-16-00-D07</t>
  </si>
  <si>
    <t>9011906A1700</t>
  </si>
  <si>
    <t>D-18-02-B04</t>
  </si>
  <si>
    <t>9011906A1300</t>
  </si>
  <si>
    <t>901190687700</t>
  </si>
  <si>
    <t>D-18-02-M05</t>
  </si>
  <si>
    <t>901190676700</t>
  </si>
  <si>
    <t>D-18-02-F10</t>
  </si>
  <si>
    <t>901190653600</t>
  </si>
  <si>
    <t>D-19-00-I04</t>
  </si>
  <si>
    <t>D-18-02-M09</t>
  </si>
  <si>
    <t>90117S000100</t>
  </si>
  <si>
    <t>D-06-01-B08</t>
  </si>
  <si>
    <t>GRAMPA</t>
  </si>
  <si>
    <t>901171400800</t>
  </si>
  <si>
    <t>D-06-01-B07</t>
  </si>
  <si>
    <t>BULON DIFERENCIAL</t>
  </si>
  <si>
    <t>901161023000</t>
  </si>
  <si>
    <t>D-18-02-J05</t>
  </si>
  <si>
    <t>BULON DE ANILLO</t>
  </si>
  <si>
    <t>901161016000</t>
  </si>
  <si>
    <t>901161007400</t>
  </si>
  <si>
    <t>901160832900</t>
  </si>
  <si>
    <t>BULON NUCLEO</t>
  </si>
  <si>
    <t>901160823300</t>
  </si>
  <si>
    <t>90114T001100</t>
  </si>
  <si>
    <t>D-18-00-D10</t>
  </si>
  <si>
    <t>BULON DEFLECTOR FRENO</t>
  </si>
  <si>
    <t>901141204500</t>
  </si>
  <si>
    <t>D-18-02-F01</t>
  </si>
  <si>
    <t>BULON CAJA</t>
  </si>
  <si>
    <t>901141000200</t>
  </si>
  <si>
    <t>D-18-00-D04</t>
  </si>
  <si>
    <t>90109T005600</t>
  </si>
  <si>
    <t>D-18-02-L06</t>
  </si>
  <si>
    <t>90109T005400</t>
  </si>
  <si>
    <t>D-18-02-D06</t>
  </si>
  <si>
    <t>90109T004700</t>
  </si>
  <si>
    <t>D-20-00-B01</t>
  </si>
  <si>
    <t>90109T004100</t>
  </si>
  <si>
    <t>D-20-00-C04</t>
  </si>
  <si>
    <t>901090828700</t>
  </si>
  <si>
    <t>E-06-01-G06</t>
  </si>
  <si>
    <t>901090638500</t>
  </si>
  <si>
    <t>D-18-02-G04</t>
  </si>
  <si>
    <t>901090638400</t>
  </si>
  <si>
    <t>D-16-01-E06</t>
  </si>
  <si>
    <t>901090638200</t>
  </si>
  <si>
    <t>D-18-02-C07</t>
  </si>
  <si>
    <t>901090632800</t>
  </si>
  <si>
    <t>D-18-02-E09</t>
  </si>
  <si>
    <t>901090628300</t>
  </si>
  <si>
    <t>901061201200</t>
  </si>
  <si>
    <t>901061003200</t>
  </si>
  <si>
    <t>90105T034300</t>
  </si>
  <si>
    <t>90105T024600</t>
  </si>
  <si>
    <t>D-18-02-J08</t>
  </si>
  <si>
    <t>901051702100</t>
  </si>
  <si>
    <t>901051701100</t>
  </si>
  <si>
    <t>D-17-01-G07</t>
  </si>
  <si>
    <t>901051701000</t>
  </si>
  <si>
    <t>E-06-01-K04</t>
  </si>
  <si>
    <t>901051700900</t>
  </si>
  <si>
    <t>D-17-01-G08</t>
  </si>
  <si>
    <t>901051605300</t>
  </si>
  <si>
    <t>D-20-00-B07</t>
  </si>
  <si>
    <t>901051500600</t>
  </si>
  <si>
    <t>E-06-01-K03</t>
  </si>
  <si>
    <t>901051500400</t>
  </si>
  <si>
    <t>E-06-01-K05</t>
  </si>
  <si>
    <t>901051416000</t>
  </si>
  <si>
    <t>D-21-00-E06</t>
  </si>
  <si>
    <t>901051402500</t>
  </si>
  <si>
    <t>D-18-00-C09</t>
  </si>
  <si>
    <t>901051240700</t>
  </si>
  <si>
    <t>D-18-02-N06</t>
  </si>
  <si>
    <t>ESPARRAGO RUEDA</t>
  </si>
  <si>
    <t>901051235000</t>
  </si>
  <si>
    <t>D-18-01-A07</t>
  </si>
  <si>
    <t>901051105800</t>
  </si>
  <si>
    <t>D-18-00-A03</t>
  </si>
  <si>
    <t>901051104400</t>
  </si>
  <si>
    <t>D-18-02-B02</t>
  </si>
  <si>
    <t>901051104000</t>
  </si>
  <si>
    <t>D-19-01-C09</t>
  </si>
  <si>
    <t>901051052100</t>
  </si>
  <si>
    <t>D-18-00-A09</t>
  </si>
  <si>
    <t>BULON CALIPER DE FRENO</t>
  </si>
  <si>
    <t>901051051000</t>
  </si>
  <si>
    <t>D-18-01-A08</t>
  </si>
  <si>
    <t>901051039800</t>
  </si>
  <si>
    <t>D-18-00-C08</t>
  </si>
  <si>
    <t>901051008500</t>
  </si>
  <si>
    <t>901050845500</t>
  </si>
  <si>
    <t>D-16-00-E06</t>
  </si>
  <si>
    <t>901050843300</t>
  </si>
  <si>
    <t>D-18-00-B09</t>
  </si>
  <si>
    <t>901050830400</t>
  </si>
  <si>
    <t>D-18-01-A09</t>
  </si>
  <si>
    <t>901050816600</t>
  </si>
  <si>
    <t>E-06-01-H04</t>
  </si>
  <si>
    <t>901050634700</t>
  </si>
  <si>
    <t>D-18-02-B05</t>
  </si>
  <si>
    <t>901050616800</t>
  </si>
  <si>
    <t>D-19-00-D02</t>
  </si>
  <si>
    <t>ORING COMPRESOR</t>
  </si>
  <si>
    <t>900991412100</t>
  </si>
  <si>
    <t>900991014200</t>
  </si>
  <si>
    <t>D-19-02-I04</t>
  </si>
  <si>
    <t>235/65 R16C AGILIS 3</t>
  </si>
  <si>
    <t>900911</t>
  </si>
  <si>
    <t>DESTORNILLADOR</t>
  </si>
  <si>
    <t>900899900900</t>
  </si>
  <si>
    <t>D-08-01-C01</t>
  </si>
  <si>
    <t>MANGUERA FLEXIBLE</t>
  </si>
  <si>
    <t>900809420100</t>
  </si>
  <si>
    <t>D-07-00-E08</t>
  </si>
  <si>
    <t>900809118000</t>
  </si>
  <si>
    <t>D-18-01-G02</t>
  </si>
  <si>
    <t>CALZA</t>
  </si>
  <si>
    <t>900805618600</t>
  </si>
  <si>
    <t>D-16-01-A07</t>
  </si>
  <si>
    <t>900805203800</t>
  </si>
  <si>
    <t>D-17-02-G01</t>
  </si>
  <si>
    <t>900803621600</t>
  </si>
  <si>
    <t>D-21-00-I03</t>
  </si>
  <si>
    <t>900803614900</t>
  </si>
  <si>
    <t>D-21-00-I02</t>
  </si>
  <si>
    <t>900803613400</t>
  </si>
  <si>
    <t>D-21-01-H05</t>
  </si>
  <si>
    <t>900803111000</t>
  </si>
  <si>
    <t>D-19-00-I03</t>
  </si>
  <si>
    <t>ARANDELA PRECAP</t>
  </si>
  <si>
    <t>900802102100</t>
  </si>
  <si>
    <t>PORTALAMPARA</t>
  </si>
  <si>
    <t>900756006600</t>
  </si>
  <si>
    <t>D-16-02-D01</t>
  </si>
  <si>
    <t>INST.ELEC.BULBO</t>
  </si>
  <si>
    <t>900698111500</t>
  </si>
  <si>
    <t>D-17-02-B06</t>
  </si>
  <si>
    <t>900695202300</t>
  </si>
  <si>
    <t>D-20-00-G01</t>
  </si>
  <si>
    <t>900694000200</t>
  </si>
  <si>
    <t>900693500100</t>
  </si>
  <si>
    <t>D-18-02-G01</t>
  </si>
  <si>
    <t>900690K07200</t>
  </si>
  <si>
    <t>E-06-01-G01</t>
  </si>
  <si>
    <t>RING,O</t>
  </si>
  <si>
    <t>900681402400</t>
  </si>
  <si>
    <t>900681402200</t>
  </si>
  <si>
    <t>KIT FIX ASSY A/T</t>
  </si>
  <si>
    <t>900449800100</t>
  </si>
  <si>
    <t>E-06-01-G05</t>
  </si>
  <si>
    <t>900220131400</t>
  </si>
  <si>
    <t>D-20-00-G04</t>
  </si>
  <si>
    <t>TOPE DE RADIO</t>
  </si>
  <si>
    <t>900112515200</t>
  </si>
  <si>
    <t>D-17-01-B03</t>
  </si>
  <si>
    <t>LAMPARA TABLERO</t>
  </si>
  <si>
    <t>900110106600</t>
  </si>
  <si>
    <t>D-17-02-C08</t>
  </si>
  <si>
    <t>900110105500</t>
  </si>
  <si>
    <t>D-17-02-B07</t>
  </si>
  <si>
    <t>900100512600</t>
  </si>
  <si>
    <t>D-17-02-B08</t>
  </si>
  <si>
    <t>BULBO C/TAPA</t>
  </si>
  <si>
    <t>900100112200</t>
  </si>
  <si>
    <t>D-16-02-D06</t>
  </si>
  <si>
    <t>TRANSMISOR LLAVE</t>
  </si>
  <si>
    <t>89904F427100</t>
  </si>
  <si>
    <t>D-17-01-E07</t>
  </si>
  <si>
    <t>LLAVE TRANSMISORA</t>
  </si>
  <si>
    <t>899040K10300</t>
  </si>
  <si>
    <t>D-17-02-H10</t>
  </si>
  <si>
    <t>MODULO ELECTR.TURBO AZUL</t>
  </si>
  <si>
    <t>898787107000</t>
  </si>
  <si>
    <t>D-18-00-G06</t>
  </si>
  <si>
    <t>MODULO ELECTR. TURBO</t>
  </si>
  <si>
    <t>898787105000</t>
  </si>
  <si>
    <t>D-16-01-G02</t>
  </si>
  <si>
    <t>SENSOR LAT. AIRBAG</t>
  </si>
  <si>
    <t>898310K05000</t>
  </si>
  <si>
    <t>D-17-01-H01</t>
  </si>
  <si>
    <t>898310K04000</t>
  </si>
  <si>
    <t>D-17-01-H06</t>
  </si>
  <si>
    <t>LLAVE VALET</t>
  </si>
  <si>
    <t>897866017000</t>
  </si>
  <si>
    <t>D-17-01-B04</t>
  </si>
  <si>
    <t>LLAVE CON INMOVIL.</t>
  </si>
  <si>
    <t>897860802000</t>
  </si>
  <si>
    <t>D-17-02-B05</t>
  </si>
  <si>
    <t>897852602000</t>
  </si>
  <si>
    <t>D-17-01-B05</t>
  </si>
  <si>
    <t>TRANSMISOR CTRL PTA LLAVE</t>
  </si>
  <si>
    <t>897850D12000</t>
  </si>
  <si>
    <t>D-17-01-H02</t>
  </si>
  <si>
    <t>BATERIA TRANSMISOR CR 2016</t>
  </si>
  <si>
    <t>897457101000</t>
  </si>
  <si>
    <t>D-17-01-C09</t>
  </si>
  <si>
    <t>BATERIA LLAVE TRANSMISORA CR2032</t>
  </si>
  <si>
    <t>897455002000</t>
  </si>
  <si>
    <t>D-17-01-H04</t>
  </si>
  <si>
    <t>COMPUTADORA</t>
  </si>
  <si>
    <t>897300K10500</t>
  </si>
  <si>
    <t>D-05-00-D04</t>
  </si>
  <si>
    <t>PUNTERA IZQ.PARAG.TR</t>
  </si>
  <si>
    <t>8-97136765-1</t>
  </si>
  <si>
    <t>ISUZU</t>
  </si>
  <si>
    <t>E-06-03-B04</t>
  </si>
  <si>
    <t xml:space="preserve">ECU MOTOR	</t>
  </si>
  <si>
    <t>89661FBB0000</t>
  </si>
  <si>
    <t>D-08-02-D02</t>
  </si>
  <si>
    <t>SENSOR VELOCIDAD RR LH</t>
  </si>
  <si>
    <t>895460K24000</t>
  </si>
  <si>
    <t>D-05-00-D03</t>
  </si>
  <si>
    <t>SENSOR VELOCIDAD RR RH</t>
  </si>
  <si>
    <t>895450K24000</t>
  </si>
  <si>
    <t>D-05-00-B04</t>
  </si>
  <si>
    <t>SENSOR ABS</t>
  </si>
  <si>
    <t>895424704000</t>
  </si>
  <si>
    <t>D-05-00-C04</t>
  </si>
  <si>
    <t>SENSOR DIF. PRESION</t>
  </si>
  <si>
    <t>894817101000</t>
  </si>
  <si>
    <t>D-16-01-E01</t>
  </si>
  <si>
    <t>SENSOR AIRE COMBUSTIBLE</t>
  </si>
  <si>
    <t>894677112000</t>
  </si>
  <si>
    <t>D-16-01-F05</t>
  </si>
  <si>
    <t>SENSOR OXIGENO</t>
  </si>
  <si>
    <t>894655258000</t>
  </si>
  <si>
    <t>D-21-02-D04</t>
  </si>
  <si>
    <t>894655257000</t>
  </si>
  <si>
    <t>D-18-00-F07</t>
  </si>
  <si>
    <t>SENSOR</t>
  </si>
  <si>
    <t>894654217000</t>
  </si>
  <si>
    <t>D-16-01-H06</t>
  </si>
  <si>
    <t>SENSOR DE OXIGENO</t>
  </si>
  <si>
    <t>8946512B4000</t>
  </si>
  <si>
    <t>D-06-02-D03</t>
  </si>
  <si>
    <t>894651284000</t>
  </si>
  <si>
    <t>D-16-01-C01</t>
  </si>
  <si>
    <t>SWITCH PRES.ACEI.DIRECC.</t>
  </si>
  <si>
    <t>894387101000</t>
  </si>
  <si>
    <t>D-17-02-F02</t>
  </si>
  <si>
    <t>SENSOR TEMPERATURA GAS</t>
  </si>
  <si>
    <t>894257109000</t>
  </si>
  <si>
    <t>D-16-00-B07</t>
  </si>
  <si>
    <t>SENSOR TEMPERATURA GAS N.2</t>
  </si>
  <si>
    <t>894257108000</t>
  </si>
  <si>
    <t>D-16-00-C04</t>
  </si>
  <si>
    <t>894257107000</t>
  </si>
  <si>
    <t>D-16-00-C03</t>
  </si>
  <si>
    <t>SENSOR AGUA</t>
  </si>
  <si>
    <t>894223303000</t>
  </si>
  <si>
    <t>D-17-01-G06</t>
  </si>
  <si>
    <t>SENSOR DE ALTURA RR LH</t>
  </si>
  <si>
    <t>894080K05000</t>
  </si>
  <si>
    <t>D-17-01-F06</t>
  </si>
  <si>
    <t>SENSOR PARAGOLPE</t>
  </si>
  <si>
    <t>8934160060A4</t>
  </si>
  <si>
    <t>D-17-02-B03</t>
  </si>
  <si>
    <t>SENSOR DEL PARAG DEL</t>
  </si>
  <si>
    <t>8934133160B5</t>
  </si>
  <si>
    <t>D-17-01-C06</t>
  </si>
  <si>
    <t>8934133160B4</t>
  </si>
  <si>
    <t>D-17-02-H08</t>
  </si>
  <si>
    <t>SENSOR TRASERO</t>
  </si>
  <si>
    <t>8934133140B9</t>
  </si>
  <si>
    <t>E-06-00-F01</t>
  </si>
  <si>
    <t>COMPUTER, BODY</t>
  </si>
  <si>
    <t>892210KC4000</t>
  </si>
  <si>
    <t>D-17-02-H02</t>
  </si>
  <si>
    <t>SENSOR AIR BAG FR.</t>
  </si>
  <si>
    <t>8917309B2000</t>
  </si>
  <si>
    <t>D-17-02-E01</t>
  </si>
  <si>
    <t>SENSOR AIRBAG</t>
  </si>
  <si>
    <t>891704283000</t>
  </si>
  <si>
    <t>D-05-00-C06</t>
  </si>
  <si>
    <t>ECU AIRBAG</t>
  </si>
  <si>
    <t>891700K61000</t>
  </si>
  <si>
    <t>D-06-02-D02</t>
  </si>
  <si>
    <t>891700K41000</t>
  </si>
  <si>
    <t>D-15-01-D03</t>
  </si>
  <si>
    <t>BOTONES DE GOMA LLAV</t>
  </si>
  <si>
    <t>8907A7102000</t>
  </si>
  <si>
    <t>D-17-01-D09</t>
  </si>
  <si>
    <t>CONJ.CIL.ARR.</t>
  </si>
  <si>
    <t>890730501000</t>
  </si>
  <si>
    <t>D-17-01-D02</t>
  </si>
  <si>
    <t>LLAVE TRANSMISOR</t>
  </si>
  <si>
    <t>890700KN8000</t>
  </si>
  <si>
    <t>D-17-02-E03</t>
  </si>
  <si>
    <t>LLAVE CIEGA</t>
  </si>
  <si>
    <t>890700244000</t>
  </si>
  <si>
    <t>D-17-02-F01</t>
  </si>
  <si>
    <t>FILTRO POLEA A/A</t>
  </si>
  <si>
    <t>888802011000</t>
  </si>
  <si>
    <t>D-01-02-A04</t>
  </si>
  <si>
    <t>CONJ. TERMISTOR</t>
  </si>
  <si>
    <t>887902810000</t>
  </si>
  <si>
    <t>D-17-01-C04</t>
  </si>
  <si>
    <t>TUBO</t>
  </si>
  <si>
    <t>887160KF5000</t>
  </si>
  <si>
    <t>H-02-05-H06</t>
  </si>
  <si>
    <t>CANO AIRE ACOND.</t>
  </si>
  <si>
    <t>887153302000</t>
  </si>
  <si>
    <t>D-16-00-H01</t>
  </si>
  <si>
    <t>TUBO SUCCION</t>
  </si>
  <si>
    <t>887070KA6000</t>
  </si>
  <si>
    <t>H-02-05-H02</t>
  </si>
  <si>
    <t>MANGUERA SUCCION  LOW y HIGH</t>
  </si>
  <si>
    <t>887060DH0000</t>
  </si>
  <si>
    <t>H-02-05-J01</t>
  </si>
  <si>
    <t>TUBE SUB-ASSY, LIQUID</t>
  </si>
  <si>
    <t>887060D88000</t>
  </si>
  <si>
    <t>CANO A A</t>
  </si>
  <si>
    <t>887060D73000</t>
  </si>
  <si>
    <t>H-02-05-H03</t>
  </si>
  <si>
    <t>FILTRO ANTIPOLEN</t>
  </si>
  <si>
    <t>885683702000</t>
  </si>
  <si>
    <t>D-01-02-A02</t>
  </si>
  <si>
    <t>885680203000</t>
  </si>
  <si>
    <t>D-01-02-C01</t>
  </si>
  <si>
    <t>D-21-02-F05</t>
  </si>
  <si>
    <t>SUBCONJ. EVAPORADOR</t>
  </si>
  <si>
    <t>885013515100</t>
  </si>
  <si>
    <t>D-05-06-C01</t>
  </si>
  <si>
    <t>884670209000</t>
  </si>
  <si>
    <t>884600K41000</t>
  </si>
  <si>
    <t>H-01-03-B09</t>
  </si>
  <si>
    <t>H-01-03-B06</t>
  </si>
  <si>
    <t>POLEA TENSOR A/A</t>
  </si>
  <si>
    <t>884402016000</t>
  </si>
  <si>
    <t>D-21-01-J01</t>
  </si>
  <si>
    <t>POLEA A/AC</t>
  </si>
  <si>
    <t>884106031000</t>
  </si>
  <si>
    <t>D-16-00-A05</t>
  </si>
  <si>
    <t>POLEA AIRE ACONDICIO</t>
  </si>
  <si>
    <t>884102248000</t>
  </si>
  <si>
    <t>D-16-00-A04</t>
  </si>
  <si>
    <t>EMBRAGUE MAGNETICO</t>
  </si>
  <si>
    <t>884100K76000</t>
  </si>
  <si>
    <t>D-16-00-A02</t>
  </si>
  <si>
    <t>VALV. AIRE ACONDIC.</t>
  </si>
  <si>
    <t>883740201000</t>
  </si>
  <si>
    <t>D-17-02-G03</t>
  </si>
  <si>
    <t>883351402000</t>
  </si>
  <si>
    <t>D-20-01-G06</t>
  </si>
  <si>
    <t>SWITCH EMBRAGUE</t>
  </si>
  <si>
    <t>882804201000</t>
  </si>
  <si>
    <t>D-17-02-B02</t>
  </si>
  <si>
    <t>CRISTAL ESPEJO IZQ</t>
  </si>
  <si>
    <t>8796142A5000</t>
  </si>
  <si>
    <t>D-12-03-D02</t>
  </si>
  <si>
    <t>ESPEJO EXTERIOR</t>
  </si>
  <si>
    <t>879610KN8000</t>
  </si>
  <si>
    <t>D-14-03-A04</t>
  </si>
  <si>
    <t>ESPEJO RETROV. IZQ.</t>
  </si>
  <si>
    <t>879610KE5000</t>
  </si>
  <si>
    <t>D-14-03-D06</t>
  </si>
  <si>
    <t>ESPEJO EXTERIOR IZQUIERDO</t>
  </si>
  <si>
    <t>879610D64000</t>
  </si>
  <si>
    <t>D-12-03-C02</t>
  </si>
  <si>
    <t>8796102D1000</t>
  </si>
  <si>
    <t>D-12-02-D02</t>
  </si>
  <si>
    <t>COBERT.ESPEJO IZQ.</t>
  </si>
  <si>
    <t>8794548040B4</t>
  </si>
  <si>
    <t>D-07-02-B04</t>
  </si>
  <si>
    <t>COBERTOR ESPEJO LH</t>
  </si>
  <si>
    <t>8794542160J0</t>
  </si>
  <si>
    <t>D-07-02-B05</t>
  </si>
  <si>
    <t>COBERTOR ESPEJO</t>
  </si>
  <si>
    <t>879454207000</t>
  </si>
  <si>
    <t>D-07-02-A02</t>
  </si>
  <si>
    <t>CUBIERTA ESPEJO</t>
  </si>
  <si>
    <t>8794542060B0</t>
  </si>
  <si>
    <t>D-07-02-C01</t>
  </si>
  <si>
    <t>8794533020B1</t>
  </si>
  <si>
    <t>COBERTOR ESPEJO IZQ.</t>
  </si>
  <si>
    <t>879450K45000</t>
  </si>
  <si>
    <t>E-06-02-D02</t>
  </si>
  <si>
    <t>COBERTOR ESPEJO IZQUIERDO</t>
  </si>
  <si>
    <t>879450K44000</t>
  </si>
  <si>
    <t>E-06-02-D01</t>
  </si>
  <si>
    <t>COBERTOR ESPEJO IZQ</t>
  </si>
  <si>
    <t>879450K20000</t>
  </si>
  <si>
    <t>D-14-03-D02</t>
  </si>
  <si>
    <t>TAPA ESPEJO IZQ.</t>
  </si>
  <si>
    <t>879450K12000</t>
  </si>
  <si>
    <t>D-07-02-B02</t>
  </si>
  <si>
    <t>CUBIERTA ESPEJO LH</t>
  </si>
  <si>
    <t>879450K01000</t>
  </si>
  <si>
    <t>D-07-02-C03</t>
  </si>
  <si>
    <t>ESPEJO RETROV. LH</t>
  </si>
  <si>
    <t>8794042B8000</t>
  </si>
  <si>
    <t>D-12-02-D01</t>
  </si>
  <si>
    <t>ESPEJO IZQ.</t>
  </si>
  <si>
    <t>879400KN8000</t>
  </si>
  <si>
    <t>D-12-01-C01</t>
  </si>
  <si>
    <t>ESPEJO RETROVISOR LH</t>
  </si>
  <si>
    <t>879400KF5100</t>
  </si>
  <si>
    <t>D-12-01-B04</t>
  </si>
  <si>
    <t>ESPEJO IZQUIERDO</t>
  </si>
  <si>
    <t>879400KF4000</t>
  </si>
  <si>
    <t>D-12-00-C03</t>
  </si>
  <si>
    <t>879400KE5100</t>
  </si>
  <si>
    <t>D-12-01-A04</t>
  </si>
  <si>
    <t>879400KC3000</t>
  </si>
  <si>
    <t>D-12-02-E02</t>
  </si>
  <si>
    <t>ESPEJO EXT.</t>
  </si>
  <si>
    <t>879400D79000</t>
  </si>
  <si>
    <t>D-14-03-C01</t>
  </si>
  <si>
    <t>879400D78000</t>
  </si>
  <si>
    <t>D-12-03-F02</t>
  </si>
  <si>
    <t>CRISTAL ESPEJO</t>
  </si>
  <si>
    <t>879316A04000</t>
  </si>
  <si>
    <t>D-12-03-E03</t>
  </si>
  <si>
    <t>CRISTAL ESPEJO RH</t>
  </si>
  <si>
    <t>8793142C1000</t>
  </si>
  <si>
    <t>D-12-03-E07</t>
  </si>
  <si>
    <t>MIRROR OUTER RH</t>
  </si>
  <si>
    <t>8793142A0000</t>
  </si>
  <si>
    <t>D-12-03-E06</t>
  </si>
  <si>
    <t>ESPEJO DERECHO</t>
  </si>
  <si>
    <t>879310KF8000</t>
  </si>
  <si>
    <t>D-12-02-A05</t>
  </si>
  <si>
    <t>8793102C9000</t>
  </si>
  <si>
    <t>D-12-03-F07</t>
  </si>
  <si>
    <t>COBERT.ESPEJO EXT.DER.</t>
  </si>
  <si>
    <t>8791548040B4</t>
  </si>
  <si>
    <t>D-07-02-B06</t>
  </si>
  <si>
    <t>COBERTOR ESPEJO RH</t>
  </si>
  <si>
    <t>879154207000</t>
  </si>
  <si>
    <t>D-07-02-B03</t>
  </si>
  <si>
    <t>8791542031C0</t>
  </si>
  <si>
    <t>D-07-02-C05</t>
  </si>
  <si>
    <t>CUBIERTA ESPEJO S/COLOR</t>
  </si>
  <si>
    <t>879150K91900</t>
  </si>
  <si>
    <t>D-15-03-E03</t>
  </si>
  <si>
    <t>COBERTOR ESPEJO DER</t>
  </si>
  <si>
    <t>879150K90900</t>
  </si>
  <si>
    <t>E-06-02-D06</t>
  </si>
  <si>
    <t>COBERTOR ESPEJO DERECHO</t>
  </si>
  <si>
    <t>879150K44000</t>
  </si>
  <si>
    <t>E-06-02-D03</t>
  </si>
  <si>
    <t>879150K20000</t>
  </si>
  <si>
    <t>E-06-02-D05</t>
  </si>
  <si>
    <t>TAPA ESPEJO DER.</t>
  </si>
  <si>
    <t>879150K12000</t>
  </si>
  <si>
    <t>D-07-02-B01</t>
  </si>
  <si>
    <t>879150D92200</t>
  </si>
  <si>
    <t>D-08-02-H02</t>
  </si>
  <si>
    <t>879150291600</t>
  </si>
  <si>
    <t>D-07-02-C04</t>
  </si>
  <si>
    <t>879150209000</t>
  </si>
  <si>
    <t>D-07-02-D01</t>
  </si>
  <si>
    <t>879106014100</t>
  </si>
  <si>
    <t>D-12-02-C05</t>
  </si>
  <si>
    <t>ESPEJO DER.</t>
  </si>
  <si>
    <t>879102B59000</t>
  </si>
  <si>
    <t>D-12-02-F01</t>
  </si>
  <si>
    <t>ESPEJO</t>
  </si>
  <si>
    <t>879100KN8000</t>
  </si>
  <si>
    <t>D-14-02-A02</t>
  </si>
  <si>
    <t>ESPEJO RETROVISOR RH</t>
  </si>
  <si>
    <t>879100KF9100</t>
  </si>
  <si>
    <t>D-12-01-B01</t>
  </si>
  <si>
    <t>879100KF8000</t>
  </si>
  <si>
    <t>D-12-00-C04</t>
  </si>
  <si>
    <t>879100KE1000</t>
  </si>
  <si>
    <t>D-12-00-C02</t>
  </si>
  <si>
    <t>879100KE0000</t>
  </si>
  <si>
    <t>D-12-01-A01</t>
  </si>
  <si>
    <t>879100KD8000</t>
  </si>
  <si>
    <t>D-12-01-B02</t>
  </si>
  <si>
    <t>879100K75000</t>
  </si>
  <si>
    <t>D-12-00-C01</t>
  </si>
  <si>
    <t>ESPEJO DER. ELECTR.</t>
  </si>
  <si>
    <t>879100K20000</t>
  </si>
  <si>
    <t>D-12-03-A01</t>
  </si>
  <si>
    <t>879100D81100</t>
  </si>
  <si>
    <t>D-14-03-C04</t>
  </si>
  <si>
    <t>879100D79000</t>
  </si>
  <si>
    <t>D-12-02-D03</t>
  </si>
  <si>
    <t>879100D74000</t>
  </si>
  <si>
    <t>879013703000</t>
  </si>
  <si>
    <t>D-12-03-E05</t>
  </si>
  <si>
    <t>ETIQUETA FILTRO A/C</t>
  </si>
  <si>
    <t>875290205000</t>
  </si>
  <si>
    <t>D-19-01-A02</t>
  </si>
  <si>
    <t>FILTRO AIRE ACONDICIONADO</t>
  </si>
  <si>
    <t>87139YZZ7600</t>
  </si>
  <si>
    <t>D-01-02-E01</t>
  </si>
  <si>
    <t>FILTRO CABINA</t>
  </si>
  <si>
    <t>87139YZZ4900</t>
  </si>
  <si>
    <t>D-01-02-C03</t>
  </si>
  <si>
    <t>871396003000</t>
  </si>
  <si>
    <t>D-01-01-A04</t>
  </si>
  <si>
    <t>871393010000</t>
  </si>
  <si>
    <t>D-01-02-A05</t>
  </si>
  <si>
    <t>871393004000</t>
  </si>
  <si>
    <t>D-01-01-D04</t>
  </si>
  <si>
    <t>871392802000</t>
  </si>
  <si>
    <t>D-01-02-A06</t>
  </si>
  <si>
    <t>R-01-02-B01</t>
  </si>
  <si>
    <t>D-11-02-B01</t>
  </si>
  <si>
    <t>871390K04000</t>
  </si>
  <si>
    <t>D-01-02-A08</t>
  </si>
  <si>
    <t>D-11-02-A01</t>
  </si>
  <si>
    <t>MOTOR CALEFACCION</t>
  </si>
  <si>
    <t>871030K13000</t>
  </si>
  <si>
    <t>D-09-02-B03</t>
  </si>
  <si>
    <t>RADIADOR</t>
  </si>
  <si>
    <t>870500K60000</t>
  </si>
  <si>
    <t>H-01-09-D07</t>
  </si>
  <si>
    <t>RADIATOR ASSY AIR C</t>
  </si>
  <si>
    <t>8705002F4000</t>
  </si>
  <si>
    <t>H-01-09-D06</t>
  </si>
  <si>
    <t>CAMARA TELEVISION</t>
  </si>
  <si>
    <t>867900K19000</t>
  </si>
  <si>
    <t>D-15-00-C06</t>
  </si>
  <si>
    <t>BOCINA</t>
  </si>
  <si>
    <t>865202030000</t>
  </si>
  <si>
    <t>D-18-01-B07</t>
  </si>
  <si>
    <t>865200D16000</t>
  </si>
  <si>
    <t>D-18-00-G02</t>
  </si>
  <si>
    <t>ANTENA DE TECHO</t>
  </si>
  <si>
    <t>863090K09000</t>
  </si>
  <si>
    <t>D-17-01-D01</t>
  </si>
  <si>
    <t>AMPLIFICADOR ANTENA</t>
  </si>
  <si>
    <t>863000228000</t>
  </si>
  <si>
    <t>D-05-00-B02</t>
  </si>
  <si>
    <t>ESPACIADOR LD</t>
  </si>
  <si>
    <t>862210205000</t>
  </si>
  <si>
    <t>D-19-01-G02</t>
  </si>
  <si>
    <t>ADAPTADOR RADIO</t>
  </si>
  <si>
    <t>861900K03000</t>
  </si>
  <si>
    <t>D-17-01-D03</t>
  </si>
  <si>
    <t>RADIO W/DISPLAY</t>
  </si>
  <si>
    <t>86140YY07000</t>
  </si>
  <si>
    <t>RADIO</t>
  </si>
  <si>
    <t>861400KU8100</t>
  </si>
  <si>
    <t>D-14-03-B03</t>
  </si>
  <si>
    <t>RADIO HILUX 11 W DIS</t>
  </si>
  <si>
    <t>861400KS2000</t>
  </si>
  <si>
    <t>D-15-02-A04</t>
  </si>
  <si>
    <t>RADIO HILUX</t>
  </si>
  <si>
    <t>861400K61000</t>
  </si>
  <si>
    <t>D-14-03-D01</t>
  </si>
  <si>
    <t>861200K09000</t>
  </si>
  <si>
    <t>D-15-02-E01</t>
  </si>
  <si>
    <t>CABLE ANTENA</t>
  </si>
  <si>
    <t>861010K87000</t>
  </si>
  <si>
    <t>KIT COBERT.ANTENA</t>
  </si>
  <si>
    <t>860770K010C0</t>
  </si>
  <si>
    <t>D-15-01-B05</t>
  </si>
  <si>
    <t>860770K010B3</t>
  </si>
  <si>
    <t>D-15-01-E03</t>
  </si>
  <si>
    <t>SOLENOIDE</t>
  </si>
  <si>
    <t>854327101000</t>
  </si>
  <si>
    <t>D-17-00-F01</t>
  </si>
  <si>
    <t>PICO LAVAPARABR.</t>
  </si>
  <si>
    <t>853814401000</t>
  </si>
  <si>
    <t>D-17-02-I06</t>
  </si>
  <si>
    <t>PICO LAVAPARAB. FR. RH.</t>
  </si>
  <si>
    <t>853813024000</t>
  </si>
  <si>
    <t>D-17-02-C09</t>
  </si>
  <si>
    <t>853813022000</t>
  </si>
  <si>
    <t>D-17-02-E07</t>
  </si>
  <si>
    <t>PICO LIMPIAPARABRISA</t>
  </si>
  <si>
    <t>853813011000</t>
  </si>
  <si>
    <t>PICO LAVAPARABRISAS</t>
  </si>
  <si>
    <t>853811242000</t>
  </si>
  <si>
    <t>D-17-02-G02</t>
  </si>
  <si>
    <t>853811233000</t>
  </si>
  <si>
    <t>D-17-02-I01</t>
  </si>
  <si>
    <t>853811205000</t>
  </si>
  <si>
    <t>D-19-00-H02</t>
  </si>
  <si>
    <t>PICO LAVAPARAB.</t>
  </si>
  <si>
    <t>853810K09000</t>
  </si>
  <si>
    <t>D-17-02-D01</t>
  </si>
  <si>
    <t>CONECTORES</t>
  </si>
  <si>
    <t>853773222000</t>
  </si>
  <si>
    <t>D-19-01-C01</t>
  </si>
  <si>
    <t>VALVULA LIMPIAPARAB.</t>
  </si>
  <si>
    <t>853760249000</t>
  </si>
  <si>
    <t>D-17-02-I07</t>
  </si>
  <si>
    <t>MANGUERA LIMPIA FARO</t>
  </si>
  <si>
    <t>853752015000</t>
  </si>
  <si>
    <t>D-05-04-B03</t>
  </si>
  <si>
    <t>RECIPIENTE LAVAPARABRISA</t>
  </si>
  <si>
    <t>853550210000</t>
  </si>
  <si>
    <t>D-15-01-A01</t>
  </si>
  <si>
    <t>TAPA LAVAFARO</t>
  </si>
  <si>
    <t>853541290300</t>
  </si>
  <si>
    <t>D-17-02-B09</t>
  </si>
  <si>
    <t>UNION 3 VIAS</t>
  </si>
  <si>
    <t>853481439000</t>
  </si>
  <si>
    <t>D-17-02-H05</t>
  </si>
  <si>
    <t>BUJE LAVAPARABRISAS</t>
  </si>
  <si>
    <t>853363016000</t>
  </si>
  <si>
    <t>D-17-00-E09</t>
  </si>
  <si>
    <t>MOTOR LAVAPARABRISAS FR</t>
  </si>
  <si>
    <t>853300D19000</t>
  </si>
  <si>
    <t>D-17-01-A07</t>
  </si>
  <si>
    <t>VALVULA</t>
  </si>
  <si>
    <t>853212802000</t>
  </si>
  <si>
    <t>D-19-01-K06</t>
  </si>
  <si>
    <t>TAPA DEPOSITO</t>
  </si>
  <si>
    <t>853160D16000</t>
  </si>
  <si>
    <t>D-17-01-F02</t>
  </si>
  <si>
    <t>DEPOSITO LAVAPARABR.</t>
  </si>
  <si>
    <t>853151222100</t>
  </si>
  <si>
    <t>D-15-00-B04</t>
  </si>
  <si>
    <t>853150K03000</t>
  </si>
  <si>
    <t>D-15-00-A03</t>
  </si>
  <si>
    <t>DEPOSITO LIMPIPARAB.</t>
  </si>
  <si>
    <t>853150D21000</t>
  </si>
  <si>
    <t>D-15-00-A02</t>
  </si>
  <si>
    <t>DEPOSITO LIMPIAPARABRISAS</t>
  </si>
  <si>
    <t>853150D15100</t>
  </si>
  <si>
    <t>D-15-00-A01</t>
  </si>
  <si>
    <t>GARGANTA ENTRADA</t>
  </si>
  <si>
    <t>853010K14000</t>
  </si>
  <si>
    <t>D-15-00-B03</t>
  </si>
  <si>
    <t>TAPA ESCOBILLA</t>
  </si>
  <si>
    <t>852920D03000</t>
  </si>
  <si>
    <t>852850508000</t>
  </si>
  <si>
    <t>D-20-00-E02</t>
  </si>
  <si>
    <t>JUNTA MANGUERA</t>
  </si>
  <si>
    <t>852780205000</t>
  </si>
  <si>
    <t>D-19-01-C03</t>
  </si>
  <si>
    <t>MANGUERA LAVAOPTICA</t>
  </si>
  <si>
    <t>852763306000</t>
  </si>
  <si>
    <t>D-07-03-B04</t>
  </si>
  <si>
    <t>MANGUERA LIMPIAOPTIC</t>
  </si>
  <si>
    <t>852760K03000</t>
  </si>
  <si>
    <t>D-07-02-H04</t>
  </si>
  <si>
    <t>852750K03000</t>
  </si>
  <si>
    <t>D-07-02-G06</t>
  </si>
  <si>
    <t>ESCOBILLA RR</t>
  </si>
  <si>
    <t>852420K06000</t>
  </si>
  <si>
    <t>D-23-00-A08</t>
  </si>
  <si>
    <t>ESCOBILLA</t>
  </si>
  <si>
    <t>852420K01000</t>
  </si>
  <si>
    <t>D-23-01-A16</t>
  </si>
  <si>
    <t>BRAZO LIMPIAPARABRISAS TR</t>
  </si>
  <si>
    <t>852410D12000</t>
  </si>
  <si>
    <t>D-05-05-C07</t>
  </si>
  <si>
    <t>ESCOBILLA LH</t>
  </si>
  <si>
    <t>852227101000</t>
  </si>
  <si>
    <t>D-23-01-A10</t>
  </si>
  <si>
    <t>ESCOBILLA COMPLETA</t>
  </si>
  <si>
    <t>852225307100</t>
  </si>
  <si>
    <t>D-23-01-B17</t>
  </si>
  <si>
    <t>852224211000</t>
  </si>
  <si>
    <t>D-23-01-B16</t>
  </si>
  <si>
    <t>ESCOBILLA LIMP.FR LH</t>
  </si>
  <si>
    <t>852221283000</t>
  </si>
  <si>
    <t>D-23-00-A09</t>
  </si>
  <si>
    <t>852220K02000</t>
  </si>
  <si>
    <t>D-23-00-A10</t>
  </si>
  <si>
    <t>852146803000</t>
  </si>
  <si>
    <t>D-23-01-A04</t>
  </si>
  <si>
    <t>852145309000</t>
  </si>
  <si>
    <t>D-23-01-B06</t>
  </si>
  <si>
    <t>852145308000</t>
  </si>
  <si>
    <t>D-23-01-B02</t>
  </si>
  <si>
    <t>852145304100</t>
  </si>
  <si>
    <t>D-23-01-B12</t>
  </si>
  <si>
    <t>852145211000</t>
  </si>
  <si>
    <t>D-23-01-A19</t>
  </si>
  <si>
    <t>852145010000</t>
  </si>
  <si>
    <t>D-23-01-B04</t>
  </si>
  <si>
    <t>852144803100</t>
  </si>
  <si>
    <t>D-23-01-B07</t>
  </si>
  <si>
    <t>852144801000</t>
  </si>
  <si>
    <t>D-23-01-B08</t>
  </si>
  <si>
    <t>852144601100</t>
  </si>
  <si>
    <t>D-23-01-A06</t>
  </si>
  <si>
    <t>852144206000</t>
  </si>
  <si>
    <t>D-23-01-A14</t>
  </si>
  <si>
    <t>852143502000</t>
  </si>
  <si>
    <t>D-23-01-A08</t>
  </si>
  <si>
    <t>852143318000</t>
  </si>
  <si>
    <t>D-23-01-A17</t>
  </si>
  <si>
    <t>852143028000</t>
  </si>
  <si>
    <t>D-23-01-A12</t>
  </si>
  <si>
    <t>852142809000</t>
  </si>
  <si>
    <t>D-23-01-A02</t>
  </si>
  <si>
    <t>852142808000</t>
  </si>
  <si>
    <t>D-23-01-B15</t>
  </si>
  <si>
    <t>852141230100</t>
  </si>
  <si>
    <t>852140K01000</t>
  </si>
  <si>
    <t>D-23-01-A13</t>
  </si>
  <si>
    <t>852140D33000</t>
  </si>
  <si>
    <t>D-23-01-B11</t>
  </si>
  <si>
    <t>852140D12100</t>
  </si>
  <si>
    <t>D-23-01-B20</t>
  </si>
  <si>
    <t>852140A03000</t>
  </si>
  <si>
    <t>D-23-01-B09</t>
  </si>
  <si>
    <t>852140508000</t>
  </si>
  <si>
    <t>D-23-01-B05</t>
  </si>
  <si>
    <t>852140221100</t>
  </si>
  <si>
    <t>D-23-01-B10</t>
  </si>
  <si>
    <t>ESCOBILLA LIMP FR RH</t>
  </si>
  <si>
    <t>852124213000</t>
  </si>
  <si>
    <t>852123507100</t>
  </si>
  <si>
    <t>D-23-01-B14</t>
  </si>
  <si>
    <t>ESCOBILLA LIMP.FR RH</t>
  </si>
  <si>
    <t>852122817000</t>
  </si>
  <si>
    <t>852120K02000</t>
  </si>
  <si>
    <t>D-23-00-B12</t>
  </si>
  <si>
    <t>ESCOBILLA RH</t>
  </si>
  <si>
    <t>852120D08100</t>
  </si>
  <si>
    <t>D-23-01-A18</t>
  </si>
  <si>
    <t>ACTUADOR LAVA FARO</t>
  </si>
  <si>
    <t>852080206100</t>
  </si>
  <si>
    <t>D-08-02-G02</t>
  </si>
  <si>
    <t>MOTOR LIMPIAPARABRISAS</t>
  </si>
  <si>
    <t>851100K22200</t>
  </si>
  <si>
    <t>D-10-02-D03</t>
  </si>
  <si>
    <t>PICO LAVAOPTICA IZQ.</t>
  </si>
  <si>
    <t>8504533060A0</t>
  </si>
  <si>
    <t>D-17-01-G04</t>
  </si>
  <si>
    <t>BRAZO LIMPIAPARAB.FR</t>
  </si>
  <si>
    <t>850205201100</t>
  </si>
  <si>
    <t>D-05-05-C04</t>
  </si>
  <si>
    <t>LLAVE PUERTA ELECTRICA</t>
  </si>
  <si>
    <t>849465207000</t>
  </si>
  <si>
    <t>D-17-02-D04</t>
  </si>
  <si>
    <t>848703401000</t>
  </si>
  <si>
    <t>D-18-01-C02</t>
  </si>
  <si>
    <t>848101208000</t>
  </si>
  <si>
    <t>D-20-00-D08</t>
  </si>
  <si>
    <t>848100K07000</t>
  </si>
  <si>
    <t>D-20-00-C08</t>
  </si>
  <si>
    <t>SWITCH BLOQUEO DIFERENC.</t>
  </si>
  <si>
    <t>847250K08000</t>
  </si>
  <si>
    <t>D-17-02-C07</t>
  </si>
  <si>
    <t>INTERR.LIMPIAPARAB.</t>
  </si>
  <si>
    <t>846520K11000</t>
  </si>
  <si>
    <t>D-16-00-E05</t>
  </si>
  <si>
    <t>SWITCH PARABRISAS</t>
  </si>
  <si>
    <t>846520275000</t>
  </si>
  <si>
    <t>INTERRUPTOR LUZ STOP</t>
  </si>
  <si>
    <t>843401902600</t>
  </si>
  <si>
    <t>D-17-01-C03</t>
  </si>
  <si>
    <t>SWITCH ASSY, LAMP.STOP</t>
  </si>
  <si>
    <t>843400938000</t>
  </si>
  <si>
    <t>D-17-02-H09</t>
  </si>
  <si>
    <t>INTERRUPTOR GUINO</t>
  </si>
  <si>
    <t>843100D23000</t>
  </si>
  <si>
    <t>D-16-02-I03</t>
  </si>
  <si>
    <t>CABLE ESPIRAL C/ SENSOR</t>
  </si>
  <si>
    <t>843080K02000</t>
  </si>
  <si>
    <t>D-05-00-F06</t>
  </si>
  <si>
    <t>CABLE ESPIRAL W SEN</t>
  </si>
  <si>
    <t>843071210000</t>
  </si>
  <si>
    <t>D-05-00-F01</t>
  </si>
  <si>
    <t>CABLE ESPIRAL C/SENSOR</t>
  </si>
  <si>
    <t>843070K09100</t>
  </si>
  <si>
    <t>D-05-00-F02</t>
  </si>
  <si>
    <t>CABLE ESPIRAL C/SENSOR ANGULO GIRO</t>
  </si>
  <si>
    <t>843070K02000</t>
  </si>
  <si>
    <t>D-05-00-F05</t>
  </si>
  <si>
    <t>843070D13000</t>
  </si>
  <si>
    <t>D-05-00-B03</t>
  </si>
  <si>
    <t>843065019000</t>
  </si>
  <si>
    <t>D-05-00-F03</t>
  </si>
  <si>
    <t>D-05-00-E01</t>
  </si>
  <si>
    <t>CABLE ESPIRAL S/COMANDO</t>
  </si>
  <si>
    <t>D-05-00-E03</t>
  </si>
  <si>
    <t>843060619000</t>
  </si>
  <si>
    <t>D-05-00-E06</t>
  </si>
  <si>
    <t>CABLE ESPIRAL ( con control volante )</t>
  </si>
  <si>
    <t>843060222000</t>
  </si>
  <si>
    <t>D-05-00-F04</t>
  </si>
  <si>
    <t>OL</t>
  </si>
  <si>
    <t>PULSADOR ALARMA ALTERNATIVO</t>
  </si>
  <si>
    <t>842311207000</t>
  </si>
  <si>
    <t>D-18-00-D09</t>
  </si>
  <si>
    <t>842310K06000</t>
  </si>
  <si>
    <t>D-17-02-H06</t>
  </si>
  <si>
    <t>842223511000</t>
  </si>
  <si>
    <t>D-17-01-F01</t>
  </si>
  <si>
    <t>D-17-02-H01</t>
  </si>
  <si>
    <t>SWITCH MARCHA ATRAS</t>
  </si>
  <si>
    <t>842107105000</t>
  </si>
  <si>
    <t>D-16-01-C03</t>
  </si>
  <si>
    <t>LLAVE LUCES</t>
  </si>
  <si>
    <t>841400222000</t>
  </si>
  <si>
    <t>D-16-02-I05</t>
  </si>
  <si>
    <t>SWITCH SET DISP.CTRL.EMIS (BOTON DPF)</t>
  </si>
  <si>
    <t>840937104000</t>
  </si>
  <si>
    <t>D-05-02-E05</t>
  </si>
  <si>
    <t>INSTRUMENTAL</t>
  </si>
  <si>
    <t>83A00FBG7000</t>
  </si>
  <si>
    <t>D-09-01-D03</t>
  </si>
  <si>
    <t>CRISTAL TABLERO</t>
  </si>
  <si>
    <t>8385202Y7000</t>
  </si>
  <si>
    <t>D-15-02-A03</t>
  </si>
  <si>
    <t>CJTO. TABLERO INSTR.</t>
  </si>
  <si>
    <t>83800FAF2000</t>
  </si>
  <si>
    <t>D-10-00-B04</t>
  </si>
  <si>
    <t>BULBO TEMP.</t>
  </si>
  <si>
    <t>834202004000</t>
  </si>
  <si>
    <t>D-18-01-C07</t>
  </si>
  <si>
    <t>FLOTANTE TANQUE</t>
  </si>
  <si>
    <t>833200K06000</t>
  </si>
  <si>
    <t>D-16-00-G03</t>
  </si>
  <si>
    <t>833200K01000</t>
  </si>
  <si>
    <t>D-16-00-G02</t>
  </si>
  <si>
    <t>COBERTOR CONECTOR</t>
  </si>
  <si>
    <t>828240K07000</t>
  </si>
  <si>
    <t>D-17-01-H05</t>
  </si>
  <si>
    <t>FUSIBLERA</t>
  </si>
  <si>
    <t>827300KB7000</t>
  </si>
  <si>
    <t>D-10-00-C03</t>
  </si>
  <si>
    <t>SOPORTE CABLEADO</t>
  </si>
  <si>
    <t>827124753000</t>
  </si>
  <si>
    <t>D-17-01-H09</t>
  </si>
  <si>
    <t>INST.ELEC PANEL INSTR.</t>
  </si>
  <si>
    <t>821450D31100</t>
  </si>
  <si>
    <t>E-06-02-B01</t>
  </si>
  <si>
    <t>JGO. DE CABLES</t>
  </si>
  <si>
    <t>821410KE9100</t>
  </si>
  <si>
    <t>E-06-02-A01</t>
  </si>
  <si>
    <t>INST.ELEC.MOTOR</t>
  </si>
  <si>
    <t>821390KA2300</t>
  </si>
  <si>
    <t>E-06-02-E01</t>
  </si>
  <si>
    <t>82121KKR9200</t>
  </si>
  <si>
    <t>E-06-01-C02</t>
  </si>
  <si>
    <t>INSTAL. ELECTRICA</t>
  </si>
  <si>
    <t>821210K19200</t>
  </si>
  <si>
    <t>E-06-02-E02</t>
  </si>
  <si>
    <t>INSTALAC ELECTR</t>
  </si>
  <si>
    <t>821210421000</t>
  </si>
  <si>
    <t>D-05-02-F05</t>
  </si>
  <si>
    <t>INSTAL. ELECTRIC.</t>
  </si>
  <si>
    <t>821110K09000</t>
  </si>
  <si>
    <t>E-06-02-C02</t>
  </si>
  <si>
    <t>COBERTOR FARO STOP</t>
  </si>
  <si>
    <t>819770D090C0</t>
  </si>
  <si>
    <t>D-08-02-C03</t>
  </si>
  <si>
    <t>CONJ.LAMPARA A/A</t>
  </si>
  <si>
    <t>819360D01000</t>
  </si>
  <si>
    <t>D-16-02-H05</t>
  </si>
  <si>
    <t>REFLEX TRAS. RH</t>
  </si>
  <si>
    <t>819104801200</t>
  </si>
  <si>
    <t>D-07-01-F04</t>
  </si>
  <si>
    <t>ACRILICO GUINO LH</t>
  </si>
  <si>
    <t>817410215000</t>
  </si>
  <si>
    <t>D-16-01-G01</t>
  </si>
  <si>
    <t>FARO GUINO LH</t>
  </si>
  <si>
    <t>817400K02000</t>
  </si>
  <si>
    <t>D-15-02-C02</t>
  </si>
  <si>
    <t>FARO GIRO IZQ.</t>
  </si>
  <si>
    <t>817400D18000</t>
  </si>
  <si>
    <t>D-16-02-D02</t>
  </si>
  <si>
    <t>LENTE LAT/GUARD.HI/8</t>
  </si>
  <si>
    <t>8173114090</t>
  </si>
  <si>
    <t>E-06-01-I04</t>
  </si>
  <si>
    <t>ACRIL. FARO GIRO RH</t>
  </si>
  <si>
    <t>817310K05000</t>
  </si>
  <si>
    <t>E-06-01-F02</t>
  </si>
  <si>
    <t>ACRILICO FARO</t>
  </si>
  <si>
    <t>817310212000</t>
  </si>
  <si>
    <t>D-16-02-E03</t>
  </si>
  <si>
    <t>FARO LATERAL</t>
  </si>
  <si>
    <t>817300K11100</t>
  </si>
  <si>
    <t>D-16-02-B06</t>
  </si>
  <si>
    <t>817300K08000</t>
  </si>
  <si>
    <t>D-12-03-F01</t>
  </si>
  <si>
    <t>FARO</t>
  </si>
  <si>
    <t>817300K07000</t>
  </si>
  <si>
    <t>D-16-02-F05</t>
  </si>
  <si>
    <t>817300D18000</t>
  </si>
  <si>
    <t>D-16-02-E01</t>
  </si>
  <si>
    <t>FARO DE GIRO</t>
  </si>
  <si>
    <t>817300D05100</t>
  </si>
  <si>
    <t>D-16-02-E06</t>
  </si>
  <si>
    <t>816211254000</t>
  </si>
  <si>
    <t>D-12-03-D07</t>
  </si>
  <si>
    <t>FARO POS. IZQ.</t>
  </si>
  <si>
    <t>816203506000</t>
  </si>
  <si>
    <t>D-12-02-B02</t>
  </si>
  <si>
    <t>816202039100</t>
  </si>
  <si>
    <t>D-15-00-D05</t>
  </si>
  <si>
    <t>FARO POS DEL IZQ</t>
  </si>
  <si>
    <t>816200411000</t>
  </si>
  <si>
    <t>D-12-02-B01</t>
  </si>
  <si>
    <t>FARO POSIC.DER.</t>
  </si>
  <si>
    <t>816102039100</t>
  </si>
  <si>
    <t>D-12-03-C05</t>
  </si>
  <si>
    <t>FARO POS.DEL.DER.</t>
  </si>
  <si>
    <t>816100410000</t>
  </si>
  <si>
    <t>D-12-02-B04</t>
  </si>
  <si>
    <t>ACRILICO TRAS.IZQ.</t>
  </si>
  <si>
    <t>815910D46000</t>
  </si>
  <si>
    <t>D-14-03-A02</t>
  </si>
  <si>
    <t>ACRILICO FARO RR LH</t>
  </si>
  <si>
    <t>815910264000</t>
  </si>
  <si>
    <t>D-12-02-E01</t>
  </si>
  <si>
    <t>ACRILICO FARO RR RH</t>
  </si>
  <si>
    <t>815810264000</t>
  </si>
  <si>
    <t>815804203200</t>
  </si>
  <si>
    <t>D-12-01-C05</t>
  </si>
  <si>
    <t>FARO PORTON TRAS DER</t>
  </si>
  <si>
    <t>815800K22000</t>
  </si>
  <si>
    <t>FARO TRAS.DER.</t>
  </si>
  <si>
    <t>815800K09200</t>
  </si>
  <si>
    <t>815800D12000</t>
  </si>
  <si>
    <t>E-06-00-D04</t>
  </si>
  <si>
    <t>815771233000</t>
  </si>
  <si>
    <t>D-18-02-I01</t>
  </si>
  <si>
    <t>ENCH&amp;INST FARO RR LH</t>
  </si>
  <si>
    <t>815650D34000</t>
  </si>
  <si>
    <t>D-17-01-F08</t>
  </si>
  <si>
    <t>815614220100</t>
  </si>
  <si>
    <t>H-01-05-E03</t>
  </si>
  <si>
    <t>ACRILICO TRAS</t>
  </si>
  <si>
    <t>815610K47000</t>
  </si>
  <si>
    <t>H-01-07-C04</t>
  </si>
  <si>
    <t>H-01-08-B05</t>
  </si>
  <si>
    <t>H-01-06-D03</t>
  </si>
  <si>
    <t>ACRILICO TRAS. IZQ.</t>
  </si>
  <si>
    <t>815610K19000</t>
  </si>
  <si>
    <t>D-12-00-A02</t>
  </si>
  <si>
    <t>ACRILICO FARO TRAS.LH</t>
  </si>
  <si>
    <t>815610K15000</t>
  </si>
  <si>
    <t>D-12-00-B03</t>
  </si>
  <si>
    <t>ACRILICO FARO TRAS. LH</t>
  </si>
  <si>
    <t>815610D65000</t>
  </si>
  <si>
    <t>H-01-07-B05</t>
  </si>
  <si>
    <t>ACRILICO FARO TRAS. LH S/D</t>
  </si>
  <si>
    <t>815610D34000</t>
  </si>
  <si>
    <t>H-01-08-B01</t>
  </si>
  <si>
    <t>FARO TRASERO IZQUIERDO</t>
  </si>
  <si>
    <t>815600K31000</t>
  </si>
  <si>
    <t>H-01-06-C04</t>
  </si>
  <si>
    <t>FARO TRAS.IZQ.</t>
  </si>
  <si>
    <t>815600K27100</t>
  </si>
  <si>
    <t>H-01-07-B04</t>
  </si>
  <si>
    <t>CABLEADO FARO TRAS.</t>
  </si>
  <si>
    <t>815550K05000</t>
  </si>
  <si>
    <t>D-16-01-C06</t>
  </si>
  <si>
    <t>INST.ELEC.FARO TRASERO RH</t>
  </si>
  <si>
    <t>815550266000</t>
  </si>
  <si>
    <t>D-16-01-H05</t>
  </si>
  <si>
    <t>ACRILICO FARO TR.</t>
  </si>
  <si>
    <t>815514220100</t>
  </si>
  <si>
    <t>H-01-05-E02</t>
  </si>
  <si>
    <t>ACRILICO</t>
  </si>
  <si>
    <t>815510K46000</t>
  </si>
  <si>
    <t>H-01-08-B04</t>
  </si>
  <si>
    <t>ACRILICO FARO TRAS.RH</t>
  </si>
  <si>
    <t>815510K32000</t>
  </si>
  <si>
    <t>H-01-08-D03</t>
  </si>
  <si>
    <t>H-01-07-C02</t>
  </si>
  <si>
    <t>H-01-08-C04</t>
  </si>
  <si>
    <t>ACRILICO TRAS. DER.</t>
  </si>
  <si>
    <t>815510K18000</t>
  </si>
  <si>
    <t>D-12-00-A03</t>
  </si>
  <si>
    <t>LENS &amp; BODY, RR COMBINATION LAMP, RH</t>
  </si>
  <si>
    <t>815510DA1000</t>
  </si>
  <si>
    <t>ACRILICO FARO TRAS. RH S/D</t>
  </si>
  <si>
    <t>815510D34000</t>
  </si>
  <si>
    <t>H-01-06-D05</t>
  </si>
  <si>
    <t>FARO TRASERO DER.</t>
  </si>
  <si>
    <t>815500K46000</t>
  </si>
  <si>
    <t>H-01-06-C01</t>
  </si>
  <si>
    <t>FARO TRASERO DERECHO</t>
  </si>
  <si>
    <t>815500K30000</t>
  </si>
  <si>
    <t>H-01-07-B03</t>
  </si>
  <si>
    <t>FARO TRAS. DERECHO</t>
  </si>
  <si>
    <t>815500K26100</t>
  </si>
  <si>
    <t>H-01-08-C01</t>
  </si>
  <si>
    <t>LAMP ASSY, RR COMBINATION</t>
  </si>
  <si>
    <t>815500A24000</t>
  </si>
  <si>
    <t>815211270000</t>
  </si>
  <si>
    <t>D-12-03-D06</t>
  </si>
  <si>
    <t>FARO PARAG.DEL.HI/80</t>
  </si>
  <si>
    <t>8151039315</t>
  </si>
  <si>
    <t>D-12-03-D01</t>
  </si>
  <si>
    <t>FARO GIRO GUAR.DER.</t>
  </si>
  <si>
    <t>815102102000</t>
  </si>
  <si>
    <t>D-12-02-A01</t>
  </si>
  <si>
    <t>LUZ DE GIRO DEL. DER.</t>
  </si>
  <si>
    <t>815100K05200</t>
  </si>
  <si>
    <t>FARO GIRO</t>
  </si>
  <si>
    <t>815100503000</t>
  </si>
  <si>
    <t>D-15-01-B02</t>
  </si>
  <si>
    <t>814965202000</t>
  </si>
  <si>
    <t>D-19-01-F05</t>
  </si>
  <si>
    <t>FARO ANTINIEBLA TRAS.LH</t>
  </si>
  <si>
    <t>814900D03000</t>
  </si>
  <si>
    <t>D-08-02-E04</t>
  </si>
  <si>
    <t>SOPORTE FOG LAMP LH</t>
  </si>
  <si>
    <t>814820K07000</t>
  </si>
  <si>
    <t>D-12-03-E04</t>
  </si>
  <si>
    <t>TAPA FOGLAMP LH</t>
  </si>
  <si>
    <t>814820226000</t>
  </si>
  <si>
    <t>D-07-01-B02</t>
  </si>
  <si>
    <t>CUBIERTA FARO S/FARO</t>
  </si>
  <si>
    <t>814820214000</t>
  </si>
  <si>
    <t>D-07-01-F05</t>
  </si>
  <si>
    <t>SOPORTE FOG LAMP RH</t>
  </si>
  <si>
    <t>814810K05000</t>
  </si>
  <si>
    <t>D-12-02-F02</t>
  </si>
  <si>
    <t>814810D23000</t>
  </si>
  <si>
    <t>D-07-01-C05</t>
  </si>
  <si>
    <t>COBERTOR FOG LAMP RH</t>
  </si>
  <si>
    <t>814810246000</t>
  </si>
  <si>
    <t>D-07-00-E03</t>
  </si>
  <si>
    <t>FARO ANTINIEB.RR RH CIEGO</t>
  </si>
  <si>
    <t>814804204000</t>
  </si>
  <si>
    <t>D-12-03-C04</t>
  </si>
  <si>
    <t>FARO ANTINIEBLA LH</t>
  </si>
  <si>
    <t>814560K04000</t>
  </si>
  <si>
    <t>LAMPARA DIA LH</t>
  </si>
  <si>
    <t>814405203000</t>
  </si>
  <si>
    <t>D-15-01-E02</t>
  </si>
  <si>
    <t>LAMPARA DIA RH</t>
  </si>
  <si>
    <t>814305203000</t>
  </si>
  <si>
    <t>D-15-01-E01</t>
  </si>
  <si>
    <t>8134030100B0</t>
  </si>
  <si>
    <t>LAMPARA INTERIOR</t>
  </si>
  <si>
    <t>813300505000</t>
  </si>
  <si>
    <t>D-16-02-C06</t>
  </si>
  <si>
    <t>ACRILICO FARO PATENTE</t>
  </si>
  <si>
    <t>812710D08000</t>
  </si>
  <si>
    <t>D-16-02-C08</t>
  </si>
  <si>
    <t>FARO PATENTE</t>
  </si>
  <si>
    <t>812700K08000</t>
  </si>
  <si>
    <t>D-17-02-I08</t>
  </si>
  <si>
    <t>CONJ. LAMPARA PATENTE c/cable</t>
  </si>
  <si>
    <t>812700K01000</t>
  </si>
  <si>
    <t>PLAFONIER</t>
  </si>
  <si>
    <t>8126068010B2</t>
  </si>
  <si>
    <t>D-16-02-A05</t>
  </si>
  <si>
    <t>812400D050B0</t>
  </si>
  <si>
    <t>D-16-01-D06</t>
  </si>
  <si>
    <t>812200D11000</t>
  </si>
  <si>
    <t>D-12-02-C02</t>
  </si>
  <si>
    <t>812200D08000</t>
  </si>
  <si>
    <t>D-14-03-C02</t>
  </si>
  <si>
    <t>812200215000</t>
  </si>
  <si>
    <t>D-15-03-B04</t>
  </si>
  <si>
    <t>812116011100</t>
  </si>
  <si>
    <t>D-12-03-C03</t>
  </si>
  <si>
    <t>FARO ANTINIEBLA</t>
  </si>
  <si>
    <t>812114202000</t>
  </si>
  <si>
    <t>E-06-00-C05</t>
  </si>
  <si>
    <t>ACRILICO FARO ANTINIEBLA</t>
  </si>
  <si>
    <t>812110D08000</t>
  </si>
  <si>
    <t>E-06-00-D01</t>
  </si>
  <si>
    <t>FARO ANTINIEBLA RH</t>
  </si>
  <si>
    <t>812100D11000</t>
  </si>
  <si>
    <t>D-12-03-B01</t>
  </si>
  <si>
    <t>812100D08000</t>
  </si>
  <si>
    <t>CONJ.OPTICA DEL.IZQ</t>
  </si>
  <si>
    <t>811709801000</t>
  </si>
  <si>
    <t>H-01-07-C03</t>
  </si>
  <si>
    <t>OPTICA IZQUIERDA - HILUX SR</t>
  </si>
  <si>
    <t>811700KQ0000</t>
  </si>
  <si>
    <t>H-01-03-A03</t>
  </si>
  <si>
    <t>OPTICA</t>
  </si>
  <si>
    <t>811700D67100</t>
  </si>
  <si>
    <t>H-01-05-B02</t>
  </si>
  <si>
    <t>SOPORTE FARO LH</t>
  </si>
  <si>
    <t>811560K18000</t>
  </si>
  <si>
    <t>D-09-00-D03</t>
  </si>
  <si>
    <t>OPTICA DEL. IZQ.</t>
  </si>
  <si>
    <t>811500KW5100</t>
  </si>
  <si>
    <t>H-01-05-A03</t>
  </si>
  <si>
    <t>811500KU6100</t>
  </si>
  <si>
    <t>H-01-02-B03</t>
  </si>
  <si>
    <t>CONJ.OPTICA IZQ. valeo</t>
  </si>
  <si>
    <t>811500K82100</t>
  </si>
  <si>
    <t>H-01-08-A01</t>
  </si>
  <si>
    <t>CONJ.OPTICA DEL.IZQ. tahilandia</t>
  </si>
  <si>
    <t>811500K69200</t>
  </si>
  <si>
    <t>H-01-02-B04</t>
  </si>
  <si>
    <t>CONJ.OPTICA RH</t>
  </si>
  <si>
    <t>8113026B2000</t>
  </si>
  <si>
    <t>H-01-05-B01</t>
  </si>
  <si>
    <t>OPTICA DERECHA - HILUX SR</t>
  </si>
  <si>
    <t>811300KQ0000</t>
  </si>
  <si>
    <t>OPTICA DERECHA</t>
  </si>
  <si>
    <t>811300274000</t>
  </si>
  <si>
    <t>H-01-05-B03</t>
  </si>
  <si>
    <t>OPTICA DEL DER.</t>
  </si>
  <si>
    <t>81110YP481</t>
  </si>
  <si>
    <t>H-01-07-C05</t>
  </si>
  <si>
    <t>CJTO OPTICO W/LEVELI</t>
  </si>
  <si>
    <t>811104218000</t>
  </si>
  <si>
    <t>H-01-08-D06</t>
  </si>
  <si>
    <t>OPTICA DEL. DER.</t>
  </si>
  <si>
    <t>811100KW5100</t>
  </si>
  <si>
    <t>H-01-05-A02</t>
  </si>
  <si>
    <t>811100KU6100</t>
  </si>
  <si>
    <t>H-01-05-B05</t>
  </si>
  <si>
    <t>811100KN2100</t>
  </si>
  <si>
    <t>H-01-02-C03</t>
  </si>
  <si>
    <t>CONJ.OPT. DER valeo</t>
  </si>
  <si>
    <t>811100K82100</t>
  </si>
  <si>
    <t>H-01-08-A02</t>
  </si>
  <si>
    <t>CONJ.OPTICA DEL.DER.tahilandia</t>
  </si>
  <si>
    <t>811100K69200</t>
  </si>
  <si>
    <t>H-01-06-D02</t>
  </si>
  <si>
    <t>SUBCONJ.OPTICA FR.LH</t>
  </si>
  <si>
    <t>811060A16000</t>
  </si>
  <si>
    <t>H-01-02-B02</t>
  </si>
  <si>
    <t>BANDA ASIENTO</t>
  </si>
  <si>
    <t>789600K040E0</t>
  </si>
  <si>
    <t>776530K04100</t>
  </si>
  <si>
    <t>D-18-02-E07</t>
  </si>
  <si>
    <t>773600K01000</t>
  </si>
  <si>
    <t>D-19-01-G03</t>
  </si>
  <si>
    <t>TAPA TANQUE COMB.EXT.</t>
  </si>
  <si>
    <t>77350KK01000</t>
  </si>
  <si>
    <t>D-08-02-F04</t>
  </si>
  <si>
    <t>TAPA COMBUST.</t>
  </si>
  <si>
    <t>773500K05000</t>
  </si>
  <si>
    <t>D-06-01-E01</t>
  </si>
  <si>
    <t>PROTECTOR TANQUE</t>
  </si>
  <si>
    <t>772770209000</t>
  </si>
  <si>
    <t>E-07-00-B02</t>
  </si>
  <si>
    <t>TUBO COMBUST</t>
  </si>
  <si>
    <t>772510239000</t>
  </si>
  <si>
    <t>H-02-08-B08</t>
  </si>
  <si>
    <t>JUNTA TUBO SUCCION</t>
  </si>
  <si>
    <t>771690K04000</t>
  </si>
  <si>
    <t>JUNTA TUBO SUCCIÓN</t>
  </si>
  <si>
    <t>771690208000</t>
  </si>
  <si>
    <t>D-14-01-A03</t>
  </si>
  <si>
    <t>TANQUE COMB SUBCONJ</t>
  </si>
  <si>
    <t>771034209000</t>
  </si>
  <si>
    <t>D-06-01-F02</t>
  </si>
  <si>
    <t>771031216000</t>
  </si>
  <si>
    <t>D-01-05-F01</t>
  </si>
  <si>
    <t>771031215000</t>
  </si>
  <si>
    <t>D-08-02-E02</t>
  </si>
  <si>
    <t>CABLE APERT. TANQUE</t>
  </si>
  <si>
    <t>770350K46000</t>
  </si>
  <si>
    <t>D-05-04-D05</t>
  </si>
  <si>
    <t>CABLE APERT.TANQUE</t>
  </si>
  <si>
    <t>770350K13000</t>
  </si>
  <si>
    <t>D-07-04-B02</t>
  </si>
  <si>
    <t>TUBO LLENADO TANQUE COMB.</t>
  </si>
  <si>
    <t>770245234000</t>
  </si>
  <si>
    <t>D-09-01-C04</t>
  </si>
  <si>
    <t>PLATE SUB-ASSY, FUEL SUCT</t>
  </si>
  <si>
    <t>770244213100</t>
  </si>
  <si>
    <t>D-01-04-D03</t>
  </si>
  <si>
    <t>PLATO BBA. COMBUSTIBLE</t>
  </si>
  <si>
    <t>770244211000</t>
  </si>
  <si>
    <t>D-01-04-C03</t>
  </si>
  <si>
    <t>PLATO BBA COMB.</t>
  </si>
  <si>
    <t>770244208000</t>
  </si>
  <si>
    <t>D-01-04-A02</t>
  </si>
  <si>
    <t>PLATO BBA. COMB.</t>
  </si>
  <si>
    <t>770241240000</t>
  </si>
  <si>
    <t>D-01-04-B02</t>
  </si>
  <si>
    <t>770241239000</t>
  </si>
  <si>
    <t>D-01-04-A03</t>
  </si>
  <si>
    <t>PLATO BOMBA COMB.</t>
  </si>
  <si>
    <t>770241224000</t>
  </si>
  <si>
    <t>D-01-04-C04</t>
  </si>
  <si>
    <t>770241218000</t>
  </si>
  <si>
    <t>D-01-04-C02</t>
  </si>
  <si>
    <t>PLACA SUCCION COMB.</t>
  </si>
  <si>
    <t>770241003000</t>
  </si>
  <si>
    <t>770240257000</t>
  </si>
  <si>
    <t>D-09-01-D05</t>
  </si>
  <si>
    <t>770200208100</t>
  </si>
  <si>
    <t>770100K20100</t>
  </si>
  <si>
    <t>770100K08000</t>
  </si>
  <si>
    <t>769241204000</t>
  </si>
  <si>
    <t>MOLDURA LATERAL NO.2</t>
  </si>
  <si>
    <t>769241203000</t>
  </si>
  <si>
    <t>TAPA SPOILER RR LH L/COLO</t>
  </si>
  <si>
    <t>768940D90400</t>
  </si>
  <si>
    <t>D-19-00-F09</t>
  </si>
  <si>
    <t>JUNTA DE GOMA</t>
  </si>
  <si>
    <t>768750K01000</t>
  </si>
  <si>
    <t>D-20-01-K05</t>
  </si>
  <si>
    <t>BARRA</t>
  </si>
  <si>
    <t>76870YY02100</t>
  </si>
  <si>
    <t>PROTECTOR MOLDURA</t>
  </si>
  <si>
    <t>768211221000</t>
  </si>
  <si>
    <t>768171207000</t>
  </si>
  <si>
    <t>PRE-POOL</t>
  </si>
  <si>
    <t>MOLDURA TAPA BAUL</t>
  </si>
  <si>
    <t>768110241000</t>
  </si>
  <si>
    <t>H-01-10-D01</t>
  </si>
  <si>
    <t>MOLDURA</t>
  </si>
  <si>
    <t>7680442010D0</t>
  </si>
  <si>
    <t>D-05-04-A06</t>
  </si>
  <si>
    <t>MOLDURA BAUL</t>
  </si>
  <si>
    <t>7680102D6000</t>
  </si>
  <si>
    <t>H-02-05-B04</t>
  </si>
  <si>
    <t>BARRERO</t>
  </si>
  <si>
    <t>766264218000</t>
  </si>
  <si>
    <t>D-05-04-E02</t>
  </si>
  <si>
    <t>766260K10000</t>
  </si>
  <si>
    <t>D-05-04-E07</t>
  </si>
  <si>
    <t>766254212000</t>
  </si>
  <si>
    <t>D-05-05-C06</t>
  </si>
  <si>
    <t>766214207000</t>
  </si>
  <si>
    <t>H-01-06-B10</t>
  </si>
  <si>
    <t>BARRERO DEL. DER.</t>
  </si>
  <si>
    <t>766210K17000</t>
  </si>
  <si>
    <t>D-05-04-E03</t>
  </si>
  <si>
    <t>766043902500</t>
  </si>
  <si>
    <t>E-06-00-F04</t>
  </si>
  <si>
    <t>D-15-01-C01</t>
  </si>
  <si>
    <t>AUTOADH.4X4 TURBOINT</t>
  </si>
  <si>
    <t>75998144TI00</t>
  </si>
  <si>
    <t>D-15-01-C03</t>
  </si>
  <si>
    <t>75998000TI00</t>
  </si>
  <si>
    <t>D-15-01-C04</t>
  </si>
  <si>
    <t>759970404000</t>
  </si>
  <si>
    <t>D-18-02-N03</t>
  </si>
  <si>
    <t>759960401000</t>
  </si>
  <si>
    <t>D-18-02-N02</t>
  </si>
  <si>
    <t>CALCO AUTOADH. PTA. RR</t>
  </si>
  <si>
    <t>759884205000</t>
  </si>
  <si>
    <t>H-01-10-A03</t>
  </si>
  <si>
    <t>759880401000</t>
  </si>
  <si>
    <t>D-18-02-N05</t>
  </si>
  <si>
    <t>FRANJA LATERAL RR RH</t>
  </si>
  <si>
    <t>759874205000</t>
  </si>
  <si>
    <t>H-01-10-A04</t>
  </si>
  <si>
    <t>759860402000</t>
  </si>
  <si>
    <t>D-18-02-N01</t>
  </si>
  <si>
    <t>PELICULA AUTOADH.</t>
  </si>
  <si>
    <t>759240K01000</t>
  </si>
  <si>
    <t>D-15-01-D04</t>
  </si>
  <si>
    <t>PELICULA AUTOADH.Nº1 RH</t>
  </si>
  <si>
    <t>759214204000</t>
  </si>
  <si>
    <t>E-06-00-E03</t>
  </si>
  <si>
    <t>MOLDURA INFERIOR</t>
  </si>
  <si>
    <t>758826001000</t>
  </si>
  <si>
    <t>D-19-01-A01</t>
  </si>
  <si>
    <t>JUNTA MOLDURA</t>
  </si>
  <si>
    <t>758816001000</t>
  </si>
  <si>
    <t>CLIP MOLDURA INF.</t>
  </si>
  <si>
    <t>758676801000</t>
  </si>
  <si>
    <t>MOLDURA PANEL IZQ.</t>
  </si>
  <si>
    <t>7586060040B1</t>
  </si>
  <si>
    <t>H-01-09-D04</t>
  </si>
  <si>
    <t>MOLDURA ZOCALO</t>
  </si>
  <si>
    <t>758510K09000</t>
  </si>
  <si>
    <t>H-02-05-A03</t>
  </si>
  <si>
    <t>MOLDURA UPR PORTON TRAS.</t>
  </si>
  <si>
    <t>758020D02000</t>
  </si>
  <si>
    <t>H-02-05-B06</t>
  </si>
  <si>
    <t>757924701000</t>
  </si>
  <si>
    <t>757700K38000</t>
  </si>
  <si>
    <t>H-02-05-B02</t>
  </si>
  <si>
    <t>MOLDURA CAPOT FR</t>
  </si>
  <si>
    <t>757700K37000</t>
  </si>
  <si>
    <t>H-02-05-A04</t>
  </si>
  <si>
    <t>MOLDURA CAPOT</t>
  </si>
  <si>
    <t>757700K34200</t>
  </si>
  <si>
    <t>D-23-02-A03</t>
  </si>
  <si>
    <t>MOULDING ASSY, HOOD, FR</t>
  </si>
  <si>
    <t>757700K31200</t>
  </si>
  <si>
    <t>MOLDURA PTA. RR LH</t>
  </si>
  <si>
    <t>757404204000</t>
  </si>
  <si>
    <t>H-01-10-C01</t>
  </si>
  <si>
    <t>757320290000</t>
  </si>
  <si>
    <t>H-01-10-B03</t>
  </si>
  <si>
    <t>MOLDURA PTA. FR LH</t>
  </si>
  <si>
    <t>757204204000</t>
  </si>
  <si>
    <t>H-01-10-C02</t>
  </si>
  <si>
    <t>MOLDURA PTA DEL IZQ</t>
  </si>
  <si>
    <t>757201279000</t>
  </si>
  <si>
    <t>H-01-10-B06</t>
  </si>
  <si>
    <t>MOLDURA PTA. DEL. DER.</t>
  </si>
  <si>
    <t>757116007200</t>
  </si>
  <si>
    <t>H-01-10-D03</t>
  </si>
  <si>
    <t>757100226000</t>
  </si>
  <si>
    <t>H-01-10-B02</t>
  </si>
  <si>
    <t>MOLDURA VENTILETE INF RH</t>
  </si>
  <si>
    <t>756470K01000</t>
  </si>
  <si>
    <t>H-01-06-B11</t>
  </si>
  <si>
    <t>MOLDURA GUARD. RR LH</t>
  </si>
  <si>
    <t>756064213000</t>
  </si>
  <si>
    <t>H-02-07-A06</t>
  </si>
  <si>
    <t>755615202000</t>
  </si>
  <si>
    <t>MOLDURA LAT.TECHO FR. LH</t>
  </si>
  <si>
    <t>755524205000</t>
  </si>
  <si>
    <t>H-02-06-E08</t>
  </si>
  <si>
    <t>MOLDURA LAT.TECHO FR. RH</t>
  </si>
  <si>
    <t>755514205000</t>
  </si>
  <si>
    <t>H-02-06-E09</t>
  </si>
  <si>
    <t>MOLDURA PARABRISAS</t>
  </si>
  <si>
    <t>755334207000</t>
  </si>
  <si>
    <t>H-01-09-A08</t>
  </si>
  <si>
    <t>755330A05000</t>
  </si>
  <si>
    <t>D-05-04-C04</t>
  </si>
  <si>
    <t>754953501000</t>
  </si>
  <si>
    <t>754926002000</t>
  </si>
  <si>
    <t>D-19-01-D07</t>
  </si>
  <si>
    <t>MARCA PORTON TRAS.</t>
  </si>
  <si>
    <t>754790K04000</t>
  </si>
  <si>
    <t>D-19-01-J06</t>
  </si>
  <si>
    <t>CALCOMANIA</t>
  </si>
  <si>
    <t>754730K02100</t>
  </si>
  <si>
    <t>D-19-01-J05</t>
  </si>
  <si>
    <t>754444201000</t>
  </si>
  <si>
    <t>D-19-01-C08</t>
  </si>
  <si>
    <t>754441A81000</t>
  </si>
  <si>
    <t>D-19-01-C06</t>
  </si>
  <si>
    <t>EMBLEMA XEI""</t>
  </si>
  <si>
    <t>754441A36000</t>
  </si>
  <si>
    <t>D-19-01-B04</t>
  </si>
  <si>
    <t>EMBLEMA XEI</t>
  </si>
  <si>
    <t>7544412C0000</t>
  </si>
  <si>
    <t>D-19-01-H09</t>
  </si>
  <si>
    <t>EMBLEMA BAUL PLATINUM</t>
  </si>
  <si>
    <t>754429801000</t>
  </si>
  <si>
    <t>D-19-01-I08</t>
  </si>
  <si>
    <t>754414205000</t>
  </si>
  <si>
    <t>D-19-01-G05</t>
  </si>
  <si>
    <t>754314203000</t>
  </si>
  <si>
    <t>D-19-01-E03</t>
  </si>
  <si>
    <t>EMBLEMA PORTON TRAS.</t>
  </si>
  <si>
    <t>754310K03100</t>
  </si>
  <si>
    <t>D-19-01-L07</t>
  </si>
  <si>
    <t>754280K01100</t>
  </si>
  <si>
    <t>D-19-01-B07</t>
  </si>
  <si>
    <t>EMBLEMA DE PUERTA - HILUX</t>
  </si>
  <si>
    <t>754270K15000</t>
  </si>
  <si>
    <t>D-18-00-G05</t>
  </si>
  <si>
    <t>753963502000</t>
  </si>
  <si>
    <t>753953507000</t>
  </si>
  <si>
    <t>D-19-01-E06</t>
  </si>
  <si>
    <t>753950K05000</t>
  </si>
  <si>
    <t>CLIP, OUTSIDE MOULDING, N</t>
  </si>
  <si>
    <t>753950K01000</t>
  </si>
  <si>
    <t>753946003000</t>
  </si>
  <si>
    <t>753923520000</t>
  </si>
  <si>
    <t>EMBLEMA GRILLA&amp;PUERTAS</t>
  </si>
  <si>
    <t>753615207000</t>
  </si>
  <si>
    <t>D-18-00-D02</t>
  </si>
  <si>
    <t>753110222000</t>
  </si>
  <si>
    <t>D-19-01-J04</t>
  </si>
  <si>
    <t>753110209000</t>
  </si>
  <si>
    <t>D-18-00-G01</t>
  </si>
  <si>
    <t>EMBLEMA GRILLA RADIADOR</t>
  </si>
  <si>
    <t>75310YY010SP</t>
  </si>
  <si>
    <t>D-06-02-E01</t>
  </si>
  <si>
    <t>753100K03000</t>
  </si>
  <si>
    <t>D-18-00-H05</t>
  </si>
  <si>
    <t>753014205000</t>
  </si>
  <si>
    <t>D-18-00-H03</t>
  </si>
  <si>
    <t>753010D04000</t>
  </si>
  <si>
    <t>D-19-01-K04</t>
  </si>
  <si>
    <t>753010226000</t>
  </si>
  <si>
    <t>D-18-00-H01</t>
  </si>
  <si>
    <t>753010206000</t>
  </si>
  <si>
    <t>D-18-00-H04</t>
  </si>
  <si>
    <t>MOLDURA LATERAL INF.RR LH</t>
  </si>
  <si>
    <t>750784201100</t>
  </si>
  <si>
    <t>D-07-00-E10</t>
  </si>
  <si>
    <t>COBERTOR AGARRAD.NO.2 LH</t>
  </si>
  <si>
    <t>74638KK010C0</t>
  </si>
  <si>
    <t>746160K030B0</t>
  </si>
  <si>
    <t>ABRAZADERA BATERIA</t>
  </si>
  <si>
    <t>744040247000</t>
  </si>
  <si>
    <t>D-16-01-A04</t>
  </si>
  <si>
    <t>744040222000</t>
  </si>
  <si>
    <t>D-16-02-A01</t>
  </si>
  <si>
    <t>SOPORTE PARASOL</t>
  </si>
  <si>
    <t>743480K010B0</t>
  </si>
  <si>
    <t>D-17-02-C02</t>
  </si>
  <si>
    <t>BASE TECLA</t>
  </si>
  <si>
    <t>7423142140B1</t>
  </si>
  <si>
    <t>D-21-00-F05</t>
  </si>
  <si>
    <t>APOYABRAZO TRAS.DER.</t>
  </si>
  <si>
    <t>742108910803</t>
  </si>
  <si>
    <t>E-06-00-F03</t>
  </si>
  <si>
    <t>AIR BAG</t>
  </si>
  <si>
    <t>739600218100</t>
  </si>
  <si>
    <t>D-09-01-C03</t>
  </si>
  <si>
    <t>AIRBAG ASIENTO DEL. IZQ.</t>
  </si>
  <si>
    <t>739200K05000</t>
  </si>
  <si>
    <t>D-06-01-C03</t>
  </si>
  <si>
    <t>CINTURON DE SEGURIDAD</t>
  </si>
  <si>
    <t>7347002540A1</t>
  </si>
  <si>
    <t>D-09-02-C02</t>
  </si>
  <si>
    <t>CINTURON SEGURIDAD</t>
  </si>
  <si>
    <t>733900K041B0</t>
  </si>
  <si>
    <t>D-05-01-F05</t>
  </si>
  <si>
    <t>733800K041B1</t>
  </si>
  <si>
    <t>D-10-00-D02</t>
  </si>
  <si>
    <t>CINTURON SEGURIDAD FR</t>
  </si>
  <si>
    <t>732300K730B0</t>
  </si>
  <si>
    <t>D-05-02-D06</t>
  </si>
  <si>
    <t>CINTURON DE SEGUR.</t>
  </si>
  <si>
    <t>732300K400A0</t>
  </si>
  <si>
    <t>D-05-02-C05</t>
  </si>
  <si>
    <t>732300K391B0</t>
  </si>
  <si>
    <t>D-05-01-F04</t>
  </si>
  <si>
    <t>CINTURON DE SGURIDAD</t>
  </si>
  <si>
    <t>732300K390A0</t>
  </si>
  <si>
    <t>D-05-02-C03</t>
  </si>
  <si>
    <t>HEBILLA CINT. SEGURIDAD</t>
  </si>
  <si>
    <t>732300K381B0</t>
  </si>
  <si>
    <t>D-05-01-F03</t>
  </si>
  <si>
    <t>7323002532B0</t>
  </si>
  <si>
    <t>D-05-02-F02</t>
  </si>
  <si>
    <t>7322042300B3</t>
  </si>
  <si>
    <t>D-09-01-B03</t>
  </si>
  <si>
    <t>CINTURON SEGURIDAD FR. LH</t>
  </si>
  <si>
    <t>732200K590C0</t>
  </si>
  <si>
    <t>D-10-01-C03</t>
  </si>
  <si>
    <t>CINTURON ASIENTO IZQ</t>
  </si>
  <si>
    <t>7322002150C0</t>
  </si>
  <si>
    <t>D-05-01-F01</t>
  </si>
  <si>
    <t>CINTURON SEGURIDAD FR. RH</t>
  </si>
  <si>
    <t>732100K880C0</t>
  </si>
  <si>
    <t>D-10-01-D01</t>
  </si>
  <si>
    <t>PERNO RESP. ASIENTO RR</t>
  </si>
  <si>
    <t>726130K02000</t>
  </si>
  <si>
    <t>D-20-00-F05</t>
  </si>
  <si>
    <t>APOYACABEZA TRAS.</t>
  </si>
  <si>
    <t>719400DG20C0</t>
  </si>
  <si>
    <t>D-08-01-G02</t>
  </si>
  <si>
    <t>SOPORTE APOYACABEZAS FR</t>
  </si>
  <si>
    <t>719310K050C0</t>
  </si>
  <si>
    <t>D-17-01-D06</t>
  </si>
  <si>
    <t>SOPORTE APOYACABEZA</t>
  </si>
  <si>
    <t>7193002070B2</t>
  </si>
  <si>
    <t>D-17-01-D08</t>
  </si>
  <si>
    <t>GANCHO RESP.ASIENTO DEL.</t>
  </si>
  <si>
    <t>717590K070C0</t>
  </si>
  <si>
    <t>D-17-02-C03</t>
  </si>
  <si>
    <t>TAPA BASTIDOR ASIENTO</t>
  </si>
  <si>
    <t>71694KK030C0</t>
  </si>
  <si>
    <t>D-08-02-F02</t>
  </si>
  <si>
    <t>71694KK020C0</t>
  </si>
  <si>
    <t>D-08-02-D04</t>
  </si>
  <si>
    <t>ALMOHADILLA RESPALDO</t>
  </si>
  <si>
    <t>715520KB3000</t>
  </si>
  <si>
    <t>H-01-10-E08</t>
  </si>
  <si>
    <t>715510277000</t>
  </si>
  <si>
    <t>H-01-10-E01</t>
  </si>
  <si>
    <t>ALMOHADILLA ASIENTO</t>
  </si>
  <si>
    <t>715120K63000</t>
  </si>
  <si>
    <t>H-01-10-E04</t>
  </si>
  <si>
    <t>COBERT. SOPORT.ASIE.FR LH</t>
  </si>
  <si>
    <t>711493005000</t>
  </si>
  <si>
    <t>H-01-10-D06</t>
  </si>
  <si>
    <t>TAPIZADO ASIENTO</t>
  </si>
  <si>
    <t>710740KN21C3</t>
  </si>
  <si>
    <t>H-01-10-E07</t>
  </si>
  <si>
    <t>TAPIZADO RESP.ASIEN.FR RH</t>
  </si>
  <si>
    <t>710730ZK11B1</t>
  </si>
  <si>
    <t>H-02-09-C01</t>
  </si>
  <si>
    <t>TAPIZADO ASIENTO DEL. IZQ</t>
  </si>
  <si>
    <t>710720ZQ92C1</t>
  </si>
  <si>
    <t>H-02-09-H01</t>
  </si>
  <si>
    <t>FUNDA ASIENTO FR LH</t>
  </si>
  <si>
    <t>710720KB50B0</t>
  </si>
  <si>
    <t>H-02-09-F02</t>
  </si>
  <si>
    <t>TAPIZADO ASIENTO PANA</t>
  </si>
  <si>
    <t>710720K050C0</t>
  </si>
  <si>
    <t>H-02-09-E01</t>
  </si>
  <si>
    <t>BASE ASIENTO</t>
  </si>
  <si>
    <t>710110K05000</t>
  </si>
  <si>
    <t>CONJ. LEVANTA CRISTAL</t>
  </si>
  <si>
    <t>698300260000</t>
  </si>
  <si>
    <t>D-05-04-E08</t>
  </si>
  <si>
    <t>698100261000</t>
  </si>
  <si>
    <t>D-05-04-E06</t>
  </si>
  <si>
    <t>MAQUINA LEVANTA CRISTAL</t>
  </si>
  <si>
    <t>698040K13000</t>
  </si>
  <si>
    <t>D-05-04-E05</t>
  </si>
  <si>
    <t>LEV. CRISTAL RR RH</t>
  </si>
  <si>
    <t>698040221000</t>
  </si>
  <si>
    <t>D-05-04-E04</t>
  </si>
  <si>
    <t>698020K16000</t>
  </si>
  <si>
    <t>D-08-04-B01</t>
  </si>
  <si>
    <t>698010K16000</t>
  </si>
  <si>
    <t>D-08-04-B02</t>
  </si>
  <si>
    <t>697600K03000</t>
  </si>
  <si>
    <t>E-06-00-D05</t>
  </si>
  <si>
    <t>CLIPS PLASTICO</t>
  </si>
  <si>
    <t>697590K03000</t>
  </si>
  <si>
    <t>E-06-01-F03</t>
  </si>
  <si>
    <t>CABLE APERTURA PUERTA</t>
  </si>
  <si>
    <t>697500K17000</t>
  </si>
  <si>
    <t>D-05-05-D09</t>
  </si>
  <si>
    <t>697100K17000</t>
  </si>
  <si>
    <t>D-05-05-D04</t>
  </si>
  <si>
    <t>LLAVE S TALLAR</t>
  </si>
  <si>
    <t>695153310000</t>
  </si>
  <si>
    <t>D-17-02-D08</t>
  </si>
  <si>
    <t>LLAVE VIRGEN COMUN</t>
  </si>
  <si>
    <t>695150K13000</t>
  </si>
  <si>
    <t>D-17-01-C05</t>
  </si>
  <si>
    <t>TRABA CERRADURA PUERTAS</t>
  </si>
  <si>
    <t>695111603000</t>
  </si>
  <si>
    <t>D-17-00-F05</t>
  </si>
  <si>
    <t>PLACA CERRADURA</t>
  </si>
  <si>
    <t>694100D05000</t>
  </si>
  <si>
    <t>D-18-00-D07</t>
  </si>
  <si>
    <t>CONJ.CERRADURA PTA. RR RH</t>
  </si>
  <si>
    <t>693300K08000</t>
  </si>
  <si>
    <t>D-06-01-D03</t>
  </si>
  <si>
    <t>CERR. PTA. IZQ.</t>
  </si>
  <si>
    <t>693200K05000</t>
  </si>
  <si>
    <t>D-08-01-D02</t>
  </si>
  <si>
    <t>CONJ. CIERRE PUERTA</t>
  </si>
  <si>
    <t>693100K05000</t>
  </si>
  <si>
    <t>D-08-02-H07</t>
  </si>
  <si>
    <t>MANIJA REG.VIDRIO PTA.</t>
  </si>
  <si>
    <t>692600K010B1</t>
  </si>
  <si>
    <t>D-17-01-H03</t>
  </si>
  <si>
    <t>JUNTA MANIJA</t>
  </si>
  <si>
    <t>692410214000</t>
  </si>
  <si>
    <t>D-17-01-E03</t>
  </si>
  <si>
    <t>TAPA MANIJA RH.</t>
  </si>
  <si>
    <t>692270K25000</t>
  </si>
  <si>
    <t>D-17-02-D09</t>
  </si>
  <si>
    <t>CUBIERTA MANIJA</t>
  </si>
  <si>
    <t>692270213000</t>
  </si>
  <si>
    <t>D-17-01-E02</t>
  </si>
  <si>
    <t>TAPA MANIJA</t>
  </si>
  <si>
    <t>692170212000</t>
  </si>
  <si>
    <t>MANIJA EXT PUERTA RH</t>
  </si>
  <si>
    <t>692110293000</t>
  </si>
  <si>
    <t>D-18-00-H02</t>
  </si>
  <si>
    <t>MANIJA INT.</t>
  </si>
  <si>
    <t>6920612200B5</t>
  </si>
  <si>
    <t>D-17-01-A08</t>
  </si>
  <si>
    <t>6920512200B5</t>
  </si>
  <si>
    <t>D-17-00-D04</t>
  </si>
  <si>
    <t>MANIJA PUERTA INT. RH</t>
  </si>
  <si>
    <t>692050K140C1</t>
  </si>
  <si>
    <t>MANIJA EXTERIOR DER</t>
  </si>
  <si>
    <t>692020202000</t>
  </si>
  <si>
    <t>D-07-00-E09</t>
  </si>
  <si>
    <t>692010203000</t>
  </si>
  <si>
    <t>D-18-02-A06</t>
  </si>
  <si>
    <t>CILINDRO &amp; SET LLAVES ARR</t>
  </si>
  <si>
    <t>6905702B5000</t>
  </si>
  <si>
    <t>D-17-01-D07</t>
  </si>
  <si>
    <t>CERRADURA DE BAUL</t>
  </si>
  <si>
    <t>690550223000</t>
  </si>
  <si>
    <t>D-17-01-B02</t>
  </si>
  <si>
    <t>CILINDRO Y LLAVE</t>
  </si>
  <si>
    <t>690520K01000</t>
  </si>
  <si>
    <t>D-17-01-E05</t>
  </si>
  <si>
    <t>JGO. CERRADURA</t>
  </si>
  <si>
    <t>690510K01100</t>
  </si>
  <si>
    <t>D-17-01-B01</t>
  </si>
  <si>
    <t>MECANISMO CIERRE</t>
  </si>
  <si>
    <t>690501309000</t>
  </si>
  <si>
    <t>D-21-00-G01</t>
  </si>
  <si>
    <t>CERRADURA PTA.W/MOT.FR LH</t>
  </si>
  <si>
    <t>690400D37000</t>
  </si>
  <si>
    <t>D-05-02-F04</t>
  </si>
  <si>
    <t>TORNILLO PORTON</t>
  </si>
  <si>
    <t>689653501000</t>
  </si>
  <si>
    <t>D-18-02-K04</t>
  </si>
  <si>
    <t>689650K02000</t>
  </si>
  <si>
    <t>D-18-02-D05</t>
  </si>
  <si>
    <t>STAY ASSY, BACK DOOR, LH</t>
  </si>
  <si>
    <t>689600A11000</t>
  </si>
  <si>
    <t>E-06-01-B01</t>
  </si>
  <si>
    <t>689470K03000</t>
  </si>
  <si>
    <t>D-17-02-E08</t>
  </si>
  <si>
    <t>COBERTOR PTA TRASERA</t>
  </si>
  <si>
    <t>68895V3010A0</t>
  </si>
  <si>
    <t>HINGE SUB-ASSY, BACK DOOR</t>
  </si>
  <si>
    <t>688010D15000</t>
  </si>
  <si>
    <t>BISAGRA PUERTA</t>
  </si>
  <si>
    <t>687405201000</t>
  </si>
  <si>
    <t>D-20-01-E02</t>
  </si>
  <si>
    <t>687400K05000</t>
  </si>
  <si>
    <t>D-16-00-E01</t>
  </si>
  <si>
    <t>687300K05000</t>
  </si>
  <si>
    <t>D-16-01-E04</t>
  </si>
  <si>
    <t>687101215100</t>
  </si>
  <si>
    <t>D-18-02-C03</t>
  </si>
  <si>
    <t>687100K01000</t>
  </si>
  <si>
    <t>D-16-01-A08</t>
  </si>
  <si>
    <t>RIENDA PUERTA TRAS.</t>
  </si>
  <si>
    <t>686300K10000</t>
  </si>
  <si>
    <t>D-21-02-G07</t>
  </si>
  <si>
    <t>RIENDA PUERTA FR.</t>
  </si>
  <si>
    <t>686100K10000</t>
  </si>
  <si>
    <t>D-21-02-D07</t>
  </si>
  <si>
    <t>RIENDA PUERTA</t>
  </si>
  <si>
    <t>686100231000</t>
  </si>
  <si>
    <t>D-17-01-B09</t>
  </si>
  <si>
    <t>COLISA DE GOMA</t>
  </si>
  <si>
    <t>681720220000</t>
  </si>
  <si>
    <t>COLISA DE PUERTA</t>
  </si>
  <si>
    <t>681710221000</t>
  </si>
  <si>
    <t>H-01-10-B08</t>
  </si>
  <si>
    <t>681620K02000</t>
  </si>
  <si>
    <t>H-01-10-C03</t>
  </si>
  <si>
    <t>WEATHERSTRIP ASSY, FR DOOR GLASS, OUT RH</t>
  </si>
  <si>
    <t>681600D34000</t>
  </si>
  <si>
    <t>H-01-10-C06</t>
  </si>
  <si>
    <t>BURLETE VIDRIO PTA. FR RH</t>
  </si>
  <si>
    <t>681600D20000</t>
  </si>
  <si>
    <t>H-01-10-D05</t>
  </si>
  <si>
    <t>COLISA DE GOMA FR LH</t>
  </si>
  <si>
    <t>681510K12000</t>
  </si>
  <si>
    <t>D-03-02-A01</t>
  </si>
  <si>
    <t>CRISTAL PTA. RR LH</t>
  </si>
  <si>
    <t>681400D29000</t>
  </si>
  <si>
    <t>H-01-01-C10</t>
  </si>
  <si>
    <t>CRISTAL PTA TRAS DER</t>
  </si>
  <si>
    <t>681300D51000</t>
  </si>
  <si>
    <t>H-01-01-B12</t>
  </si>
  <si>
    <t>CRISTAL PTA. RR RH</t>
  </si>
  <si>
    <t>681300D29000</t>
  </si>
  <si>
    <t>H-01-01-C08</t>
  </si>
  <si>
    <t>CRISTAL VENTILETE</t>
  </si>
  <si>
    <t>681244211000</t>
  </si>
  <si>
    <t>H-01-10-A05</t>
  </si>
  <si>
    <t>CRISTAL VENTILETE IZQ</t>
  </si>
  <si>
    <t>681240D37000</t>
  </si>
  <si>
    <t>D-15-02-A05</t>
  </si>
  <si>
    <t>681234210000</t>
  </si>
  <si>
    <t>D-15-02-B05</t>
  </si>
  <si>
    <t>CRISTAL VENTILETE DER</t>
  </si>
  <si>
    <t>681230D37000</t>
  </si>
  <si>
    <t>D-15-02-A02</t>
  </si>
  <si>
    <t>681230A08100</t>
  </si>
  <si>
    <t>D-14-03-D04</t>
  </si>
  <si>
    <t>681230242000</t>
  </si>
  <si>
    <t>D-15-02-A01</t>
  </si>
  <si>
    <t>CRISTAL PUERTA FR LH</t>
  </si>
  <si>
    <t>681200D24100</t>
  </si>
  <si>
    <t>H-01-01-B04</t>
  </si>
  <si>
    <t>CRISTAL PUERTA</t>
  </si>
  <si>
    <t>681138990000</t>
  </si>
  <si>
    <t>H-01-01-C02</t>
  </si>
  <si>
    <t>CRISTAL PUERTA FR RH</t>
  </si>
  <si>
    <t>681100D24100</t>
  </si>
  <si>
    <t>H-01-01-C07</t>
  </si>
  <si>
    <t>CRISTAL PORTON TRAS.</t>
  </si>
  <si>
    <t>681050D36100</t>
  </si>
  <si>
    <t>H-01-01-B11</t>
  </si>
  <si>
    <t>681050D17000</t>
  </si>
  <si>
    <t>H-01-01-B10</t>
  </si>
  <si>
    <t>681040227100</t>
  </si>
  <si>
    <t>H-01-01-C01</t>
  </si>
  <si>
    <t>681030K10000</t>
  </si>
  <si>
    <t>H-01-01-C03</t>
  </si>
  <si>
    <t>CRISTAL PTA.TR.DER.</t>
  </si>
  <si>
    <t>681030227100</t>
  </si>
  <si>
    <t>H-01-01-B07</t>
  </si>
  <si>
    <t>CRISTAL PTA. FR LH</t>
  </si>
  <si>
    <t>681024219000</t>
  </si>
  <si>
    <t>H-01-01-C06</t>
  </si>
  <si>
    <t>681020249000</t>
  </si>
  <si>
    <t>H-01-01-B03</t>
  </si>
  <si>
    <t>BURLETE PORTON TRASERO</t>
  </si>
  <si>
    <t>678810D20100</t>
  </si>
  <si>
    <t>H-01-06-B12</t>
  </si>
  <si>
    <t>BURLETE DE GOMA</t>
  </si>
  <si>
    <t>678721250000</t>
  </si>
  <si>
    <t>H-01-10-D04</t>
  </si>
  <si>
    <t>678720227000</t>
  </si>
  <si>
    <t>D-05-06-A07</t>
  </si>
  <si>
    <t>67871V302000</t>
  </si>
  <si>
    <t>H-02-09-F01</t>
  </si>
  <si>
    <t>BURLETE PUERTA RR. RH.</t>
  </si>
  <si>
    <t>678710K12000</t>
  </si>
  <si>
    <t>D-08-03-E06</t>
  </si>
  <si>
    <t>678710A04000</t>
  </si>
  <si>
    <t>D-08-03-E05</t>
  </si>
  <si>
    <t>678671215000</t>
  </si>
  <si>
    <t>D-19-01-H03</t>
  </si>
  <si>
    <t>CANALETA AGUA</t>
  </si>
  <si>
    <t>678630A03000</t>
  </si>
  <si>
    <t>D-08-03-D01</t>
  </si>
  <si>
    <t>BURLETE PTA.FR.LH</t>
  </si>
  <si>
    <t>678620K16100</t>
  </si>
  <si>
    <t>E-06-03-A01</t>
  </si>
  <si>
    <t>BURLETE DE GOMA PUERTA LH</t>
  </si>
  <si>
    <t>678620230000</t>
  </si>
  <si>
    <t>D-05-05-C05</t>
  </si>
  <si>
    <t>678620224000</t>
  </si>
  <si>
    <t>D-08-03-E03</t>
  </si>
  <si>
    <t>BURLETE PTA. DEL. RH</t>
  </si>
  <si>
    <t>678614210000</t>
  </si>
  <si>
    <t>D-05-06-A02</t>
  </si>
  <si>
    <t>678610K10000</t>
  </si>
  <si>
    <t>D-05-06-A01</t>
  </si>
  <si>
    <t>FUELLE DE GOMA</t>
  </si>
  <si>
    <t>678370K12100</t>
  </si>
  <si>
    <t>SELLO PUERTA</t>
  </si>
  <si>
    <t>678370K09100</t>
  </si>
  <si>
    <t>D-16-01-D02</t>
  </si>
  <si>
    <t>FUELLE DE GOMA RH</t>
  </si>
  <si>
    <t>678370207000</t>
  </si>
  <si>
    <t>D-17-01-F09</t>
  </si>
  <si>
    <t>TAPIZADO DE PUERTA</t>
  </si>
  <si>
    <t>6762002N20B1</t>
  </si>
  <si>
    <t>H-02-05-M02</t>
  </si>
  <si>
    <t>SOPORTE ESPEJO</t>
  </si>
  <si>
    <t>674968910200</t>
  </si>
  <si>
    <t>D-08-01-E05</t>
  </si>
  <si>
    <t>TAPA ESPEJO PTA.FR LH</t>
  </si>
  <si>
    <t>67492KK02000</t>
  </si>
  <si>
    <t>D-07-01-E03</t>
  </si>
  <si>
    <t>TAPA ESPEJO</t>
  </si>
  <si>
    <t>674910235000</t>
  </si>
  <si>
    <t>D-08-01-E06</t>
  </si>
  <si>
    <t>674910218000</t>
  </si>
  <si>
    <t>D-08-01-E04</t>
  </si>
  <si>
    <t>PARANTE PUERTA TRASERA</t>
  </si>
  <si>
    <t>674080A01000</t>
  </si>
  <si>
    <t>D-07-00-F09</t>
  </si>
  <si>
    <t>GUIA DE PUERTA</t>
  </si>
  <si>
    <t>674070K01000</t>
  </si>
  <si>
    <t>H-01-10-A01</t>
  </si>
  <si>
    <t>TOPE</t>
  </si>
  <si>
    <t>672824601000</t>
  </si>
  <si>
    <t>PANEL PUERTA TRAS. IZQ.</t>
  </si>
  <si>
    <t>67114KK01000</t>
  </si>
  <si>
    <t>H-02-04-B04</t>
  </si>
  <si>
    <t>PANEL PUERTA DEL. IZQ.</t>
  </si>
  <si>
    <t>67112KK01000</t>
  </si>
  <si>
    <t>H-02-02-B06</t>
  </si>
  <si>
    <t>PANEL SUB-ASSY, BACK DOOR</t>
  </si>
  <si>
    <t>670050D73000</t>
  </si>
  <si>
    <t>H-02-04-B05</t>
  </si>
  <si>
    <t>H-02-04-A01</t>
  </si>
  <si>
    <t>TOPE LAT PORTON TRAS.</t>
  </si>
  <si>
    <t>663240K02000</t>
  </si>
  <si>
    <t>D-16-01-B04</t>
  </si>
  <si>
    <t>GANCHO</t>
  </si>
  <si>
    <t>661530K02000</t>
  </si>
  <si>
    <t>D-20-01-L07</t>
  </si>
  <si>
    <t>PANEL INT.GUARD.LAT. RH.</t>
  </si>
  <si>
    <t>65826KK90100</t>
  </si>
  <si>
    <t>H-02-08-A02</t>
  </si>
  <si>
    <t>PANEL, RR BODY, SIDE LH</t>
  </si>
  <si>
    <t>65817YP01000</t>
  </si>
  <si>
    <t>H-02-03-A05</t>
  </si>
  <si>
    <t>PANEL LATERAL CAJA DER.</t>
  </si>
  <si>
    <t>65816YP01000</t>
  </si>
  <si>
    <t>CERRADURA TRAS. LH</t>
  </si>
  <si>
    <t>657900K02000</t>
  </si>
  <si>
    <t>D-17-01-A03</t>
  </si>
  <si>
    <t>CERRADURA</t>
  </si>
  <si>
    <t>657900K01000</t>
  </si>
  <si>
    <t>D-17-00-A02</t>
  </si>
  <si>
    <t>CERRADURA TRAS. RH</t>
  </si>
  <si>
    <t>657800K02000</t>
  </si>
  <si>
    <t>D-17-01-C08</t>
  </si>
  <si>
    <t>657800K01000</t>
  </si>
  <si>
    <t>D-17-00-B07</t>
  </si>
  <si>
    <t>REGISTRO PORTON</t>
  </si>
  <si>
    <t>657700K03000</t>
  </si>
  <si>
    <t>D-21-01-G01</t>
  </si>
  <si>
    <t>657700K01000</t>
  </si>
  <si>
    <t>D-05-04-B04</t>
  </si>
  <si>
    <t>TRABA</t>
  </si>
  <si>
    <t>657680K01000</t>
  </si>
  <si>
    <t>D-17-00-A05</t>
  </si>
  <si>
    <t>PAD REFUERZO PANEL TRAS.</t>
  </si>
  <si>
    <t>657430K02000</t>
  </si>
  <si>
    <t>D-17-02-C06</t>
  </si>
  <si>
    <t>GUARDAPLAST RR LH</t>
  </si>
  <si>
    <t>656380K12000</t>
  </si>
  <si>
    <t>E-07-00-A10</t>
  </si>
  <si>
    <t>GUARDAPLAST RR RH</t>
  </si>
  <si>
    <t>656370K13000</t>
  </si>
  <si>
    <t>E-07-01-A07</t>
  </si>
  <si>
    <t>GUARDAPLAST</t>
  </si>
  <si>
    <t>656370K01000</t>
  </si>
  <si>
    <t>E-10-01-A01</t>
  </si>
  <si>
    <t>PROTECTOR CABINA</t>
  </si>
  <si>
    <t>65470KK07000</t>
  </si>
  <si>
    <t>H-02-04-A08</t>
  </si>
  <si>
    <t>GLASS SUB-ASSY, BACK WIND</t>
  </si>
  <si>
    <t>648010k18100</t>
  </si>
  <si>
    <t>H-01-01-B05</t>
  </si>
  <si>
    <t>648010K17000</t>
  </si>
  <si>
    <t>H-01-01-B01</t>
  </si>
  <si>
    <t>648010D31000</t>
  </si>
  <si>
    <t>H-02-01-B05</t>
  </si>
  <si>
    <t>648010D09000</t>
  </si>
  <si>
    <t>E-01-01-A07</t>
  </si>
  <si>
    <t>BUJE GOMA COBER.PISO BAUL</t>
  </si>
  <si>
    <t>647864701000</t>
  </si>
  <si>
    <t>D-19-00-D08</t>
  </si>
  <si>
    <t>CENTRO TAPA</t>
  </si>
  <si>
    <t>647734202000</t>
  </si>
  <si>
    <t>E-06-01-G03</t>
  </si>
  <si>
    <t>TAPA RUEDA AUXILIO</t>
  </si>
  <si>
    <t>647714208000</t>
  </si>
  <si>
    <t>E-06-02-A07</t>
  </si>
  <si>
    <t>TAPA TAPIZADO</t>
  </si>
  <si>
    <t>6473542020B0</t>
  </si>
  <si>
    <t>D-05-05-C02</t>
  </si>
  <si>
    <t>TRABA CIERRE BAUL</t>
  </si>
  <si>
    <t>646210D03000</t>
  </si>
  <si>
    <t>D-18-02-B06</t>
  </si>
  <si>
    <t>CABLE APERTURA BAUL</t>
  </si>
  <si>
    <t>646070D16000</t>
  </si>
  <si>
    <t>D-05-04-C05</t>
  </si>
  <si>
    <t>PANEL INT. BAUL</t>
  </si>
  <si>
    <t>643300D211C0</t>
  </si>
  <si>
    <t>H-02-05-K03</t>
  </si>
  <si>
    <t>SOPORTE CORTINA</t>
  </si>
  <si>
    <t>6423242010B0</t>
  </si>
  <si>
    <t>E-06-01-G02</t>
  </si>
  <si>
    <t>6423142010B0</t>
  </si>
  <si>
    <t>SOPORTE VARILLA</t>
  </si>
  <si>
    <t>641273307100</t>
  </si>
  <si>
    <t>D-17-02-C05</t>
  </si>
  <si>
    <t>641273304100</t>
  </si>
  <si>
    <t>D-17-02-D02</t>
  </si>
  <si>
    <t>REJILLA ENTRADA AIRE RH</t>
  </si>
  <si>
    <t>62930AR01200</t>
  </si>
  <si>
    <t>D-21-00-F03</t>
  </si>
  <si>
    <t>TAPIZADO PARANTE</t>
  </si>
  <si>
    <t>624140K031B0</t>
  </si>
  <si>
    <t>H-02-08-B10</t>
  </si>
  <si>
    <t>TAPIZADO PARANTE CTR RH</t>
  </si>
  <si>
    <t>6241302320C0</t>
  </si>
  <si>
    <t>H-02-06-C05</t>
  </si>
  <si>
    <t>624120K080B1</t>
  </si>
  <si>
    <t>6241002300B1</t>
  </si>
  <si>
    <t>D-15-00-B05</t>
  </si>
  <si>
    <t>623810D03000</t>
  </si>
  <si>
    <t>D-07-00-F08</t>
  </si>
  <si>
    <t>BURLETE PUERTA TRAS. IZQ.</t>
  </si>
  <si>
    <t>623320K17000</t>
  </si>
  <si>
    <t>D-08-03-E02</t>
  </si>
  <si>
    <t>BURLETE PUERTA</t>
  </si>
  <si>
    <t>6233202231E0</t>
  </si>
  <si>
    <t>E-06-03-A04</t>
  </si>
  <si>
    <t>BURLETE PUERTA TRAS. RH.</t>
  </si>
  <si>
    <t>623310K17000</t>
  </si>
  <si>
    <t>D-08-03-E04</t>
  </si>
  <si>
    <t>6233102231E0</t>
  </si>
  <si>
    <t>H-01-06-B07</t>
  </si>
  <si>
    <t>BURLETE AISLANTE</t>
  </si>
  <si>
    <t>6233102231B0</t>
  </si>
  <si>
    <t>H-01-06-B08</t>
  </si>
  <si>
    <t>PROTECTOR, DOOR OPENING TRIM</t>
  </si>
  <si>
    <t>623196004000</t>
  </si>
  <si>
    <t>D-17-02-D03</t>
  </si>
  <si>
    <t>MOLDURA PUERTA FR LH</t>
  </si>
  <si>
    <t>623140K05000</t>
  </si>
  <si>
    <t>E-06-03-A03</t>
  </si>
  <si>
    <t>623110A03000</t>
  </si>
  <si>
    <t>H-01-06-C06</t>
  </si>
  <si>
    <t>AIR BAG DE CORTINA LH</t>
  </si>
  <si>
    <t>621800K10000</t>
  </si>
  <si>
    <t>H-01-09-B08</t>
  </si>
  <si>
    <t>UNION MOLDURA</t>
  </si>
  <si>
    <t>617830K101B0</t>
  </si>
  <si>
    <t>D-19-01-B02</t>
  </si>
  <si>
    <t>BOCA LLENADO COMB.</t>
  </si>
  <si>
    <t>617250K01000</t>
  </si>
  <si>
    <t>D-06-01-E03</t>
  </si>
  <si>
    <t>EXT.GUARD.TRAS.DER.</t>
  </si>
  <si>
    <t>616810K92700</t>
  </si>
  <si>
    <t>H-02-07-C08</t>
  </si>
  <si>
    <t>SOPORTE PORTON TRAS. RH</t>
  </si>
  <si>
    <t>616210290300</t>
  </si>
  <si>
    <t>H-02-07-B04</t>
  </si>
  <si>
    <t>GUARDABARRO TRAS.DER</t>
  </si>
  <si>
    <t>61601KK01000</t>
  </si>
  <si>
    <t>H-02-03-A01</t>
  </si>
  <si>
    <t>GUARDABARRO RR RH</t>
  </si>
  <si>
    <t>616014210000</t>
  </si>
  <si>
    <t>H-02-04-B02</t>
  </si>
  <si>
    <t>REFUERZO</t>
  </si>
  <si>
    <t>614030K01000</t>
  </si>
  <si>
    <t>H-02-08-B07</t>
  </si>
  <si>
    <t>REFUERZO ZOCALO PISO RH</t>
  </si>
  <si>
    <t>614030290000</t>
  </si>
  <si>
    <t>H-02-08-A01</t>
  </si>
  <si>
    <t>RIEL DE TECHO</t>
  </si>
  <si>
    <t>612310K01100</t>
  </si>
  <si>
    <t>H-02-07-B02</t>
  </si>
  <si>
    <t>RIEL DE TECHO RH</t>
  </si>
  <si>
    <t>612110216000</t>
  </si>
  <si>
    <t>H-02-07-C07</t>
  </si>
  <si>
    <t>612100K01000</t>
  </si>
  <si>
    <t>H-02-07-B01</t>
  </si>
  <si>
    <t>PILAR EXT. PUERTA DEL.</t>
  </si>
  <si>
    <t>611310224000</t>
  </si>
  <si>
    <t>H-02-04-A07</t>
  </si>
  <si>
    <t>OVERFENDER TRS DER</t>
  </si>
  <si>
    <t>610613501000</t>
  </si>
  <si>
    <t>E-06-00-F05</t>
  </si>
  <si>
    <t>5W-30 VALVONINE 205L</t>
  </si>
  <si>
    <t>5W30VALV</t>
  </si>
  <si>
    <t>L-00-01-A02</t>
  </si>
  <si>
    <t>SILENCIADOR CONSOLA NO.2</t>
  </si>
  <si>
    <t>588377101000</t>
  </si>
  <si>
    <t>D-05-04-B06</t>
  </si>
  <si>
    <t>CONSOLA DELANTERA</t>
  </si>
  <si>
    <t>5880234012BA</t>
  </si>
  <si>
    <t>D-08-02-H01</t>
  </si>
  <si>
    <t>TAPA PARAGOLPES</t>
  </si>
  <si>
    <t>587666001000</t>
  </si>
  <si>
    <t>E-06-01-I05</t>
  </si>
  <si>
    <t>GANCHO ALFOMBRA PISO</t>
  </si>
  <si>
    <t>585210K03000</t>
  </si>
  <si>
    <t>D-17-02-G06</t>
  </si>
  <si>
    <t>CUBRE ALFOMBRA SW4</t>
  </si>
  <si>
    <t>58510YY88000</t>
  </si>
  <si>
    <t>ALFOMBRA DE PISO C/S</t>
  </si>
  <si>
    <t>58510YY621B0</t>
  </si>
  <si>
    <t>H-02-10-J03</t>
  </si>
  <si>
    <t>CUBREALF.STD GRIS</t>
  </si>
  <si>
    <t>58510YY540B0</t>
  </si>
  <si>
    <t>H-02-09-A01</t>
  </si>
  <si>
    <t>AISLADOR PISO</t>
  </si>
  <si>
    <t>583270231000</t>
  </si>
  <si>
    <t>H-02-07-B12</t>
  </si>
  <si>
    <t>PANEL SUB-ASSY, BODY LWR BACK</t>
  </si>
  <si>
    <t>583070D44000</t>
  </si>
  <si>
    <t>TAPA</t>
  </si>
  <si>
    <t>582270K03100</t>
  </si>
  <si>
    <t>D-18-00-D01</t>
  </si>
  <si>
    <t>TRAVESANO</t>
  </si>
  <si>
    <t>576050K01000</t>
  </si>
  <si>
    <t>H-02-07-A07</t>
  </si>
  <si>
    <t>561180K01000</t>
  </si>
  <si>
    <t>D-08-01-H01</t>
  </si>
  <si>
    <t>BURLETE PARABRISAS</t>
  </si>
  <si>
    <t>56117KK06000</t>
  </si>
  <si>
    <t>D-08-03-C03</t>
  </si>
  <si>
    <t>56117KK03000</t>
  </si>
  <si>
    <t>D-08-02-E05</t>
  </si>
  <si>
    <t>561175301000</t>
  </si>
  <si>
    <t>D-05-04-A05</t>
  </si>
  <si>
    <t>ADHESIVO VIDRIO TRAS</t>
  </si>
  <si>
    <t>561175014000</t>
  </si>
  <si>
    <t>D-06-01-F05</t>
  </si>
  <si>
    <t>561175013000</t>
  </si>
  <si>
    <t>D-06-01-F03</t>
  </si>
  <si>
    <t>561170K01000</t>
  </si>
  <si>
    <t>D-08-03-C04</t>
  </si>
  <si>
    <t>ESPACIADOR PLASTICO</t>
  </si>
  <si>
    <t>561162205000</t>
  </si>
  <si>
    <t>D-19-01-A08</t>
  </si>
  <si>
    <t>561160202000</t>
  </si>
  <si>
    <t>D-19-01-F08</t>
  </si>
  <si>
    <t>561114202000</t>
  </si>
  <si>
    <t>E-01-01-A06</t>
  </si>
  <si>
    <t>GLASS, WINDSHIELD</t>
  </si>
  <si>
    <t>561112634100</t>
  </si>
  <si>
    <t>H-02-02-A07</t>
  </si>
  <si>
    <t>561014290000</t>
  </si>
  <si>
    <t>H-02-00-B01</t>
  </si>
  <si>
    <t>561014213500</t>
  </si>
  <si>
    <t>E-01-00-A02</t>
  </si>
  <si>
    <t>561014204000</t>
  </si>
  <si>
    <t>H-02-02-A01</t>
  </si>
  <si>
    <t>PARABRISA C/ANTE C/SENSOR</t>
  </si>
  <si>
    <t>561010KL5000</t>
  </si>
  <si>
    <t>H-02-01-B07</t>
  </si>
  <si>
    <t>561010KL4000</t>
  </si>
  <si>
    <t>H-02-02-A04</t>
  </si>
  <si>
    <t>561010KL3000</t>
  </si>
  <si>
    <t>H-02-01-A01</t>
  </si>
  <si>
    <t>561010K51000</t>
  </si>
  <si>
    <t>H-02-01-B03</t>
  </si>
  <si>
    <t>561010K07100</t>
  </si>
  <si>
    <t>H-02-01-A05</t>
  </si>
  <si>
    <t>561010DD8000</t>
  </si>
  <si>
    <t>H-02-01-B01</t>
  </si>
  <si>
    <t>561010D76100</t>
  </si>
  <si>
    <t>H-02-00-A06</t>
  </si>
  <si>
    <t>561010D10100</t>
  </si>
  <si>
    <t>H-02-01-A03</t>
  </si>
  <si>
    <t>561010A93100</t>
  </si>
  <si>
    <t>H-02-01-A04</t>
  </si>
  <si>
    <t>CRISTAL PARABRISAS C/SAFETY SENSE</t>
  </si>
  <si>
    <t>561010A91700</t>
  </si>
  <si>
    <t>H-02-02-A05</t>
  </si>
  <si>
    <t>561010A91400</t>
  </si>
  <si>
    <t>E-01-00-A01</t>
  </si>
  <si>
    <t>5610102Y8000</t>
  </si>
  <si>
    <t>H-02-01-B06</t>
  </si>
  <si>
    <t>GLASS SUB-ASSY, WINDSHIEL</t>
  </si>
  <si>
    <t>5610102Y7100</t>
  </si>
  <si>
    <t>H-02-00-A00</t>
  </si>
  <si>
    <t>PARABRISAS</t>
  </si>
  <si>
    <t>5610102F7000</t>
  </si>
  <si>
    <t>E-01-00-A06</t>
  </si>
  <si>
    <t>PARABRISA COROLLA 14  -</t>
  </si>
  <si>
    <t>5610102F6000</t>
  </si>
  <si>
    <t>E-01-00-A05</t>
  </si>
  <si>
    <t>5610102A5100</t>
  </si>
  <si>
    <t>E-01-01-A02</t>
  </si>
  <si>
    <t>CABLE CONTROL DER (frio calor)</t>
  </si>
  <si>
    <t>559090K01000</t>
  </si>
  <si>
    <t>D-05-04-E10</t>
  </si>
  <si>
    <t>CABLE CTRL A/A negro</t>
  </si>
  <si>
    <t>559090D08000</t>
  </si>
  <si>
    <t>D-05-04-B05</t>
  </si>
  <si>
    <t>CABLE CONTROL</t>
  </si>
  <si>
    <t>559080K11000</t>
  </si>
  <si>
    <t>D-05-04-D09</t>
  </si>
  <si>
    <t>CABLE CONTROL (MEDIO)</t>
  </si>
  <si>
    <t>559080K05000</t>
  </si>
  <si>
    <t>D-05-02-E02</t>
  </si>
  <si>
    <t>CABLE CONTROL CALEF. IZQ.</t>
  </si>
  <si>
    <t>559060K01000</t>
  </si>
  <si>
    <t>D-05-04-D04</t>
  </si>
  <si>
    <t>PERILLA CONTROL AIRE</t>
  </si>
  <si>
    <t>559050K27000</t>
  </si>
  <si>
    <t>PERILLA CONTROL</t>
  </si>
  <si>
    <t>559050K01100</t>
  </si>
  <si>
    <t>D-19-01-K03</t>
  </si>
  <si>
    <t>559050505000</t>
  </si>
  <si>
    <t>PROTECTOR VENTILADOR NO.2</t>
  </si>
  <si>
    <t>557850K04000</t>
  </si>
  <si>
    <t>D-07-00-E04</t>
  </si>
  <si>
    <t>PROTECTOR VENTILADOR</t>
  </si>
  <si>
    <t>557830K12000</t>
  </si>
  <si>
    <t>D-06-01-D06</t>
  </si>
  <si>
    <t>CUBRE MOTOR</t>
  </si>
  <si>
    <t>557340D03000</t>
  </si>
  <si>
    <t>D-06-01-D04</t>
  </si>
  <si>
    <t>REJILLA VENT TABLERO</t>
  </si>
  <si>
    <t>556600K051B0</t>
  </si>
  <si>
    <t>D-08-01-F01</t>
  </si>
  <si>
    <t>POSAVASOS</t>
  </si>
  <si>
    <t>556040K010E1</t>
  </si>
  <si>
    <t>D-18-01-C05</t>
  </si>
  <si>
    <t>556040K010C0</t>
  </si>
  <si>
    <t>D-07-00-F06</t>
  </si>
  <si>
    <t>TAPA CONTR.ESPEJ.ELE</t>
  </si>
  <si>
    <t>555576005000</t>
  </si>
  <si>
    <t>D-17-00-C06</t>
  </si>
  <si>
    <t>TAPA GUANTERA</t>
  </si>
  <si>
    <t>555500K010B0</t>
  </si>
  <si>
    <t>D-15-00-B01</t>
  </si>
  <si>
    <t>CUBIERTA ORIFICIO</t>
  </si>
  <si>
    <t>5553952060B1</t>
  </si>
  <si>
    <t>D-17-01-B06</t>
  </si>
  <si>
    <t>TAPA CONSOLA</t>
  </si>
  <si>
    <t>55531KK03000</t>
  </si>
  <si>
    <t>D-17-01-G09</t>
  </si>
  <si>
    <t>PUERTA PANEL INSTRUMENTOS</t>
  </si>
  <si>
    <t>554420501000</t>
  </si>
  <si>
    <t>D-08-02-G03</t>
  </si>
  <si>
    <t>PANEL INSTRUMENTO</t>
  </si>
  <si>
    <t>554130K060B0</t>
  </si>
  <si>
    <t>E-06-00-A05</t>
  </si>
  <si>
    <t>PANEL CTRL.INSTR.</t>
  </si>
  <si>
    <t>554100D15000</t>
  </si>
  <si>
    <t>D-15-03-B02</t>
  </si>
  <si>
    <t>FRENTE TABLERO</t>
  </si>
  <si>
    <t>554050D86000</t>
  </si>
  <si>
    <t>D-08-02-F03</t>
  </si>
  <si>
    <t>EXTENSION</t>
  </si>
  <si>
    <t>53908KK01000</t>
  </si>
  <si>
    <t>D-08-02-F01</t>
  </si>
  <si>
    <t>TRAVESAÐO</t>
  </si>
  <si>
    <t>539031209000</t>
  </si>
  <si>
    <t>H-01-09-D02</t>
  </si>
  <si>
    <t>SELLO GUARDABARRO</t>
  </si>
  <si>
    <t>538823306000</t>
  </si>
  <si>
    <t>D-19-00-D06</t>
  </si>
  <si>
    <t>SELLO GUARDABARRO FR</t>
  </si>
  <si>
    <t>538820K02000</t>
  </si>
  <si>
    <t>D-17-02-F04</t>
  </si>
  <si>
    <t>538795801000</t>
  </si>
  <si>
    <t>D-19-01-F02</t>
  </si>
  <si>
    <t>RETENEDOR</t>
  </si>
  <si>
    <t>538795002000</t>
  </si>
  <si>
    <t>538793502000</t>
  </si>
  <si>
    <t>E-06-01-H06</t>
  </si>
  <si>
    <t>RETENEDOR CAPOT</t>
  </si>
  <si>
    <t>538793303000</t>
  </si>
  <si>
    <t>SOPORTE DERECHO</t>
  </si>
  <si>
    <t>538783501000</t>
  </si>
  <si>
    <t>D-19-00-G02</t>
  </si>
  <si>
    <t>GUARDAPLAST DEL. IZQ.</t>
  </si>
  <si>
    <t>53876YP04000</t>
  </si>
  <si>
    <t>PASARRUEDA DEL IZQ</t>
  </si>
  <si>
    <t>538760D48000</t>
  </si>
  <si>
    <t>E-07-01-A02</t>
  </si>
  <si>
    <t>GURDAPLAST GUARDAB. FR LH</t>
  </si>
  <si>
    <t>538760D29000</t>
  </si>
  <si>
    <t>E-02-01-A04</t>
  </si>
  <si>
    <t>GUARDAPLAST DEL.IZQ.</t>
  </si>
  <si>
    <t>538760506100</t>
  </si>
  <si>
    <t>E-07-00-A05</t>
  </si>
  <si>
    <t>PASARRUEDA DEL.</t>
  </si>
  <si>
    <t>538754206400</t>
  </si>
  <si>
    <t>E-07-01-A04</t>
  </si>
  <si>
    <t>GUARDAPLAST DEL DER</t>
  </si>
  <si>
    <t>538750D65000</t>
  </si>
  <si>
    <t>E-02-01-A10</t>
  </si>
  <si>
    <t>PASARRUEDA DEL DER</t>
  </si>
  <si>
    <t>538750D48000</t>
  </si>
  <si>
    <t>E-07-01-A18</t>
  </si>
  <si>
    <t>GURDAPLAST GUARDAB. FR RH</t>
  </si>
  <si>
    <t>538750D29000</t>
  </si>
  <si>
    <t>E-07-00-C01</t>
  </si>
  <si>
    <t>538750A09000</t>
  </si>
  <si>
    <t>E-07-01-A06</t>
  </si>
  <si>
    <t>GUARDAPLAST DEL RH</t>
  </si>
  <si>
    <t>538750507000</t>
  </si>
  <si>
    <t>E-07-00-C04</t>
  </si>
  <si>
    <t>PASARUEDA</t>
  </si>
  <si>
    <t>538750240000</t>
  </si>
  <si>
    <t>E-07-01-C07</t>
  </si>
  <si>
    <t>RETENEDOR GUARDAB.</t>
  </si>
  <si>
    <t>538670K06000</t>
  </si>
  <si>
    <t>D-07-00-B04</t>
  </si>
  <si>
    <t>SOPORTE MOLDURA</t>
  </si>
  <si>
    <t>538662603000</t>
  </si>
  <si>
    <t>D-07-00-F01</t>
  </si>
  <si>
    <t>538660D12000</t>
  </si>
  <si>
    <t>D-07-01-F08</t>
  </si>
  <si>
    <t>BURLETE EXTENSION GUARDAB</t>
  </si>
  <si>
    <t>538520A03000</t>
  </si>
  <si>
    <t>D-08-02-G05</t>
  </si>
  <si>
    <t>538510K10000</t>
  </si>
  <si>
    <t>D-07-01-D03</t>
  </si>
  <si>
    <t>EXTENSION GUARDAB.</t>
  </si>
  <si>
    <t>538470K90800</t>
  </si>
  <si>
    <t>H-02-07-C04</t>
  </si>
  <si>
    <t>PROTECTOR</t>
  </si>
  <si>
    <t>538272602000</t>
  </si>
  <si>
    <t>H-02-05-C05</t>
  </si>
  <si>
    <t>538260225000</t>
  </si>
  <si>
    <t>D-08-01-F02</t>
  </si>
  <si>
    <t>GUARDABARRO DEL IZQ.</t>
  </si>
  <si>
    <t>53812KK03000</t>
  </si>
  <si>
    <t>H-02-02-B05</t>
  </si>
  <si>
    <t>GUARDABARRO IZQ. ETIOSCROSS</t>
  </si>
  <si>
    <t>538120D15000</t>
  </si>
  <si>
    <t>H-02-04-B10</t>
  </si>
  <si>
    <t>GUARDABARRO IZQ ETIOS XS-XLS-X</t>
  </si>
  <si>
    <t>538120D14000</t>
  </si>
  <si>
    <t>H-02-03-B08</t>
  </si>
  <si>
    <t>GUARDABARRO DEL IZQ</t>
  </si>
  <si>
    <t>538120226000</t>
  </si>
  <si>
    <t>H-02-02-B03</t>
  </si>
  <si>
    <t>GUARDABARRO DEL. DER.</t>
  </si>
  <si>
    <t>53811KK03000</t>
  </si>
  <si>
    <t>H-02-03-B04</t>
  </si>
  <si>
    <t>GUARDAB DEL.DER s/fender c/giro</t>
  </si>
  <si>
    <t>538110K08000</t>
  </si>
  <si>
    <t>H-02-03-B03</t>
  </si>
  <si>
    <t>GUARDABARRO FR RH</t>
  </si>
  <si>
    <t>538110D14000</t>
  </si>
  <si>
    <t>H-02-04-B08</t>
  </si>
  <si>
    <t>GUARDABARRO DEL.</t>
  </si>
  <si>
    <t>538110504000</t>
  </si>
  <si>
    <t>H-02-03-B07</t>
  </si>
  <si>
    <t>PROTECTOR SUP.GUARDAB.IZQ</t>
  </si>
  <si>
    <t>538080K16000</t>
  </si>
  <si>
    <t>D-07-00-D06</t>
  </si>
  <si>
    <t>538080K15000</t>
  </si>
  <si>
    <t>D-07-00-E02</t>
  </si>
  <si>
    <t>PROTECTOR GUARDAB.FR-IZQ.2018+</t>
  </si>
  <si>
    <t>SHIELD SUB-ASSY, FENDER SPLASH, FR LH</t>
  </si>
  <si>
    <t>538062601000</t>
  </si>
  <si>
    <t>E-07-01-A13</t>
  </si>
  <si>
    <t>PROTECTOR GUARDAB FRONTAL IZQUIERDO</t>
  </si>
  <si>
    <t>538060K34000</t>
  </si>
  <si>
    <t>E-07-00-A09</t>
  </si>
  <si>
    <t>538060K18000</t>
  </si>
  <si>
    <t>E-07-01-A03</t>
  </si>
  <si>
    <t>PROTECTOR GUARDABARRO</t>
  </si>
  <si>
    <t>538060K03000</t>
  </si>
  <si>
    <t>E-02-01-A05</t>
  </si>
  <si>
    <t>GUARDABARRO DEL.DER.</t>
  </si>
  <si>
    <t>538057101000</t>
  </si>
  <si>
    <t>E-07-00-B04</t>
  </si>
  <si>
    <t>PROTECTOR GUARDAB.DEL.DER</t>
  </si>
  <si>
    <t>538050K18000</t>
  </si>
  <si>
    <t>E-07-01-A09</t>
  </si>
  <si>
    <t>538020D24000</t>
  </si>
  <si>
    <t>H-02-02-B02</t>
  </si>
  <si>
    <t>FENDER SUB-ASSY, FR RH</t>
  </si>
  <si>
    <t>538012604000</t>
  </si>
  <si>
    <t>H-02-03-B01</t>
  </si>
  <si>
    <t>538010232000</t>
  </si>
  <si>
    <t>H-02-02-B01</t>
  </si>
  <si>
    <t>PROTECTOR DE GOMA</t>
  </si>
  <si>
    <t>537350K05000</t>
  </si>
  <si>
    <t>D-06-01-B01</t>
  </si>
  <si>
    <t>CABLE CIERRE CAPOT</t>
  </si>
  <si>
    <t>536300K26000</t>
  </si>
  <si>
    <t>D-05-05-C01</t>
  </si>
  <si>
    <t>CABLE CIERRECAPOT</t>
  </si>
  <si>
    <t>536300K19000</t>
  </si>
  <si>
    <t>D-05-04-D08</t>
  </si>
  <si>
    <t>536300K01000</t>
  </si>
  <si>
    <t>D-05-04-A01</t>
  </si>
  <si>
    <t>536300250000</t>
  </si>
  <si>
    <t>D-05-04-D03</t>
  </si>
  <si>
    <t>536300208000</t>
  </si>
  <si>
    <t>D-05-04-D07</t>
  </si>
  <si>
    <t>PALANCA APERT. CAPOT</t>
  </si>
  <si>
    <t>5360152010B7</t>
  </si>
  <si>
    <t>D-17-00-A08</t>
  </si>
  <si>
    <t>CIERRE CAPOT</t>
  </si>
  <si>
    <t>535100K74000</t>
  </si>
  <si>
    <t>D-08-01-F06</t>
  </si>
  <si>
    <t>535100K35000</t>
  </si>
  <si>
    <t>5351002A5000</t>
  </si>
  <si>
    <t>CLIP CAPOT</t>
  </si>
  <si>
    <t>534545202000</t>
  </si>
  <si>
    <t>D-19-01-D09</t>
  </si>
  <si>
    <t>SOPORTE CAPOT</t>
  </si>
  <si>
    <t>534521209000</t>
  </si>
  <si>
    <t>D-17-01-A05</t>
  </si>
  <si>
    <t>SOPORTE VARILLA CAPOT</t>
  </si>
  <si>
    <t>534520K02000</t>
  </si>
  <si>
    <t>D-19-01-A05</t>
  </si>
  <si>
    <t>534520206000</t>
  </si>
  <si>
    <t>D-17-01-A01</t>
  </si>
  <si>
    <t>AMORTIG. CAPOT LH</t>
  </si>
  <si>
    <t>534506906500</t>
  </si>
  <si>
    <t>D-23-01-B19</t>
  </si>
  <si>
    <t>AMORTIG. CAPOT RH</t>
  </si>
  <si>
    <t>534406906500</t>
  </si>
  <si>
    <t>D-23-01-B18</t>
  </si>
  <si>
    <t>BISAGRA CAPOT</t>
  </si>
  <si>
    <t>534200K24000</t>
  </si>
  <si>
    <t>D-20-01-A06</t>
  </si>
  <si>
    <t>BISAGRA CAPOT IZQ</t>
  </si>
  <si>
    <t>534200D81000</t>
  </si>
  <si>
    <t>D-08-02-G06</t>
  </si>
  <si>
    <t>534200A10000</t>
  </si>
  <si>
    <t>D-08-01-E03</t>
  </si>
  <si>
    <t>534200223000</t>
  </si>
  <si>
    <t>E-06-03-B07</t>
  </si>
  <si>
    <t>534100K24000</t>
  </si>
  <si>
    <t>D-20-01-A05</t>
  </si>
  <si>
    <t>534100224000</t>
  </si>
  <si>
    <t>E-06-03-B06</t>
  </si>
  <si>
    <t>BURLETE PARRILLA</t>
  </si>
  <si>
    <t>533970K05000</t>
  </si>
  <si>
    <t>H-01-10-B05</t>
  </si>
  <si>
    <t>SELLO DE RADIADOR</t>
  </si>
  <si>
    <t>533970K03000</t>
  </si>
  <si>
    <t>H-01-10-C05</t>
  </si>
  <si>
    <t>533970K02000</t>
  </si>
  <si>
    <t>E-06-00-E04</t>
  </si>
  <si>
    <t>BURLETE CAPOT</t>
  </si>
  <si>
    <t>533950D06000</t>
  </si>
  <si>
    <t>D-07-00-F05</t>
  </si>
  <si>
    <t>PROTECTOR DE CAPO</t>
  </si>
  <si>
    <t>533930K01000</t>
  </si>
  <si>
    <t>H-02-05-A02</t>
  </si>
  <si>
    <t>SELLO CAPOT</t>
  </si>
  <si>
    <t>533880K08000</t>
  </si>
  <si>
    <t>E-06-00-E01</t>
  </si>
  <si>
    <t>533842207000</t>
  </si>
  <si>
    <t>D-17-02-G07</t>
  </si>
  <si>
    <t>533810K08000</t>
  </si>
  <si>
    <t>D-07-00-A04</t>
  </si>
  <si>
    <t>AISLADOR DE CAPOT</t>
  </si>
  <si>
    <t>533416025000</t>
  </si>
  <si>
    <t>H-02-05-M01</t>
  </si>
  <si>
    <t>CAPOT</t>
  </si>
  <si>
    <t>533010K01100</t>
  </si>
  <si>
    <t>H-02-03-A08</t>
  </si>
  <si>
    <t>D-07-03-A05</t>
  </si>
  <si>
    <t>53294KK04000</t>
  </si>
  <si>
    <t>H-02-07-C09</t>
  </si>
  <si>
    <t>DEFLECTOR LATERAL RADIADOR RH</t>
  </si>
  <si>
    <t>53293YP04000</t>
  </si>
  <si>
    <t>H-02-06-C08</t>
  </si>
  <si>
    <t>53293YP01000</t>
  </si>
  <si>
    <t>D-07-01-F03</t>
  </si>
  <si>
    <t>53293KK04000</t>
  </si>
  <si>
    <t>H-02-06-C07</t>
  </si>
  <si>
    <t>COBERTOR SOP. RADIADOR</t>
  </si>
  <si>
    <t>532890D04000</t>
  </si>
  <si>
    <t>H-02-05-E02</t>
  </si>
  <si>
    <t>SOPORTE LATERAL</t>
  </si>
  <si>
    <t>532880D11000</t>
  </si>
  <si>
    <t>D-07-00-B01</t>
  </si>
  <si>
    <t>CONDUCTO ENTRADA AIR</t>
  </si>
  <si>
    <t>532870D12000</t>
  </si>
  <si>
    <t>D-07-00-C04</t>
  </si>
  <si>
    <t>MOLDURA RADIADOR IZQ.</t>
  </si>
  <si>
    <t>532860D16000</t>
  </si>
  <si>
    <t>D-07-00-E05</t>
  </si>
  <si>
    <t>TAPA PARAGOLPES DER.</t>
  </si>
  <si>
    <t>532854293000</t>
  </si>
  <si>
    <t>D-19-01-G04</t>
  </si>
  <si>
    <t>SELLO RADIADOR</t>
  </si>
  <si>
    <t>532850D17000</t>
  </si>
  <si>
    <t>D-07-00-C01</t>
  </si>
  <si>
    <t>SOPORTE OPTICA LH</t>
  </si>
  <si>
    <t>532720D01000</t>
  </si>
  <si>
    <t>D-20-00-B06</t>
  </si>
  <si>
    <t>SOPORTE GANCHO</t>
  </si>
  <si>
    <t>532080213000</t>
  </si>
  <si>
    <t>H-02-06-A07</t>
  </si>
  <si>
    <t>SOPORTE RADIADOR</t>
  </si>
  <si>
    <t>53203KK02000</t>
  </si>
  <si>
    <t>H-02-05-A15</t>
  </si>
  <si>
    <t>MASCARA FRENTE</t>
  </si>
  <si>
    <t>532010229000</t>
  </si>
  <si>
    <t>CLIPS DE PLASTICO</t>
  </si>
  <si>
    <t>531451201000</t>
  </si>
  <si>
    <t>COBERTOR RADIADOR</t>
  </si>
  <si>
    <t>531410D08100</t>
  </si>
  <si>
    <t>H-02-06-C01</t>
  </si>
  <si>
    <t>REJILLA INFERIOR</t>
  </si>
  <si>
    <t>53128YP15000</t>
  </si>
  <si>
    <t>D-07-00-A03</t>
  </si>
  <si>
    <t>531280222000</t>
  </si>
  <si>
    <t>D-07-02-A03</t>
  </si>
  <si>
    <t>MOLDURA REJILLA</t>
  </si>
  <si>
    <t>53127YP15000</t>
  </si>
  <si>
    <t>D-07-00-F03</t>
  </si>
  <si>
    <t>531270K06000</t>
  </si>
  <si>
    <t>D-07-00-A01</t>
  </si>
  <si>
    <t>MOLDURA DE REJILLA</t>
  </si>
  <si>
    <t>531240212000</t>
  </si>
  <si>
    <t>MOLDURA GRILLA RAD.PINT</t>
  </si>
  <si>
    <t>53122YP90300</t>
  </si>
  <si>
    <t>H-01-04-C06</t>
  </si>
  <si>
    <t>MOLDURA GRILLA RAD.CROMO.</t>
  </si>
  <si>
    <t>53122YP02000</t>
  </si>
  <si>
    <t>H-01-04-C08</t>
  </si>
  <si>
    <t>531210K04000</t>
  </si>
  <si>
    <t>D-05-04-A03</t>
  </si>
  <si>
    <t>531210502000</t>
  </si>
  <si>
    <t>D-18-01-C06</t>
  </si>
  <si>
    <t>531191217000</t>
  </si>
  <si>
    <t>D-19-01-F03</t>
  </si>
  <si>
    <t>RETEN GRILLA RADIADOR</t>
  </si>
  <si>
    <t>531170K06000</t>
  </si>
  <si>
    <t>H-02-05-A01</t>
  </si>
  <si>
    <t>REJILLA RADIADOR INT</t>
  </si>
  <si>
    <t>53114YP14000</t>
  </si>
  <si>
    <t>H-01-05-B06</t>
  </si>
  <si>
    <t>GRILLA RADIADOR INT.</t>
  </si>
  <si>
    <t>531140D11000</t>
  </si>
  <si>
    <t>H-01-05-C02</t>
  </si>
  <si>
    <t>531130K03000</t>
  </si>
  <si>
    <t>D-06-01-B03</t>
  </si>
  <si>
    <t>53112YP52000</t>
  </si>
  <si>
    <t>H-02-05-F03</t>
  </si>
  <si>
    <t>53112YP09000</t>
  </si>
  <si>
    <t>H-01-04-C02</t>
  </si>
  <si>
    <t>53112YP01000</t>
  </si>
  <si>
    <t>H-02-05-B03</t>
  </si>
  <si>
    <t>REJILLA</t>
  </si>
  <si>
    <t>531120K37000</t>
  </si>
  <si>
    <t>D-07-01-B05</t>
  </si>
  <si>
    <t>REJILLA RADIADOR</t>
  </si>
  <si>
    <t>531120K24000</t>
  </si>
  <si>
    <t>H-02-05-D03</t>
  </si>
  <si>
    <t>531120D35000</t>
  </si>
  <si>
    <t>H-02-05-E04</t>
  </si>
  <si>
    <t>REJILLA RADIADOR INF.</t>
  </si>
  <si>
    <t>531120288000</t>
  </si>
  <si>
    <t>H-02-05-F01</t>
  </si>
  <si>
    <t>531120235100</t>
  </si>
  <si>
    <t>GRILLA RADIADOR</t>
  </si>
  <si>
    <t>53111YP90100</t>
  </si>
  <si>
    <t>H-01-04-B04</t>
  </si>
  <si>
    <t>531110K31000</t>
  </si>
  <si>
    <t>H-01-05-C03</t>
  </si>
  <si>
    <t>GRILLA RADIADOR P-MOL CROM</t>
  </si>
  <si>
    <t>531110D90800</t>
  </si>
  <si>
    <t>H-01-04-B07</t>
  </si>
  <si>
    <t>531110289000</t>
  </si>
  <si>
    <t>H-01-01-C14</t>
  </si>
  <si>
    <t>531000KY2000</t>
  </si>
  <si>
    <t>H-01-08-D02</t>
  </si>
  <si>
    <t>GRILLA RADIADOR CROM</t>
  </si>
  <si>
    <t>531000KC0000</t>
  </si>
  <si>
    <t>H-02-05-D01</t>
  </si>
  <si>
    <t>531000KB6000</t>
  </si>
  <si>
    <t>H-01-04-B02</t>
  </si>
  <si>
    <t>531000KB5000</t>
  </si>
  <si>
    <t>H-01-04-C04</t>
  </si>
  <si>
    <t>531000A06000</t>
  </si>
  <si>
    <t>H-01-04-C09</t>
  </si>
  <si>
    <t>531000282000</t>
  </si>
  <si>
    <t>H-01-04-B06</t>
  </si>
  <si>
    <t>OVERFENDER DEL IZQ</t>
  </si>
  <si>
    <t>530883501000</t>
  </si>
  <si>
    <t>H-02-07-B06</t>
  </si>
  <si>
    <t>527911204000</t>
  </si>
  <si>
    <t>D-18-01-A04</t>
  </si>
  <si>
    <t>ABSORB. INF. PARAG. FR</t>
  </si>
  <si>
    <t>526184207000</t>
  </si>
  <si>
    <t>H-02-08-B05</t>
  </si>
  <si>
    <t>ALMOHADILLA PARAG.TR</t>
  </si>
  <si>
    <t>526156001000</t>
  </si>
  <si>
    <t>H-02-08-B03</t>
  </si>
  <si>
    <t>SEAL, RR BUMPER SIDE, LH</t>
  </si>
  <si>
    <t>525920D49000</t>
  </si>
  <si>
    <t>D-07-00-A02</t>
  </si>
  <si>
    <t>PROTECTOR PARAG. RR LH</t>
  </si>
  <si>
    <t>525920D15000</t>
  </si>
  <si>
    <t>D-07-02-A05</t>
  </si>
  <si>
    <t>PROTECTOR PARAGOLPE</t>
  </si>
  <si>
    <t>525920219000</t>
  </si>
  <si>
    <t>D-07-00-F04</t>
  </si>
  <si>
    <t>PROTECTOR PARAG TRAS DER</t>
  </si>
  <si>
    <t>525910D44000</t>
  </si>
  <si>
    <t>D-07-01-C06</t>
  </si>
  <si>
    <t>PROTECTOR PARAG. RR RH</t>
  </si>
  <si>
    <t>525910D15000</t>
  </si>
  <si>
    <t>D-07-02-D02</t>
  </si>
  <si>
    <t>SOPORTE PARAG.</t>
  </si>
  <si>
    <t>525760K02000</t>
  </si>
  <si>
    <t>D-07-00-D02</t>
  </si>
  <si>
    <t>RETENEDOR PARAG. RR LH</t>
  </si>
  <si>
    <t>525760D42000</t>
  </si>
  <si>
    <t>D-07-02-E01</t>
  </si>
  <si>
    <t>RETENEDOR LAT.PARAG.RR LH</t>
  </si>
  <si>
    <t>525760D18000</t>
  </si>
  <si>
    <t>D-07-01-E05</t>
  </si>
  <si>
    <t>525760D11000</t>
  </si>
  <si>
    <t>D-07-01-A02</t>
  </si>
  <si>
    <t>525760A03000</t>
  </si>
  <si>
    <t>D-07-00-E07</t>
  </si>
  <si>
    <t>525750K02000</t>
  </si>
  <si>
    <t>RETENEDOR PARAG. RR RH</t>
  </si>
  <si>
    <t>525750D43000</t>
  </si>
  <si>
    <t>D-07-02-E02</t>
  </si>
  <si>
    <t>525750D12000</t>
  </si>
  <si>
    <t>D-07-01-E01</t>
  </si>
  <si>
    <t>525750D11000</t>
  </si>
  <si>
    <t>D-07-01-D01</t>
  </si>
  <si>
    <t>RETENEDOR PARAG.</t>
  </si>
  <si>
    <t>525630D10000</t>
  </si>
  <si>
    <t>D-07-01-G07</t>
  </si>
  <si>
    <t>525630208000</t>
  </si>
  <si>
    <t>D-07-01-B01</t>
  </si>
  <si>
    <t>525620236000</t>
  </si>
  <si>
    <t>D-07-01-F01</t>
  </si>
  <si>
    <t>ALMOHADILLA CENTRAL</t>
  </si>
  <si>
    <t>525420203000</t>
  </si>
  <si>
    <t>D-18-02-L05</t>
  </si>
  <si>
    <t>PROTECTOR PARAG.</t>
  </si>
  <si>
    <t>525410K010C0</t>
  </si>
  <si>
    <t>D-19-01-K05</t>
  </si>
  <si>
    <t>PROTECTOR PARAG DEL</t>
  </si>
  <si>
    <t>525410201000</t>
  </si>
  <si>
    <t>TAPA PLASTICO</t>
  </si>
  <si>
    <t>525364208000</t>
  </si>
  <si>
    <t>D-07-01-H05</t>
  </si>
  <si>
    <t>RETENEDOR PARAG. FR LH</t>
  </si>
  <si>
    <t>525360D27000</t>
  </si>
  <si>
    <t>D-07-01-G02</t>
  </si>
  <si>
    <t>525360D08000</t>
  </si>
  <si>
    <t>525360A03000</t>
  </si>
  <si>
    <t>D-08-01-E07</t>
  </si>
  <si>
    <t>RETENEDOR PARAG. FR RH</t>
  </si>
  <si>
    <t>525350D27000</t>
  </si>
  <si>
    <t>D-07-01-B04</t>
  </si>
  <si>
    <t>RETENEDOR PARAGOLPE FR RH</t>
  </si>
  <si>
    <t>525350D17000</t>
  </si>
  <si>
    <t>D-07-01-C03</t>
  </si>
  <si>
    <t>525350D08000</t>
  </si>
  <si>
    <t>525350A03000</t>
  </si>
  <si>
    <t>D-07-01-F02</t>
  </si>
  <si>
    <t>525340K01000</t>
  </si>
  <si>
    <t>D-18-02-D09</t>
  </si>
  <si>
    <t>SOPORTE PARAG. FR</t>
  </si>
  <si>
    <t>525330K05000</t>
  </si>
  <si>
    <t>D-08-01-C03</t>
  </si>
  <si>
    <t>525330K03000</t>
  </si>
  <si>
    <t>D-20-00-I02</t>
  </si>
  <si>
    <t>MOLDURA PARAGOLPE FR RH</t>
  </si>
  <si>
    <t>525120D90100</t>
  </si>
  <si>
    <t>D-07-00-F07</t>
  </si>
  <si>
    <t>BULON PARAGOLPE</t>
  </si>
  <si>
    <t>524916001000</t>
  </si>
  <si>
    <t>D-18-02-H08</t>
  </si>
  <si>
    <t>PROTECTOR PARAGOLPE RR</t>
  </si>
  <si>
    <t>524530D02000</t>
  </si>
  <si>
    <t>H-02-05-L03</t>
  </si>
  <si>
    <t>TOPE PARAGOLPE</t>
  </si>
  <si>
    <t>524216019100</t>
  </si>
  <si>
    <t>DEFENSA PARAGOLPES DEL.</t>
  </si>
  <si>
    <t>52411YP15000</t>
  </si>
  <si>
    <t>H-01-05-D05</t>
  </si>
  <si>
    <t>PROTECTOR PARAGOLPE FR</t>
  </si>
  <si>
    <t>524100D01000</t>
  </si>
  <si>
    <t>H-02-05-L02</t>
  </si>
  <si>
    <t>522023508000</t>
  </si>
  <si>
    <t>E-06-01-K01</t>
  </si>
  <si>
    <t>522013509000</t>
  </si>
  <si>
    <t>BUJE CABINA  Nº1 SUP</t>
  </si>
  <si>
    <t>522010K10000</t>
  </si>
  <si>
    <t>D-21-00-G07</t>
  </si>
  <si>
    <t>SOPORTE PARAGOLPE</t>
  </si>
  <si>
    <t>521820K08000</t>
  </si>
  <si>
    <t>D-08-02-D01</t>
  </si>
  <si>
    <t>SOPORTE PARAGOLPES</t>
  </si>
  <si>
    <t>521810K08000</t>
  </si>
  <si>
    <t>D-08-02-C04</t>
  </si>
  <si>
    <t>REFUERZO PARAG. RR CTR</t>
  </si>
  <si>
    <t>521720D06000</t>
  </si>
  <si>
    <t>PARAGOLP. TRAS. INF.</t>
  </si>
  <si>
    <t>52169YP15000</t>
  </si>
  <si>
    <t>H-01-10-H01</t>
  </si>
  <si>
    <t>521640K01000</t>
  </si>
  <si>
    <t>D-23-02-C01</t>
  </si>
  <si>
    <t>521630K01000</t>
  </si>
  <si>
    <t>D-23-02-C02</t>
  </si>
  <si>
    <t>CUBIERTA BOMPER TRAS</t>
  </si>
  <si>
    <t>521620A03000</t>
  </si>
  <si>
    <t>D-17-01-G01</t>
  </si>
  <si>
    <t>PARAGOLPE TRASERO</t>
  </si>
  <si>
    <t>52159YP90300</t>
  </si>
  <si>
    <t>E-02-03-F01</t>
  </si>
  <si>
    <t>52159YP90200</t>
  </si>
  <si>
    <t>E-02-03-E01</t>
  </si>
  <si>
    <t>PARAGOLPE TRAS. XEI</t>
  </si>
  <si>
    <t>521594293000</t>
  </si>
  <si>
    <t>H-02-07-C01</t>
  </si>
  <si>
    <t>PARAGOLPE TRASERO L/COLOR</t>
  </si>
  <si>
    <t>521590U92300</t>
  </si>
  <si>
    <t>E-02-00-L01</t>
  </si>
  <si>
    <t>PISADERA CENTRAL PARAG TRASERO</t>
  </si>
  <si>
    <t>521590K31100</t>
  </si>
  <si>
    <t>H-01-04-D04</t>
  </si>
  <si>
    <t>PLACA PARAG. TRAS.</t>
  </si>
  <si>
    <t>521590K01000</t>
  </si>
  <si>
    <t>H-02-07-B07</t>
  </si>
  <si>
    <t>521564204100</t>
  </si>
  <si>
    <t>E-06-02-B03</t>
  </si>
  <si>
    <t>D-20-01-B05</t>
  </si>
  <si>
    <t>SOPORTE PARAG. TRAS</t>
  </si>
  <si>
    <t>521554203000</t>
  </si>
  <si>
    <t>D-07-01-F06</t>
  </si>
  <si>
    <t>SOPORTE PARAGOLPE RR</t>
  </si>
  <si>
    <t>521554202100</t>
  </si>
  <si>
    <t>D-07-01-H02</t>
  </si>
  <si>
    <t>SOPORTE PARAG. RR RH</t>
  </si>
  <si>
    <t>521550D02000</t>
  </si>
  <si>
    <t>D-20-01-D08</t>
  </si>
  <si>
    <t>PUNTERA PARAGOLPE IZQ P-SENSOR</t>
  </si>
  <si>
    <t>521520K31000</t>
  </si>
  <si>
    <t>H-01-07-A04</t>
  </si>
  <si>
    <t>PUNTERA PARAG TRAS. CROM IZQ</t>
  </si>
  <si>
    <t>521520K12000</t>
  </si>
  <si>
    <t>H-01-07-B01</t>
  </si>
  <si>
    <t>PUNTERA PARAGOLPE PINT</t>
  </si>
  <si>
    <t>521520K11000</t>
  </si>
  <si>
    <t>H-01-07-A02</t>
  </si>
  <si>
    <t>EXTENSION PARAGOLPE TRAS.P/SENSOR</t>
  </si>
  <si>
    <t>521510K31000</t>
  </si>
  <si>
    <t>H-01-07-A05</t>
  </si>
  <si>
    <t>PUNTERA PARAG. TRAS CROM DERECHA</t>
  </si>
  <si>
    <t>521510K12000</t>
  </si>
  <si>
    <t>H-01-07-B02</t>
  </si>
  <si>
    <t>EXTENSION PARAGOLPE TRAS.</t>
  </si>
  <si>
    <t>521510K11000</t>
  </si>
  <si>
    <t>H-01-07-A01</t>
  </si>
  <si>
    <t>521470K10000</t>
  </si>
  <si>
    <t>D-07-01-F07</t>
  </si>
  <si>
    <t>521410K01000</t>
  </si>
  <si>
    <t>D-18-02-C08</t>
  </si>
  <si>
    <t>COBERT.INF.PARAG.</t>
  </si>
  <si>
    <t>52129YP01000</t>
  </si>
  <si>
    <t>D-17-02-I02</t>
  </si>
  <si>
    <t>COVER, FR BUMPER, LWR</t>
  </si>
  <si>
    <t>521290A15000</t>
  </si>
  <si>
    <t>COBERT.AGUJ.PARAG.FR.LH</t>
  </si>
  <si>
    <t>52128YP62000</t>
  </si>
  <si>
    <t>D-07-00-D03</t>
  </si>
  <si>
    <t>52128YP02000</t>
  </si>
  <si>
    <t>H-02-05-E03</t>
  </si>
  <si>
    <t>TAPA CUB.PARA.IZQ.</t>
  </si>
  <si>
    <t>521284208000</t>
  </si>
  <si>
    <t>D-07-01-D06</t>
  </si>
  <si>
    <t>TAPA PARAGOLPE IZQ.</t>
  </si>
  <si>
    <t>521280K20000</t>
  </si>
  <si>
    <t>D-07-00-C05</t>
  </si>
  <si>
    <t>52127YP01000</t>
  </si>
  <si>
    <t>H-02-06-C04</t>
  </si>
  <si>
    <t>MOLDURA FARO AUX DER</t>
  </si>
  <si>
    <t>521276008000</t>
  </si>
  <si>
    <t>D-07-00-E01</t>
  </si>
  <si>
    <t>CUBIERTA PARAGOLPE</t>
  </si>
  <si>
    <t>521272012000</t>
  </si>
  <si>
    <t>TAPA AGUJERO PARAG.</t>
  </si>
  <si>
    <t>521270K85000</t>
  </si>
  <si>
    <t>D-07-00-B03</t>
  </si>
  <si>
    <t>521270K72000</t>
  </si>
  <si>
    <t>D-07-00-A05</t>
  </si>
  <si>
    <t>TAPA AGUJERO PARAG</t>
  </si>
  <si>
    <t>521270K02000</t>
  </si>
  <si>
    <t>D-06-01-B05</t>
  </si>
  <si>
    <t>TAPA ORIF.PARAG.FR L/COL</t>
  </si>
  <si>
    <t>521270D91900</t>
  </si>
  <si>
    <t>D-19-01-L06</t>
  </si>
  <si>
    <t>TAPA PARAGOLPE</t>
  </si>
  <si>
    <t>521270211000</t>
  </si>
  <si>
    <t>D-07-00-D04</t>
  </si>
  <si>
    <t>MOLD FARO ANTINIEBLA CROM IZQ</t>
  </si>
  <si>
    <t>521260K09000</t>
  </si>
  <si>
    <t>D-07-00-E06</t>
  </si>
  <si>
    <t>EXT.PARAG.</t>
  </si>
  <si>
    <t>521260K01000</t>
  </si>
  <si>
    <t>D-07-01-E04</t>
  </si>
  <si>
    <t>521250242000</t>
  </si>
  <si>
    <t>D-07-00-F02</t>
  </si>
  <si>
    <t>PARAGOLPE DEL.L/COLOR</t>
  </si>
  <si>
    <t>52119YP90700</t>
  </si>
  <si>
    <t>E-02-03-B01</t>
  </si>
  <si>
    <t>PARAGOLPE DEL.</t>
  </si>
  <si>
    <t>52119F293100</t>
  </si>
  <si>
    <t>E-02-02-H01</t>
  </si>
  <si>
    <t>PARAGOLPE DEL. SRV/SRX 2021</t>
  </si>
  <si>
    <t>52119F090100</t>
  </si>
  <si>
    <t>E-02-04-A01</t>
  </si>
  <si>
    <t>521194290300</t>
  </si>
  <si>
    <t>E-02-02-A01</t>
  </si>
  <si>
    <t>PARAGOLPE DER.L/COLOR</t>
  </si>
  <si>
    <t>521190U93500</t>
  </si>
  <si>
    <t>PARAGOLPE DELANT. SR 2021</t>
  </si>
  <si>
    <t>521190M99900</t>
  </si>
  <si>
    <t>521190K94900</t>
  </si>
  <si>
    <t>E-02-03-D01</t>
  </si>
  <si>
    <t>PARAGOLPE DEL. DX</t>
  </si>
  <si>
    <t>521190K28000</t>
  </si>
  <si>
    <t>E-02-03-G01</t>
  </si>
  <si>
    <t>COVER, FR BUMPER L/COLOR</t>
  </si>
  <si>
    <t>521190A97100</t>
  </si>
  <si>
    <t>E-02-02-A06</t>
  </si>
  <si>
    <t>SOPORTE PARAGOLPE IZQ.</t>
  </si>
  <si>
    <t>521160K23000</t>
  </si>
  <si>
    <t>D-07-01-C04</t>
  </si>
  <si>
    <t>SOPORTE PARAGOLPE IZQ.( SR,SRV,SRX)</t>
  </si>
  <si>
    <t>521160K18000</t>
  </si>
  <si>
    <t>D-07-03-C03</t>
  </si>
  <si>
    <t>SOPORTE PARAGOLPE IZQ ( DX C/S Y D/C)</t>
  </si>
  <si>
    <t>521160K11000</t>
  </si>
  <si>
    <t>D-07-01-H04</t>
  </si>
  <si>
    <t>521160K06000</t>
  </si>
  <si>
    <t>D-07-01-G05</t>
  </si>
  <si>
    <t>SOPORTE PARAGOLPE IZQ COROLLA 2021</t>
  </si>
  <si>
    <t>521160252000</t>
  </si>
  <si>
    <t>SOPORTE LAT.PARAG.FR LH</t>
  </si>
  <si>
    <t>521160228000</t>
  </si>
  <si>
    <t>D-07-01-B06</t>
  </si>
  <si>
    <t>521160220100</t>
  </si>
  <si>
    <t>D-07-01-A04</t>
  </si>
  <si>
    <t>SOPORTE PARAG LH</t>
  </si>
  <si>
    <t>521160215000</t>
  </si>
  <si>
    <t>D-07-01-D05</t>
  </si>
  <si>
    <t>SOPORTE PARAGOLPE DER DX ( S/C Y C/D)</t>
  </si>
  <si>
    <t>521150K11000</t>
  </si>
  <si>
    <t>D-07-01-H03</t>
  </si>
  <si>
    <t>SOPORTE PARAG. DEL</t>
  </si>
  <si>
    <t>521150K06000</t>
  </si>
  <si>
    <t>D-07-01-A05</t>
  </si>
  <si>
    <t>521150K04100</t>
  </si>
  <si>
    <t>D-07-01-G06</t>
  </si>
  <si>
    <t>SOPORTE PARG COROLLA RH</t>
  </si>
  <si>
    <t>521150253000</t>
  </si>
  <si>
    <t>D-07-01-E07</t>
  </si>
  <si>
    <t>SOPORTE LAT.PARAG.FR RH</t>
  </si>
  <si>
    <t>521150228000</t>
  </si>
  <si>
    <t>521150220100</t>
  </si>
  <si>
    <t>D-07-01-C02</t>
  </si>
  <si>
    <t>521150215000</t>
  </si>
  <si>
    <t>D-07-01-D04</t>
  </si>
  <si>
    <t>EXTENSION DE PARAG.</t>
  </si>
  <si>
    <t>521130K01000</t>
  </si>
  <si>
    <t>D-07-00-C02</t>
  </si>
  <si>
    <t>EXTENSION PARAG.FR.RH.L/C</t>
  </si>
  <si>
    <t>52112YP04000</t>
  </si>
  <si>
    <t>D-07-00-D05</t>
  </si>
  <si>
    <t>EXTENSION PARAG.</t>
  </si>
  <si>
    <t>521120K90600</t>
  </si>
  <si>
    <t>D-07-00-C03</t>
  </si>
  <si>
    <t>EXTENSION PARAGOLPE DER.</t>
  </si>
  <si>
    <t>521120K26000</t>
  </si>
  <si>
    <t>D-07-01-G03</t>
  </si>
  <si>
    <t>BOMPER DELANTERO</t>
  </si>
  <si>
    <t>521110A90200</t>
  </si>
  <si>
    <t>PARAG TRAS CROMADO CURVO</t>
  </si>
  <si>
    <t>521050K05000</t>
  </si>
  <si>
    <t>PARAG DEL PINTADO</t>
  </si>
  <si>
    <t>521010410000</t>
  </si>
  <si>
    <t>H-01-09-D03</t>
  </si>
  <si>
    <t>520810502000</t>
  </si>
  <si>
    <t>D-21-02-E02</t>
  </si>
  <si>
    <t>REFUERZO PARAG. TRAS</t>
  </si>
  <si>
    <t>520230K07100</t>
  </si>
  <si>
    <t>H-01-08-A04</t>
  </si>
  <si>
    <t>REINFORCEMENT SUB-ASSY, RR BUMPER</t>
  </si>
  <si>
    <t>520230D12000</t>
  </si>
  <si>
    <t>H-02-06-A03</t>
  </si>
  <si>
    <t>REFUERZO PARAGOLPES</t>
  </si>
  <si>
    <t>52021KK01000</t>
  </si>
  <si>
    <t>ARM SUB-ASSY, RR BUMPER</t>
  </si>
  <si>
    <t>520150D24000</t>
  </si>
  <si>
    <t>D-08-02-F05</t>
  </si>
  <si>
    <t>SOPORTE RUEDA AUX.</t>
  </si>
  <si>
    <t>519001216000</t>
  </si>
  <si>
    <t>D-18-02-A05</t>
  </si>
  <si>
    <t>519000K14000</t>
  </si>
  <si>
    <t>D-06-01-G03</t>
  </si>
  <si>
    <t>519000K07000</t>
  </si>
  <si>
    <t>D-06-02-F05</t>
  </si>
  <si>
    <t>SOPORTE ESTRIBO</t>
  </si>
  <si>
    <t>517980K04000</t>
  </si>
  <si>
    <t>D-08-01-A06</t>
  </si>
  <si>
    <t>517980K02000</t>
  </si>
  <si>
    <t>D-08-01-A02</t>
  </si>
  <si>
    <t>MENSULA PELDANO LAT. IZQ.</t>
  </si>
  <si>
    <t>517980K01000</t>
  </si>
  <si>
    <t>D-07-01-D02</t>
  </si>
  <si>
    <t>517970K04000</t>
  </si>
  <si>
    <t>D-08-01-A05</t>
  </si>
  <si>
    <t>517970K02000</t>
  </si>
  <si>
    <t>517960K02000</t>
  </si>
  <si>
    <t>D-08-01-A04</t>
  </si>
  <si>
    <t>517950K02000</t>
  </si>
  <si>
    <t>D-08-01-A03</t>
  </si>
  <si>
    <t>SOPORTE CABINA</t>
  </si>
  <si>
    <t>517060K02000</t>
  </si>
  <si>
    <t>D-08-02-A07</t>
  </si>
  <si>
    <t>517050K02000</t>
  </si>
  <si>
    <t>D-08-02-A06</t>
  </si>
  <si>
    <t>SOPORTE DE CABINA</t>
  </si>
  <si>
    <t>517040K01000</t>
  </si>
  <si>
    <t>D-08-02-A01</t>
  </si>
  <si>
    <t>517010K15000</t>
  </si>
  <si>
    <t>H-01-09-D05</t>
  </si>
  <si>
    <t>SOPORTE SUSPENSION IZQ.</t>
  </si>
  <si>
    <t>51502KK02000</t>
  </si>
  <si>
    <t>D-06-02-C04</t>
  </si>
  <si>
    <t>PROTECTOR MOTOR</t>
  </si>
  <si>
    <t>514737101000</t>
  </si>
  <si>
    <t>E-07-01-B01</t>
  </si>
  <si>
    <t>514444701000</t>
  </si>
  <si>
    <t>TAPA MOTOR INF. IZQ.</t>
  </si>
  <si>
    <t>514423308000</t>
  </si>
  <si>
    <t>H-02-05-J02</t>
  </si>
  <si>
    <t>COBERTOR INF. MOTOR Nº1</t>
  </si>
  <si>
    <t>514414215000</t>
  </si>
  <si>
    <t>H-02-08-B04</t>
  </si>
  <si>
    <t>PROTECTOR INF.</t>
  </si>
  <si>
    <t>514410K05000</t>
  </si>
  <si>
    <t>H-02-05-B10</t>
  </si>
  <si>
    <t>PROTECTOR MOTOR NO.2</t>
  </si>
  <si>
    <t>51420KK02000</t>
  </si>
  <si>
    <t>H-02-05-C03</t>
  </si>
  <si>
    <t>PROTECTOR MOTOR NO.1</t>
  </si>
  <si>
    <t>51410KK02000</t>
  </si>
  <si>
    <t>SOPORTE MOTOR IZQ.</t>
  </si>
  <si>
    <t>51402KK04000</t>
  </si>
  <si>
    <t>D-08-01-D03</t>
  </si>
  <si>
    <t>TRAVESAÐO CHASIS</t>
  </si>
  <si>
    <t>512041212000</t>
  </si>
  <si>
    <t>H-02-07-B08</t>
  </si>
  <si>
    <t>TRAVESAÑO N3</t>
  </si>
  <si>
    <t>51203KK19000</t>
  </si>
  <si>
    <t>H-02-06-A01</t>
  </si>
  <si>
    <t>ESTRIBO IZQ.</t>
  </si>
  <si>
    <t>510840K07000</t>
  </si>
  <si>
    <t>H-02-08-A05</t>
  </si>
  <si>
    <t>ESTRIBO DER.</t>
  </si>
  <si>
    <t>510830K08000</t>
  </si>
  <si>
    <t>H-02-08-A03</t>
  </si>
  <si>
    <t>SOPORTE ESTRIBO IZQ.</t>
  </si>
  <si>
    <t>510820K02000</t>
  </si>
  <si>
    <t>D-08-01-B02</t>
  </si>
  <si>
    <t>SOPORTE ESTRIBO DER.</t>
  </si>
  <si>
    <t>510810K02000</t>
  </si>
  <si>
    <t>D-08-01-B01</t>
  </si>
  <si>
    <t>SOP.MONT.CAJA CARGA</t>
  </si>
  <si>
    <t>510770K01100</t>
  </si>
  <si>
    <t>D-08-02-A02</t>
  </si>
  <si>
    <t>510750K01000</t>
  </si>
  <si>
    <t>D-08-02-A03</t>
  </si>
  <si>
    <t>185/60R15 PRIMACY 4 88 H</t>
  </si>
  <si>
    <t>494228</t>
  </si>
  <si>
    <t>E-00-00-C02</t>
  </si>
  <si>
    <t>488496004100</t>
  </si>
  <si>
    <t>BRAZO SUSP.TRAS.</t>
  </si>
  <si>
    <t>488303304000</t>
  </si>
  <si>
    <t>BRAZO BARRA ESTABIL.</t>
  </si>
  <si>
    <t>488302001000</t>
  </si>
  <si>
    <t>PERNO ESTABILIZADOR</t>
  </si>
  <si>
    <t>488215204000</t>
  </si>
  <si>
    <t>D-18-02-I03</t>
  </si>
  <si>
    <t>BARRA ESTABILIZ.</t>
  </si>
  <si>
    <t>488206008100</t>
  </si>
  <si>
    <t>D-21-02-H02</t>
  </si>
  <si>
    <t>BRAZO BARRA ESTAB.</t>
  </si>
  <si>
    <t>488204203000</t>
  </si>
  <si>
    <t>D-21-02-C07</t>
  </si>
  <si>
    <t>D-21-01-A02</t>
  </si>
  <si>
    <t>CONJ ARTICULACION</t>
  </si>
  <si>
    <t>488200213000</t>
  </si>
  <si>
    <t>D-21-02-B05</t>
  </si>
  <si>
    <t>488200204000</t>
  </si>
  <si>
    <t>D-21-02-E06</t>
  </si>
  <si>
    <t>D-21-00-B02</t>
  </si>
  <si>
    <t>488182026000</t>
  </si>
  <si>
    <t>D-19-01-D06</t>
  </si>
  <si>
    <t>488180504100</t>
  </si>
  <si>
    <t>D-19-01-E08</t>
  </si>
  <si>
    <t>BUJE PERNO ESTABILIZADOR</t>
  </si>
  <si>
    <t>488175201100</t>
  </si>
  <si>
    <t>D-19-01-E09</t>
  </si>
  <si>
    <t>BUJE BARRA ESTABILIZADORA</t>
  </si>
  <si>
    <t>488174205000</t>
  </si>
  <si>
    <t>E-06-00-F02</t>
  </si>
  <si>
    <t>BUJE BARRA ESTABIL.</t>
  </si>
  <si>
    <t>4881712H0100</t>
  </si>
  <si>
    <t>E-06-01-L07</t>
  </si>
  <si>
    <t>488156026000</t>
  </si>
  <si>
    <t>D-21-00-B04</t>
  </si>
  <si>
    <t>BUJE BARRA ESTAB.</t>
  </si>
  <si>
    <t>488156025000</t>
  </si>
  <si>
    <t>D-20-00-B04</t>
  </si>
  <si>
    <t>488156022100</t>
  </si>
  <si>
    <t>D-21-01-H04</t>
  </si>
  <si>
    <t>488156005000</t>
  </si>
  <si>
    <t>D-19-01-D08</t>
  </si>
  <si>
    <t>488155208000</t>
  </si>
  <si>
    <t>D-21-01-C07</t>
  </si>
  <si>
    <t>488154214000</t>
  </si>
  <si>
    <t>D-21-01-E07</t>
  </si>
  <si>
    <t>488154210000</t>
  </si>
  <si>
    <t>D-20-01-B09</t>
  </si>
  <si>
    <t>488154209000</t>
  </si>
  <si>
    <t>D-20-01-C09</t>
  </si>
  <si>
    <t>488153310100</t>
  </si>
  <si>
    <t>D-21-01-C05</t>
  </si>
  <si>
    <t>488152003000</t>
  </si>
  <si>
    <t>D-19-01-J08</t>
  </si>
  <si>
    <t>488151416000</t>
  </si>
  <si>
    <t>E-06-01-K08</t>
  </si>
  <si>
    <t>488151304000</t>
  </si>
  <si>
    <t>D-21-00-G03</t>
  </si>
  <si>
    <t>BUJE BARRA ESTABILI.</t>
  </si>
  <si>
    <t>488151236000</t>
  </si>
  <si>
    <t>488151223000</t>
  </si>
  <si>
    <t>D-21-02-B03</t>
  </si>
  <si>
    <t>BUJE BARRA ESTABILIZ.</t>
  </si>
  <si>
    <t>488150K09000</t>
  </si>
  <si>
    <t>D-21-00-A01</t>
  </si>
  <si>
    <t>488150D26000</t>
  </si>
  <si>
    <t>D-21-01-H02</t>
  </si>
  <si>
    <t>488150246000</t>
  </si>
  <si>
    <t>BRAZO BARRA</t>
  </si>
  <si>
    <t>488106005000</t>
  </si>
  <si>
    <t>D-21-00-F06</t>
  </si>
  <si>
    <t>D-21-01-A01</t>
  </si>
  <si>
    <t>BRAZO SUSP. TRAS.</t>
  </si>
  <si>
    <t>487804201000</t>
  </si>
  <si>
    <t>D-05-03-F04</t>
  </si>
  <si>
    <t>STOPPER, RR SUSPENSION SUPPORT</t>
  </si>
  <si>
    <t>487520D14000</t>
  </si>
  <si>
    <t>D-17-01-D05</t>
  </si>
  <si>
    <t>BUJE BRAZO SUSP.TRASERO</t>
  </si>
  <si>
    <t>487255210000</t>
  </si>
  <si>
    <t>D-21-00-C06</t>
  </si>
  <si>
    <t>SUPPORT, FR SUSPENSION, NO.2</t>
  </si>
  <si>
    <t>486820D19000</t>
  </si>
  <si>
    <t>D-20-00-G05</t>
  </si>
  <si>
    <t>BUJES</t>
  </si>
  <si>
    <t>486552022100</t>
  </si>
  <si>
    <t>E-06-01-K06</t>
  </si>
  <si>
    <t>BUJE PARRILLA</t>
  </si>
  <si>
    <t>486352601000</t>
  </si>
  <si>
    <t>D-21-01-G04</t>
  </si>
  <si>
    <t>486322601000</t>
  </si>
  <si>
    <t>D-21-01-G03</t>
  </si>
  <si>
    <t>PARRILLA SUSPENSION</t>
  </si>
  <si>
    <t>486300K05100</t>
  </si>
  <si>
    <t>D-05-03-D02</t>
  </si>
  <si>
    <t>486250K02000</t>
  </si>
  <si>
    <t>D-21-00-C05</t>
  </si>
  <si>
    <t>PARRILA SUSPENSION</t>
  </si>
  <si>
    <t>486100K05100</t>
  </si>
  <si>
    <t>D-05-03-D01</t>
  </si>
  <si>
    <t>CAZOLETA SUSP.DEL</t>
  </si>
  <si>
    <t>486091253000</t>
  </si>
  <si>
    <t>D-21-02-E03</t>
  </si>
  <si>
    <t>486091235000</t>
  </si>
  <si>
    <t>D-21-01-H06</t>
  </si>
  <si>
    <t>CAZOLETA GR</t>
  </si>
  <si>
    <t>486090k10000</t>
  </si>
  <si>
    <t>486090K04000</t>
  </si>
  <si>
    <t>D-21-02-B06</t>
  </si>
  <si>
    <t>SOPORTE SUSPENSION</t>
  </si>
  <si>
    <t>486090D23000</t>
  </si>
  <si>
    <t>D-21-01-A05</t>
  </si>
  <si>
    <t>SOPORTE SUSPENSION FR</t>
  </si>
  <si>
    <t>486090220100</t>
  </si>
  <si>
    <t>D-21-02-F01</t>
  </si>
  <si>
    <t>CUBIERTA AMORTIGUAD.</t>
  </si>
  <si>
    <t>485592004000</t>
  </si>
  <si>
    <t>D-07-02-F06</t>
  </si>
  <si>
    <t>485413924700</t>
  </si>
  <si>
    <t>AMORTIGUADOR TRAS.</t>
  </si>
  <si>
    <t>485413922700</t>
  </si>
  <si>
    <t>D-03-05-A02</t>
  </si>
  <si>
    <t>AMORTIGUADOR TRAS</t>
  </si>
  <si>
    <t>485413919600</t>
  </si>
  <si>
    <t>D-03-05-A04</t>
  </si>
  <si>
    <t>SET AMORTIG. RR LH</t>
  </si>
  <si>
    <t>485410946000</t>
  </si>
  <si>
    <t>D-03-04-A03</t>
  </si>
  <si>
    <t>485410944000</t>
  </si>
  <si>
    <t>D-03-04-G02</t>
  </si>
  <si>
    <t>485410942000</t>
  </si>
  <si>
    <t>D-03-06-C03</t>
  </si>
  <si>
    <t>485410935100</t>
  </si>
  <si>
    <t>D-03-04-D04</t>
  </si>
  <si>
    <t>485410935000</t>
  </si>
  <si>
    <t>D-03-05-E02</t>
  </si>
  <si>
    <t>485410934100</t>
  </si>
  <si>
    <t>D-03-06-F05</t>
  </si>
  <si>
    <t>485410919100</t>
  </si>
  <si>
    <t>D-25-03-B01</t>
  </si>
  <si>
    <t>485410917100</t>
  </si>
  <si>
    <t>D-03-06-B01</t>
  </si>
  <si>
    <t>AMORTIGUADOR TRAS. V6</t>
  </si>
  <si>
    <t>48531Y901500</t>
  </si>
  <si>
    <t>D-25-03-B02</t>
  </si>
  <si>
    <t>485318Z02700</t>
  </si>
  <si>
    <t>D-03-05-C05</t>
  </si>
  <si>
    <t>485318Z02500</t>
  </si>
  <si>
    <t>D-03-04-G03</t>
  </si>
  <si>
    <t>485318Z02300</t>
  </si>
  <si>
    <t>D-03-04-A02</t>
  </si>
  <si>
    <t>485318Z02000</t>
  </si>
  <si>
    <t>D-03-04-D02</t>
  </si>
  <si>
    <t>485318Z01900</t>
  </si>
  <si>
    <t>D-03-06-E03</t>
  </si>
  <si>
    <t>AMORTIGUADOR TRASERO</t>
  </si>
  <si>
    <t>485318066900</t>
  </si>
  <si>
    <t>D-03-05-B04</t>
  </si>
  <si>
    <t>485318051600</t>
  </si>
  <si>
    <t>D-03-05-A03</t>
  </si>
  <si>
    <t>485314913700</t>
  </si>
  <si>
    <t>D-03-05-D02</t>
  </si>
  <si>
    <t>485310971200</t>
  </si>
  <si>
    <t>D-03-04-C05</t>
  </si>
  <si>
    <t>SET AMORTIGUADOR C/S RH</t>
  </si>
  <si>
    <t>485310966100</t>
  </si>
  <si>
    <t>D-25-03-A02</t>
  </si>
  <si>
    <t>485310964100</t>
  </si>
  <si>
    <t>D-03-06-C01</t>
  </si>
  <si>
    <t>485308Z29800</t>
  </si>
  <si>
    <t>D-03-04-G04</t>
  </si>
  <si>
    <t>485306964500</t>
  </si>
  <si>
    <t>D-03-05-D03</t>
  </si>
  <si>
    <t>485304203000</t>
  </si>
  <si>
    <t>D-03-05-E01</t>
  </si>
  <si>
    <t>485300DF3000</t>
  </si>
  <si>
    <t>D-25-03-B05</t>
  </si>
  <si>
    <t>ABSORBER ASSY, SHOCK, RR</t>
  </si>
  <si>
    <t>485300DE7000</t>
  </si>
  <si>
    <t>D-03-04-B02</t>
  </si>
  <si>
    <t>485300DC5000</t>
  </si>
  <si>
    <t>D-25-03-B03</t>
  </si>
  <si>
    <t>AMORTIGUADOR.TRAS</t>
  </si>
  <si>
    <t>485300D41000</t>
  </si>
  <si>
    <t>D-03-06-C02</t>
  </si>
  <si>
    <t>485300D40000</t>
  </si>
  <si>
    <t>D-03-04-B03</t>
  </si>
  <si>
    <t>485300A09100</t>
  </si>
  <si>
    <t>D-03-05-E03</t>
  </si>
  <si>
    <t>AMORTIGUADOR RR</t>
  </si>
  <si>
    <t>4853002D9000</t>
  </si>
  <si>
    <t>D-03-04-C04</t>
  </si>
  <si>
    <t>485300274000</t>
  </si>
  <si>
    <t>D-03-06-F02</t>
  </si>
  <si>
    <t>AMORTIGUADOR IZQ.</t>
  </si>
  <si>
    <t>485208Z17400</t>
  </si>
  <si>
    <t>D-03-06-E02</t>
  </si>
  <si>
    <t>AMORTIGUADOR FR LH</t>
  </si>
  <si>
    <t>485208Z03100</t>
  </si>
  <si>
    <t>D-10-05-C03</t>
  </si>
  <si>
    <t>485208049700</t>
  </si>
  <si>
    <t>D-10-03-D04</t>
  </si>
  <si>
    <t>ABSORBER ASSY SHOCK FR LH</t>
  </si>
  <si>
    <t>485200D46000</t>
  </si>
  <si>
    <t>D-03-06-D04</t>
  </si>
  <si>
    <t>4852009A7000</t>
  </si>
  <si>
    <t>D-03-04-C01</t>
  </si>
  <si>
    <t>485113966600</t>
  </si>
  <si>
    <t>D-03-05-E05</t>
  </si>
  <si>
    <t>ABSORBER ASSY, SHOCK, FR</t>
  </si>
  <si>
    <t>48510YY20000</t>
  </si>
  <si>
    <t>D-10-05-C02</t>
  </si>
  <si>
    <t>485108Z48400</t>
  </si>
  <si>
    <t>D-10-06-D02</t>
  </si>
  <si>
    <t>AMORTIGUADOR FR RH</t>
  </si>
  <si>
    <t>485108Z45200</t>
  </si>
  <si>
    <t>D-03-04-B01</t>
  </si>
  <si>
    <t>AMORTIGUADOR FR</t>
  </si>
  <si>
    <t>485108Z45000</t>
  </si>
  <si>
    <t>485108Z31300</t>
  </si>
  <si>
    <t>D-03-04-F03</t>
  </si>
  <si>
    <t>485108Z20800</t>
  </si>
  <si>
    <t>D-03-04-G06</t>
  </si>
  <si>
    <t>485108Z14300</t>
  </si>
  <si>
    <t>D-10-06-D01</t>
  </si>
  <si>
    <t>485106964500</t>
  </si>
  <si>
    <t>D-25-03-D03</t>
  </si>
  <si>
    <t>AMORTIGUADOR FRONTAL</t>
  </si>
  <si>
    <t>485106958500</t>
  </si>
  <si>
    <t>D-03-06-A04</t>
  </si>
  <si>
    <t>ABSORBER ASSY SHOCK FR RH</t>
  </si>
  <si>
    <t>485100DF1000</t>
  </si>
  <si>
    <t>D-03-06-D01</t>
  </si>
  <si>
    <t>485100DE3000</t>
  </si>
  <si>
    <t>D-10-04-D03</t>
  </si>
  <si>
    <t>D-08-05-B01</t>
  </si>
  <si>
    <t>483311215000</t>
  </si>
  <si>
    <t>D-07-02-F01</t>
  </si>
  <si>
    <t>FUELLE AMORTIGUADOR FR</t>
  </si>
  <si>
    <t>483310D08000</t>
  </si>
  <si>
    <t>D-06-02-C06</t>
  </si>
  <si>
    <t>TOPE SUSPENSION</t>
  </si>
  <si>
    <t>483040K05000</t>
  </si>
  <si>
    <t>D-21-02-E05</t>
  </si>
  <si>
    <t>TOPE RESORTE SUSP.</t>
  </si>
  <si>
    <t>482574202000</t>
  </si>
  <si>
    <t>D-16-00-A06</t>
  </si>
  <si>
    <t>SILENCIADOR RESORTE</t>
  </si>
  <si>
    <t>482522607000</t>
  </si>
  <si>
    <t>D-21-00-H04</t>
  </si>
  <si>
    <t>482520KC4000</t>
  </si>
  <si>
    <t>D-19-02-E01</t>
  </si>
  <si>
    <t>RESORTE SUSP.TRAS.</t>
  </si>
  <si>
    <t>482314218100</t>
  </si>
  <si>
    <t>D-10-06-C05</t>
  </si>
  <si>
    <t>HOJA DE ELASTICO N 3</t>
  </si>
  <si>
    <t>482130K72000</t>
  </si>
  <si>
    <t>H-02-06-A10</t>
  </si>
  <si>
    <t>H-02-06-A02</t>
  </si>
  <si>
    <t>ARANDELA BUJE BRA SUSP FR</t>
  </si>
  <si>
    <t>481986002100</t>
  </si>
  <si>
    <t>481983501000</t>
  </si>
  <si>
    <t>E-06-01-I01</t>
  </si>
  <si>
    <t>481980K03000</t>
  </si>
  <si>
    <t>D-18-00-F04</t>
  </si>
  <si>
    <t>BULON BRAZO SUSPENSION FR</t>
  </si>
  <si>
    <t>481906004000</t>
  </si>
  <si>
    <t>D-18-00-E06</t>
  </si>
  <si>
    <t>481900K05000</t>
  </si>
  <si>
    <t>D-18-00-F03</t>
  </si>
  <si>
    <t>481900K04000</t>
  </si>
  <si>
    <t>D-18-00-F05</t>
  </si>
  <si>
    <t>CAPUCHON BARRA TORSI</t>
  </si>
  <si>
    <t>481743503100</t>
  </si>
  <si>
    <t>D-17-02-G04</t>
  </si>
  <si>
    <t>1.2 LUNA BARRA TORSION</t>
  </si>
  <si>
    <t>481733502000</t>
  </si>
  <si>
    <t>D-18-02-E03</t>
  </si>
  <si>
    <t>RESORTE ESPIRAL</t>
  </si>
  <si>
    <t>481350209000</t>
  </si>
  <si>
    <t>D-10-06-C04</t>
  </si>
  <si>
    <t>RESORTE SUSPENSION</t>
  </si>
  <si>
    <t>481310KA1000</t>
  </si>
  <si>
    <t>D-10-06-C03</t>
  </si>
  <si>
    <t>PARRILLA SUSP.</t>
  </si>
  <si>
    <t>480691229000</t>
  </si>
  <si>
    <t>D-05-03-B07</t>
  </si>
  <si>
    <t>480690K12100</t>
  </si>
  <si>
    <t>D-10-00-A01</t>
  </si>
  <si>
    <t>PARRILLA SUSPENSION LH</t>
  </si>
  <si>
    <t>480690K05000</t>
  </si>
  <si>
    <t>D-05-03-A02</t>
  </si>
  <si>
    <t>PARRILLA SUSP.INF. LH W/B</t>
  </si>
  <si>
    <t>480690D12100</t>
  </si>
  <si>
    <t>D-05-03-B06</t>
  </si>
  <si>
    <t>BRAZO DE SUSPENSION IZQ</t>
  </si>
  <si>
    <t>480690931000</t>
  </si>
  <si>
    <t>D-05-03-F01</t>
  </si>
  <si>
    <t>480684204100</t>
  </si>
  <si>
    <t>D-05-03-B05</t>
  </si>
  <si>
    <t>480683509000</t>
  </si>
  <si>
    <t>D-05-03-C01</t>
  </si>
  <si>
    <t>480680K12100</t>
  </si>
  <si>
    <t>D-10-01-A01</t>
  </si>
  <si>
    <t>D-05-03-A01</t>
  </si>
  <si>
    <t>480680D13300</t>
  </si>
  <si>
    <t>D-05-03-B09</t>
  </si>
  <si>
    <t>PARRILLA SUSP.INF. RH W/B</t>
  </si>
  <si>
    <t>480680D13100</t>
  </si>
  <si>
    <t>D-05-03-B02</t>
  </si>
  <si>
    <t>BRAZO SUSPENSION DER</t>
  </si>
  <si>
    <t>480680930000</t>
  </si>
  <si>
    <t>D-05-03-D03</t>
  </si>
  <si>
    <t>480680236000</t>
  </si>
  <si>
    <t>D-05-03-C02</t>
  </si>
  <si>
    <t>480613505000</t>
  </si>
  <si>
    <t>D-21-01-E02</t>
  </si>
  <si>
    <t>480613504000</t>
  </si>
  <si>
    <t>480613501100</t>
  </si>
  <si>
    <t>D-21-00-F01</t>
  </si>
  <si>
    <t>BUJE VÁLVULA LSPV</t>
  </si>
  <si>
    <t>479243501000</t>
  </si>
  <si>
    <t>D-19-01-E07</t>
  </si>
  <si>
    <t>DEFLECTOR CALIPER RR LH</t>
  </si>
  <si>
    <t>478041209000</t>
  </si>
  <si>
    <t>E-06-01-E02</t>
  </si>
  <si>
    <t>DEFLECTOR CALIPER</t>
  </si>
  <si>
    <t>478040207000</t>
  </si>
  <si>
    <t>DEFLECTOR DISCO IZQ</t>
  </si>
  <si>
    <t>477827103000</t>
  </si>
  <si>
    <t>D-05-05-D07</t>
  </si>
  <si>
    <t>DEFLECTOR DISCO FR IZQ.</t>
  </si>
  <si>
    <t>477820K18300</t>
  </si>
  <si>
    <t>D-05-05-D01</t>
  </si>
  <si>
    <t>DEFLECTOR DISCO FR DER.</t>
  </si>
  <si>
    <t>477810K18300</t>
  </si>
  <si>
    <t>D-05-05-D02</t>
  </si>
  <si>
    <t>DEFLECTOR DISCO</t>
  </si>
  <si>
    <t>477810K05000</t>
  </si>
  <si>
    <t>D-05-04-B07</t>
  </si>
  <si>
    <t>477810K03100</t>
  </si>
  <si>
    <t>D-05-05-D06</t>
  </si>
  <si>
    <t>DEFLECTOR DISCO FRENO FR</t>
  </si>
  <si>
    <t>477810D11000</t>
  </si>
  <si>
    <t>D-05-05-D05</t>
  </si>
  <si>
    <t>477495801000</t>
  </si>
  <si>
    <t>477493303000</t>
  </si>
  <si>
    <t>D-19-01-B03</t>
  </si>
  <si>
    <t>RESORTE PAST. FRENO</t>
  </si>
  <si>
    <t>477487102000</t>
  </si>
  <si>
    <t>D-21-01-D03</t>
  </si>
  <si>
    <t>477486001000</t>
  </si>
  <si>
    <t>D-17-00-D03</t>
  </si>
  <si>
    <t>PLACA ANTIRRUIDO</t>
  </si>
  <si>
    <t>477440221000</t>
  </si>
  <si>
    <t>D-20-01-D06</t>
  </si>
  <si>
    <t>PISTON CALIPER</t>
  </si>
  <si>
    <t>477313501000</t>
  </si>
  <si>
    <t>D-21-01-F05</t>
  </si>
  <si>
    <t>PISTON CALIPER FRENO</t>
  </si>
  <si>
    <t>477312209000</t>
  </si>
  <si>
    <t>D-16-01-A05</t>
  </si>
  <si>
    <t>477310K13000</t>
  </si>
  <si>
    <t>D-19-00-G03</t>
  </si>
  <si>
    <t>CONJ.CALIPER DER.</t>
  </si>
  <si>
    <t>477300K13000</t>
  </si>
  <si>
    <t>D-09-02-C04</t>
  </si>
  <si>
    <t>CONJ. CALIPER FRENO</t>
  </si>
  <si>
    <t>477300247000</t>
  </si>
  <si>
    <t>E-06-01-B03</t>
  </si>
  <si>
    <t>PLACA CALIPER FRENO</t>
  </si>
  <si>
    <t>477212046000</t>
  </si>
  <si>
    <t>E-06-01-D03</t>
  </si>
  <si>
    <t>PASADOR CIL.FRENO</t>
  </si>
  <si>
    <t>477156001000</t>
  </si>
  <si>
    <t>D-20-01-D07</t>
  </si>
  <si>
    <t>CILINDRO DE FRENO</t>
  </si>
  <si>
    <t>475506012000</t>
  </si>
  <si>
    <t>D-21-01-F08</t>
  </si>
  <si>
    <t>CILINDRO DE FRENO RR</t>
  </si>
  <si>
    <t>475500D07000</t>
  </si>
  <si>
    <t>D-20-00-H08</t>
  </si>
  <si>
    <t>475500908000</t>
  </si>
  <si>
    <t>D-20-01-J05</t>
  </si>
  <si>
    <t>PLATILLO ZAPATA</t>
  </si>
  <si>
    <t>474493002000</t>
  </si>
  <si>
    <t>D-20-00-C01</t>
  </si>
  <si>
    <t>PERNO DEFL.FRENO</t>
  </si>
  <si>
    <t>474473001000</t>
  </si>
  <si>
    <t>D-20-00-F07</t>
  </si>
  <si>
    <t>REGULADOR</t>
  </si>
  <si>
    <t>474056001000</t>
  </si>
  <si>
    <t>E-06-01-F07</t>
  </si>
  <si>
    <t>TUBO DE FRENO</t>
  </si>
  <si>
    <t>47327KK12000</t>
  </si>
  <si>
    <t>E-06-02-F01</t>
  </si>
  <si>
    <t>TUBO DE FRENO RR N 7</t>
  </si>
  <si>
    <t>473270K09100</t>
  </si>
  <si>
    <t>H-01-10-A09</t>
  </si>
  <si>
    <t>TUBO DE FRENO RR NO.4</t>
  </si>
  <si>
    <t>473240D18000</t>
  </si>
  <si>
    <t>D-16-00-H06</t>
  </si>
  <si>
    <t>473163525000</t>
  </si>
  <si>
    <t>TUBO FRENO</t>
  </si>
  <si>
    <t>473160K03000</t>
  </si>
  <si>
    <t>D-16-00-G06</t>
  </si>
  <si>
    <t>TAPA DEP.LIQU.DE FRENO</t>
  </si>
  <si>
    <t>472302014000</t>
  </si>
  <si>
    <t>D-18-01-B04</t>
  </si>
  <si>
    <t>TAPA DEPOSITO LIQ. FRENO</t>
  </si>
  <si>
    <t>472300D16000</t>
  </si>
  <si>
    <t>RESERVOIR ASSY</t>
  </si>
  <si>
    <t>472200935000</t>
  </si>
  <si>
    <t>D-09-00-D01</t>
  </si>
  <si>
    <t>CILINDRO DE FRENO W/VSC</t>
  </si>
  <si>
    <t>472010K17200</t>
  </si>
  <si>
    <t>D-09-01-C01</t>
  </si>
  <si>
    <t>472010968000</t>
  </si>
  <si>
    <t>471483401000</t>
  </si>
  <si>
    <t>D-17-02-E06</t>
  </si>
  <si>
    <t>REGULADOR CINTAS FRENO</t>
  </si>
  <si>
    <t>470626001100</t>
  </si>
  <si>
    <t>D-21-02-G05</t>
  </si>
  <si>
    <t>PLATO FRENO DE MANO RR RH</t>
  </si>
  <si>
    <t>470430K14000</t>
  </si>
  <si>
    <t>D-06-02-C01</t>
  </si>
  <si>
    <t>ZAPATA FRENO TRAS.NO.2</t>
  </si>
  <si>
    <t>465900K01000</t>
  </si>
  <si>
    <t>D-05-02-C06</t>
  </si>
  <si>
    <t>ZAPATA FRENO</t>
  </si>
  <si>
    <t>465900202000</t>
  </si>
  <si>
    <t>E-06-01-I07</t>
  </si>
  <si>
    <t>ZAPATA DE FRENO</t>
  </si>
  <si>
    <t>465806006000</t>
  </si>
  <si>
    <t>D-05-00-C02</t>
  </si>
  <si>
    <t>465506007000</t>
  </si>
  <si>
    <t>PED-01-A01</t>
  </si>
  <si>
    <t>D-05-02-C04</t>
  </si>
  <si>
    <t>SHOE ASSY, PARKING BRAKE, RH NO.2</t>
  </si>
  <si>
    <t>465500K01000</t>
  </si>
  <si>
    <t>D-05-02-D02</t>
  </si>
  <si>
    <t>465406006000</t>
  </si>
  <si>
    <t>D-05-00-C01</t>
  </si>
  <si>
    <t>465402008000</t>
  </si>
  <si>
    <t>E-06-03-B05</t>
  </si>
  <si>
    <t>ZAPATA DE FRENO NO.1</t>
  </si>
  <si>
    <t>465400K01000</t>
  </si>
  <si>
    <t>D-05-02-C01</t>
  </si>
  <si>
    <t>D-23-02-B02</t>
  </si>
  <si>
    <t>CABLE FRENO MANO</t>
  </si>
  <si>
    <t>464300K04100</t>
  </si>
  <si>
    <t>D-23-02-A01</t>
  </si>
  <si>
    <t>464206007000</t>
  </si>
  <si>
    <t>D-05-04-B02</t>
  </si>
  <si>
    <t>D-23-02-A02</t>
  </si>
  <si>
    <t>464200K09100</t>
  </si>
  <si>
    <t>D-23-02-B03</t>
  </si>
  <si>
    <t>464200K04100</t>
  </si>
  <si>
    <t>D-23-02-B01</t>
  </si>
  <si>
    <t>CABLE FRENO DE MANO</t>
  </si>
  <si>
    <t>464100K12000</t>
  </si>
  <si>
    <t>D-23-02-C05</t>
  </si>
  <si>
    <t>464100K04100</t>
  </si>
  <si>
    <t>D-23-02-A05</t>
  </si>
  <si>
    <t>CAPUCHON PAL.FRENO</t>
  </si>
  <si>
    <t>462430K040C0</t>
  </si>
  <si>
    <t>D-07-03-B01</t>
  </si>
  <si>
    <t>PERNO AJUSTE TRABA DIRECC</t>
  </si>
  <si>
    <t>458971202000</t>
  </si>
  <si>
    <t>D-18-02-D08</t>
  </si>
  <si>
    <t>AMORTIGUADOR DIREC.</t>
  </si>
  <si>
    <t>457003903500</t>
  </si>
  <si>
    <t>D-03-04-A04</t>
  </si>
  <si>
    <t>SOPORTE CAPUCHON CREMALL.</t>
  </si>
  <si>
    <t>455380D06000</t>
  </si>
  <si>
    <t>D-19-00-E03</t>
  </si>
  <si>
    <t>CAPUCHON CREMALLERA</t>
  </si>
  <si>
    <t>455360K01000</t>
  </si>
  <si>
    <t>D-07-02-F03</t>
  </si>
  <si>
    <t>455350942000</t>
  </si>
  <si>
    <t>D-07-02-G03</t>
  </si>
  <si>
    <t>455350934000</t>
  </si>
  <si>
    <t>D-07-02-F04</t>
  </si>
  <si>
    <t>GUIA CREMALLERA</t>
  </si>
  <si>
    <t>455232801000</t>
  </si>
  <si>
    <t>D-19-01-H07</t>
  </si>
  <si>
    <t>455161206000</t>
  </si>
  <si>
    <t>D-21-01-H01</t>
  </si>
  <si>
    <t>CAJA DE DIRECCION</t>
  </si>
  <si>
    <t>455100222000</t>
  </si>
  <si>
    <t>H-01-09-B06</t>
  </si>
  <si>
    <t>PRECAP DIRECCION</t>
  </si>
  <si>
    <t>455031921500</t>
  </si>
  <si>
    <t>D-21-02-C05</t>
  </si>
  <si>
    <t>455030D11000</t>
  </si>
  <si>
    <t>D-21-02-G04</t>
  </si>
  <si>
    <t>SELLO</t>
  </si>
  <si>
    <t>452923505000</t>
  </si>
  <si>
    <t>D-20-01-G03</t>
  </si>
  <si>
    <t>EJE COLUMNA DIRECCION</t>
  </si>
  <si>
    <t>452604211000</t>
  </si>
  <si>
    <t>D-08-02-B05</t>
  </si>
  <si>
    <t>EJE INT.DIRECCION</t>
  </si>
  <si>
    <t>452211235000</t>
  </si>
  <si>
    <t>D-17-00-B08</t>
  </si>
  <si>
    <t>HORQUILLA COLUM. DIRECC.</t>
  </si>
  <si>
    <t>452060K12000</t>
  </si>
  <si>
    <t>D-03-04-F02</t>
  </si>
  <si>
    <t>AIR BAG CONDUCTOR</t>
  </si>
  <si>
    <t>4513042100B0</t>
  </si>
  <si>
    <t>D-09-01-C02</t>
  </si>
  <si>
    <t>AIRBAG VOL.S SWITCH</t>
  </si>
  <si>
    <t>4513002740B1</t>
  </si>
  <si>
    <t>D-10-01-B01</t>
  </si>
  <si>
    <t>AIR BAG VOLANTE</t>
  </si>
  <si>
    <t>4513002430B0</t>
  </si>
  <si>
    <t>D-09-01-B01</t>
  </si>
  <si>
    <t>VOLANTE DIRECCION</t>
  </si>
  <si>
    <t>451000KA60E0</t>
  </si>
  <si>
    <t>E-06-00-A03</t>
  </si>
  <si>
    <t>4510002W80C0</t>
  </si>
  <si>
    <t>D-08-06-B03</t>
  </si>
  <si>
    <t>EXTREMO LARGO DIRECC</t>
  </si>
  <si>
    <t>450472910500</t>
  </si>
  <si>
    <t>D-21-02-C06</t>
  </si>
  <si>
    <t>EXTREMO DE DIRECCION</t>
  </si>
  <si>
    <t>450470940000</t>
  </si>
  <si>
    <t>D-21-02-F04</t>
  </si>
  <si>
    <t>450470937000</t>
  </si>
  <si>
    <t>D-21-02-F03</t>
  </si>
  <si>
    <t>450470936000</t>
  </si>
  <si>
    <t>D-21-02-D02</t>
  </si>
  <si>
    <t>450466923600</t>
  </si>
  <si>
    <t>D-21-02-H05</t>
  </si>
  <si>
    <t>EXTREMO</t>
  </si>
  <si>
    <t>450463918500</t>
  </si>
  <si>
    <t>D-21-01-C01</t>
  </si>
  <si>
    <t>450460987000</t>
  </si>
  <si>
    <t>D-21-01-G02</t>
  </si>
  <si>
    <t>450460982000</t>
  </si>
  <si>
    <t>D-21-01-A04</t>
  </si>
  <si>
    <t>450460972000</t>
  </si>
  <si>
    <t>D-21-01-C03</t>
  </si>
  <si>
    <t>450460971000</t>
  </si>
  <si>
    <t>D-21-02-A01</t>
  </si>
  <si>
    <t>205/55 R16 PRIMACY 4+</t>
  </si>
  <si>
    <t>444057</t>
  </si>
  <si>
    <t>E-00-00-A01</t>
  </si>
  <si>
    <t>UNION PRESION</t>
  </si>
  <si>
    <t>443387101000</t>
  </si>
  <si>
    <t>D-17-02-C01</t>
  </si>
  <si>
    <t>BOMBA DIRECCION HIDRAULIC</t>
  </si>
  <si>
    <t>443100K14200</t>
  </si>
  <si>
    <t>D-10-02-C01</t>
  </si>
  <si>
    <t>443100K13000</t>
  </si>
  <si>
    <t>D-10-00-D05</t>
  </si>
  <si>
    <t>BBA.DIR.HIDR.</t>
  </si>
  <si>
    <t>443100K04000</t>
  </si>
  <si>
    <t>D-09-00-B01</t>
  </si>
  <si>
    <t>TAPA DEP.LIQ.DE DIRECC.</t>
  </si>
  <si>
    <t>443052405000</t>
  </si>
  <si>
    <t>D-18-01-D03</t>
  </si>
  <si>
    <t>CONJ.CREMALLERA DIRE</t>
  </si>
  <si>
    <t>442500K75000</t>
  </si>
  <si>
    <t>H-01-01-A04</t>
  </si>
  <si>
    <t>VALVULA CAJA DIRECCION</t>
  </si>
  <si>
    <t>442100K25000</t>
  </si>
  <si>
    <t>D-16-00-C07</t>
  </si>
  <si>
    <t>CAJA DIRECCION</t>
  </si>
  <si>
    <t>442000K77000</t>
  </si>
  <si>
    <t>MAZA FR RH W/ABS SENSOR</t>
  </si>
  <si>
    <t>435500D03000</t>
  </si>
  <si>
    <t>D-05-01-B02</t>
  </si>
  <si>
    <t>SEGURO TUERCA</t>
  </si>
  <si>
    <t>435257101000</t>
  </si>
  <si>
    <t>D-20-01-B03</t>
  </si>
  <si>
    <t>435252003000</t>
  </si>
  <si>
    <t>D-20-01-D01</t>
  </si>
  <si>
    <t>TUERCA MAZA DEL.</t>
  </si>
  <si>
    <t>435216001100</t>
  </si>
  <si>
    <t>D-20-00-J04</t>
  </si>
  <si>
    <t>435213501000</t>
  </si>
  <si>
    <t>D-20-01-K07</t>
  </si>
  <si>
    <t>ROTOR</t>
  </si>
  <si>
    <t>435177101000</t>
  </si>
  <si>
    <t>D-19-00-J06</t>
  </si>
  <si>
    <t>ROTOR PALIER</t>
  </si>
  <si>
    <t>435173501000</t>
  </si>
  <si>
    <t>D-21-02-D01</t>
  </si>
  <si>
    <t>435150K02000</t>
  </si>
  <si>
    <t>D-19-00-G06</t>
  </si>
  <si>
    <t>TAPA GRASERA</t>
  </si>
  <si>
    <t>435140K01000</t>
  </si>
  <si>
    <t>D-17-00-A01</t>
  </si>
  <si>
    <t>435126018000</t>
  </si>
  <si>
    <t>D-03-03-D02</t>
  </si>
  <si>
    <t>435124204000</t>
  </si>
  <si>
    <t>D-03-04-F01</t>
  </si>
  <si>
    <t>435124203200</t>
  </si>
  <si>
    <t>D-03-03-B01</t>
  </si>
  <si>
    <t>435123518000</t>
  </si>
  <si>
    <t>E-06-01-A02</t>
  </si>
  <si>
    <t>435121302200</t>
  </si>
  <si>
    <t>E-06-01-A01</t>
  </si>
  <si>
    <t>D-03-00-A01</t>
  </si>
  <si>
    <t>DISCO DE FRENO FR</t>
  </si>
  <si>
    <t>435120K28000</t>
  </si>
  <si>
    <t>D-07-05-A02</t>
  </si>
  <si>
    <t>DISCO FRENO FR</t>
  </si>
  <si>
    <t>435120D17000</t>
  </si>
  <si>
    <t>D-03-03-E01</t>
  </si>
  <si>
    <t>435120D16000</t>
  </si>
  <si>
    <t>D-03-03-B03</t>
  </si>
  <si>
    <t>435120242000</t>
  </si>
  <si>
    <t>D-03-02-C03</t>
  </si>
  <si>
    <t>435120235000</t>
  </si>
  <si>
    <t>D-03-04-D01</t>
  </si>
  <si>
    <t>MAZA DISCO DELANTERO</t>
  </si>
  <si>
    <t>43502KK02000</t>
  </si>
  <si>
    <t>D-10-01-D03</t>
  </si>
  <si>
    <t>43502KK01000</t>
  </si>
  <si>
    <t>D-10-01-D04</t>
  </si>
  <si>
    <t>TAPA RETENEDOR.GRASA</t>
  </si>
  <si>
    <t>434420K01000</t>
  </si>
  <si>
    <t>D-17-00-A03</t>
  </si>
  <si>
    <t>SEMIEJE DELANTERO</t>
  </si>
  <si>
    <t>434300K06000</t>
  </si>
  <si>
    <t>D-08-06-A04</t>
  </si>
  <si>
    <t>SEMIEJE DEL</t>
  </si>
  <si>
    <t>434300K04100</t>
  </si>
  <si>
    <t>D-08-06-B01</t>
  </si>
  <si>
    <t>SEGURO SEMIEJE</t>
  </si>
  <si>
    <t>434250K13000</t>
  </si>
  <si>
    <t>D-20-00-J06</t>
  </si>
  <si>
    <t>SEMIEJE DELANTERO IZQUIER</t>
  </si>
  <si>
    <t>434200A24000</t>
  </si>
  <si>
    <t>H-02-06-B04</t>
  </si>
  <si>
    <t>SEMIEJE DELANTERO DER</t>
  </si>
  <si>
    <t>434100A24000</t>
  </si>
  <si>
    <t>H-02-06-B05</t>
  </si>
  <si>
    <t>CONJ.SEMIEJE W/ABS</t>
  </si>
  <si>
    <t>434100272000</t>
  </si>
  <si>
    <t>H-02-06-A09</t>
  </si>
  <si>
    <t>ROTULA PARRILLA SUP. 4X4</t>
  </si>
  <si>
    <t>433503908500</t>
  </si>
  <si>
    <t>D-21-00-E04</t>
  </si>
  <si>
    <t>ROTULA PARRILLA INF.</t>
  </si>
  <si>
    <t>433403924500</t>
  </si>
  <si>
    <t>D-21-00-H05</t>
  </si>
  <si>
    <t>ROTULA SUP</t>
  </si>
  <si>
    <t>433100903000</t>
  </si>
  <si>
    <t>D-21-00-E02</t>
  </si>
  <si>
    <t>BRAZO PUNTA DE EJE DER.</t>
  </si>
  <si>
    <t>43211KK01000</t>
  </si>
  <si>
    <t>D-05-01-A02</t>
  </si>
  <si>
    <t>JGO. SELLOS DOBLE TRACCIO</t>
  </si>
  <si>
    <t>432046002000</t>
  </si>
  <si>
    <t>D-21-00-A04</t>
  </si>
  <si>
    <t>265/65 R17 LTX TRAIL</t>
  </si>
  <si>
    <t>431065</t>
  </si>
  <si>
    <t>E-05-01-A01</t>
  </si>
  <si>
    <t>UNION SEMIEJE</t>
  </si>
  <si>
    <t>430402801100</t>
  </si>
  <si>
    <t>D-05-02-D04</t>
  </si>
  <si>
    <t>ACOPLE SEMIEJE</t>
  </si>
  <si>
    <t>430400K03000</t>
  </si>
  <si>
    <t>D-05-01-E01</t>
  </si>
  <si>
    <t>LLANTA HILUX 2019 - CAT 2</t>
  </si>
  <si>
    <t>42611YYA1000</t>
  </si>
  <si>
    <t>LLANTA</t>
  </si>
  <si>
    <t>426110KU8100</t>
  </si>
  <si>
    <t>D-10-03-B02</t>
  </si>
  <si>
    <t>LLANTA SR/SRV 2021 GRIS</t>
  </si>
  <si>
    <t>426110KU5000</t>
  </si>
  <si>
    <t>R-01-03-A03</t>
  </si>
  <si>
    <t>D-10-03-A01</t>
  </si>
  <si>
    <t>426110KU3100</t>
  </si>
  <si>
    <t>D-10-04-B01</t>
  </si>
  <si>
    <t>D-10-04-B02</t>
  </si>
  <si>
    <t>D-10-06-A02</t>
  </si>
  <si>
    <t>D-10-04-A01</t>
  </si>
  <si>
    <t>LLANTA ALEACION HILUX</t>
  </si>
  <si>
    <t>426110K76100</t>
  </si>
  <si>
    <t>D-10-04-A02</t>
  </si>
  <si>
    <t>LLANTA ETIOS-YARIS MAXION R15</t>
  </si>
  <si>
    <t>426110DM8000</t>
  </si>
  <si>
    <t>D-10-02-A02</t>
  </si>
  <si>
    <t>LLANTA ETIOS-YARIS MANGELS R15</t>
  </si>
  <si>
    <t>426110DM7000</t>
  </si>
  <si>
    <t>D-10-02-A03</t>
  </si>
  <si>
    <t>LLANTA YARIS</t>
  </si>
  <si>
    <t>426110DL6000</t>
  </si>
  <si>
    <t>D-10-05-A01</t>
  </si>
  <si>
    <t>LLANTA ETIOS 15"</t>
  </si>
  <si>
    <t>426110DE3000</t>
  </si>
  <si>
    <t>426110D54100</t>
  </si>
  <si>
    <t>LLANTA CHAPA</t>
  </si>
  <si>
    <t>4261102B5000</t>
  </si>
  <si>
    <t>D-10-02-A01</t>
  </si>
  <si>
    <t>4260BYP06000</t>
  </si>
  <si>
    <t>E-06-03-C02</t>
  </si>
  <si>
    <t>TAZA DE RUEDA MY19 SRX</t>
  </si>
  <si>
    <t>4260BYP03000</t>
  </si>
  <si>
    <t>D-10-03-C05</t>
  </si>
  <si>
    <t>TAZA RUEDA</t>
  </si>
  <si>
    <t>4260B6016000</t>
  </si>
  <si>
    <t>E-06-03-C01</t>
  </si>
  <si>
    <t>4260B0K37000</t>
  </si>
  <si>
    <t>D-10-03-C01</t>
  </si>
  <si>
    <t>TAZA DE RUEDA gris</t>
  </si>
  <si>
    <t>4260B0K36000</t>
  </si>
  <si>
    <t>D-10-03-C02</t>
  </si>
  <si>
    <t>TAZA DE RUEDA ngro</t>
  </si>
  <si>
    <t>4260B0K35000</t>
  </si>
  <si>
    <t>D-10-04-C02</t>
  </si>
  <si>
    <t>D-10-04-C03</t>
  </si>
  <si>
    <t>D-10-04-C01</t>
  </si>
  <si>
    <t>TAZA DE RUEDA NEGRA</t>
  </si>
  <si>
    <t>4260B0K22000</t>
  </si>
  <si>
    <t>D-10-03-C07</t>
  </si>
  <si>
    <t>4260B0K08000</t>
  </si>
  <si>
    <t>D-10-03-C06</t>
  </si>
  <si>
    <t>4260B0K02000</t>
  </si>
  <si>
    <t>D-10-04-C04</t>
  </si>
  <si>
    <t>TAZA RUEDA ALUM</t>
  </si>
  <si>
    <t>426036025000</t>
  </si>
  <si>
    <t>D-10-04-C06</t>
  </si>
  <si>
    <t>426035211000</t>
  </si>
  <si>
    <t>D-18-02-M02</t>
  </si>
  <si>
    <t>426034814000</t>
  </si>
  <si>
    <t>D-17-01-G02</t>
  </si>
  <si>
    <t>426033563000</t>
  </si>
  <si>
    <t>D-10-03-C04</t>
  </si>
  <si>
    <t>CENTRO DE LLANTA</t>
  </si>
  <si>
    <t>426030D23000</t>
  </si>
  <si>
    <t>D-17-01-C02</t>
  </si>
  <si>
    <t>426030D18000</t>
  </si>
  <si>
    <t>D-17-01-G03</t>
  </si>
  <si>
    <t>TAZA DE RUEDA CH.</t>
  </si>
  <si>
    <t>426030229000</t>
  </si>
  <si>
    <t>D-17-00-F02</t>
  </si>
  <si>
    <t>4260212A0000</t>
  </si>
  <si>
    <t>426021251000</t>
  </si>
  <si>
    <t>E-06-02-A04</t>
  </si>
  <si>
    <t>426020D37000</t>
  </si>
  <si>
    <t>MAZA RUEDA W/SENSOR ABS</t>
  </si>
  <si>
    <t>424500226100</t>
  </si>
  <si>
    <t>D-10-01-B04</t>
  </si>
  <si>
    <t>424443505000</t>
  </si>
  <si>
    <t>D-08-02-B04</t>
  </si>
  <si>
    <t>424435502000</t>
  </si>
  <si>
    <t>D-08-01-G06</t>
  </si>
  <si>
    <t>DISCO TRASERO</t>
  </si>
  <si>
    <t>424316031100</t>
  </si>
  <si>
    <t>DISCO FR. TRASERO</t>
  </si>
  <si>
    <t>424316029000</t>
  </si>
  <si>
    <t>D-03-03-C01</t>
  </si>
  <si>
    <t>DISCO FRENO TRASERO</t>
  </si>
  <si>
    <t>424311231000</t>
  </si>
  <si>
    <t>D-03-03-B02</t>
  </si>
  <si>
    <t>CAMPANA RUEDA TRASERA</t>
  </si>
  <si>
    <t>424310D15000</t>
  </si>
  <si>
    <t>D-03-04-E02</t>
  </si>
  <si>
    <t>D-03-04-E01</t>
  </si>
  <si>
    <t>424310209000</t>
  </si>
  <si>
    <t>D-03-02-C02</t>
  </si>
  <si>
    <t>D-20-01-J06</t>
  </si>
  <si>
    <t>424237101000</t>
  </si>
  <si>
    <t>D-19-00-J08</t>
  </si>
  <si>
    <t>EJE TRASERO</t>
  </si>
  <si>
    <t>423110K09000</t>
  </si>
  <si>
    <t>H-02-06-A05</t>
  </si>
  <si>
    <t>SOPORTE MANGUERA DIF</t>
  </si>
  <si>
    <t>423090K01000</t>
  </si>
  <si>
    <t>E-06-01-I02</t>
  </si>
  <si>
    <t>JUNTA DIFERENCIAL</t>
  </si>
  <si>
    <t>42181KK01000</t>
  </si>
  <si>
    <t>D-05-04-D02</t>
  </si>
  <si>
    <t>421810K03000</t>
  </si>
  <si>
    <t>D-05-06-D03</t>
  </si>
  <si>
    <t>CANONERA DIFERENCIAL</t>
  </si>
  <si>
    <t>421100K39100</t>
  </si>
  <si>
    <t>H-02-06-A08</t>
  </si>
  <si>
    <t>421100K10000</t>
  </si>
  <si>
    <t>H-01-00-A03</t>
  </si>
  <si>
    <t>DISCO DIF.DEL.</t>
  </si>
  <si>
    <t>414740K01000</t>
  </si>
  <si>
    <t>D-16-01-A02</t>
  </si>
  <si>
    <t>PROTECTOR ADD</t>
  </si>
  <si>
    <t>414677101000</t>
  </si>
  <si>
    <t>D-21-00-F04</t>
  </si>
  <si>
    <t>ACTUADOR VACIO</t>
  </si>
  <si>
    <t>414003503400</t>
  </si>
  <si>
    <t>D-06-00-E04</t>
  </si>
  <si>
    <t>PLACA DIFERENCIAL</t>
  </si>
  <si>
    <t>413852202000</t>
  </si>
  <si>
    <t>D-20-00-H02</t>
  </si>
  <si>
    <t>ARANDELA DIFERENCIAL</t>
  </si>
  <si>
    <t>413634002100</t>
  </si>
  <si>
    <t>D-20-00-F03</t>
  </si>
  <si>
    <t>ARANDELA DIFER.</t>
  </si>
  <si>
    <t>413613529100</t>
  </si>
  <si>
    <t>D-20-00-E07</t>
  </si>
  <si>
    <t>413613516100</t>
  </si>
  <si>
    <t>D-20-00-E05</t>
  </si>
  <si>
    <t>413613409000</t>
  </si>
  <si>
    <t>D-20-00-I01</t>
  </si>
  <si>
    <t>413613010000</t>
  </si>
  <si>
    <t>D-16-01-E02</t>
  </si>
  <si>
    <t>413516002000</t>
  </si>
  <si>
    <t>D-20-00-F06</t>
  </si>
  <si>
    <t>ARANDELA SATELITE</t>
  </si>
  <si>
    <t>413513006000</t>
  </si>
  <si>
    <t>D-20-00-D06</t>
  </si>
  <si>
    <t>413513005200</t>
  </si>
  <si>
    <t>D-20-00-F01</t>
  </si>
  <si>
    <t>DEFLECTOR DE ACEITE</t>
  </si>
  <si>
    <t>413361206000</t>
  </si>
  <si>
    <t>D-20-01-C02</t>
  </si>
  <si>
    <t>COBERTOR SEMIEJE DEL</t>
  </si>
  <si>
    <t>413360K05100</t>
  </si>
  <si>
    <t>D-19-00-B04</t>
  </si>
  <si>
    <t>CUBRE POLVO SEMIEJE</t>
  </si>
  <si>
    <t>413360K05000</t>
  </si>
  <si>
    <t>D-17-01-F04</t>
  </si>
  <si>
    <t>TOPE CRUZ SATELITE</t>
  </si>
  <si>
    <t>413083501000</t>
  </si>
  <si>
    <t>D-19-00-H04</t>
  </si>
  <si>
    <t>412520K04000</t>
  </si>
  <si>
    <t>D-16-01-G05</t>
  </si>
  <si>
    <t>ACOPLE DIF.</t>
  </si>
  <si>
    <t>412040K13100</t>
  </si>
  <si>
    <t>D-10-02-C02</t>
  </si>
  <si>
    <t>KIT DIFERENCIAL</t>
  </si>
  <si>
    <t>4120109D8000</t>
  </si>
  <si>
    <t>D-06-02-A02</t>
  </si>
  <si>
    <t>DIFERENCIAL DEL.SADD</t>
  </si>
  <si>
    <t>411107139200</t>
  </si>
  <si>
    <t>PREPOOL-T</t>
  </si>
  <si>
    <t>373340C01000</t>
  </si>
  <si>
    <t>D-08-02-G04</t>
  </si>
  <si>
    <t>COJ.CENTRAL MOVIL</t>
  </si>
  <si>
    <t>372303613000</t>
  </si>
  <si>
    <t>D-21-02-C01</t>
  </si>
  <si>
    <t>SOPORTE CTR. DE COJINETE</t>
  </si>
  <si>
    <t>372300909000</t>
  </si>
  <si>
    <t>D-21-00-A03</t>
  </si>
  <si>
    <t>CARDAN CON RODAM.</t>
  </si>
  <si>
    <t>371000KE8000</t>
  </si>
  <si>
    <t>D-09-00-D04</t>
  </si>
  <si>
    <t>363453502100</t>
  </si>
  <si>
    <t>D-19-01-A03</t>
  </si>
  <si>
    <t>PERILLA PAL.CAMBIOS</t>
  </si>
  <si>
    <t>363030K020B0</t>
  </si>
  <si>
    <t>D-17-02-G09</t>
  </si>
  <si>
    <t>CADENA IMPULSORA</t>
  </si>
  <si>
    <t>362933504000</t>
  </si>
  <si>
    <t>D-06-00-C06</t>
  </si>
  <si>
    <t>JTA CAJA TRANSF.</t>
  </si>
  <si>
    <t>361463502100</t>
  </si>
  <si>
    <t>D-05-06-D14</t>
  </si>
  <si>
    <t>GUIA LUZ INDICAD.POSICION</t>
  </si>
  <si>
    <t>359530211000</t>
  </si>
  <si>
    <t>D-17-02-A09</t>
  </si>
  <si>
    <t>CHUPADOR DE ACEITE</t>
  </si>
  <si>
    <t>353300W09000</t>
  </si>
  <si>
    <t>D-05-06-D07</t>
  </si>
  <si>
    <t>JUNTA TRANSMISION ACEITE</t>
  </si>
  <si>
    <t>351687101000</t>
  </si>
  <si>
    <t>D-05-05-C03</t>
  </si>
  <si>
    <t>JUNTA DE CARTER</t>
  </si>
  <si>
    <t>351682001000</t>
  </si>
  <si>
    <t>D-05-06-D06</t>
  </si>
  <si>
    <t>JUNTA CARTER CAJA TRANS.</t>
  </si>
  <si>
    <t>351681209100</t>
  </si>
  <si>
    <t>D-05-04-D06</t>
  </si>
  <si>
    <t>TUBO CARTER CAJA TRANS.</t>
  </si>
  <si>
    <t>351251244000</t>
  </si>
  <si>
    <t>D-17-01-F03</t>
  </si>
  <si>
    <t>335846001000</t>
  </si>
  <si>
    <t>JUNTA CTRL NIVEL RETEN</t>
  </si>
  <si>
    <t>335840K02000</t>
  </si>
  <si>
    <t>D-20-01-I03</t>
  </si>
  <si>
    <t>CAPUCHON DE GOMA</t>
  </si>
  <si>
    <t>335544205000</t>
  </si>
  <si>
    <t>COBERTOR PALANCA CAMBIOS</t>
  </si>
  <si>
    <t>335540K05000</t>
  </si>
  <si>
    <t>D-17-01-A02</t>
  </si>
  <si>
    <t>D-17-00-E02</t>
  </si>
  <si>
    <t>335483101000</t>
  </si>
  <si>
    <t>D-18-02-E01</t>
  </si>
  <si>
    <t>335482202000</t>
  </si>
  <si>
    <t>PALANCA SELECTORA</t>
  </si>
  <si>
    <t>335300K69100</t>
  </si>
  <si>
    <t>D-05-03-F02</t>
  </si>
  <si>
    <t>PALANCA DE CAMBIOS</t>
  </si>
  <si>
    <t>335300K21000</t>
  </si>
  <si>
    <t>D-03-04-E03</t>
  </si>
  <si>
    <t>BASE PALANCA CAMBIOS</t>
  </si>
  <si>
    <t>335066003000</t>
  </si>
  <si>
    <t>D-18-00-G08</t>
  </si>
  <si>
    <t>BASE PALANCA</t>
  </si>
  <si>
    <t>335053503000</t>
  </si>
  <si>
    <t>PERILLA PALANCA DE CAMBIO</t>
  </si>
  <si>
    <t>3350452371C0</t>
  </si>
  <si>
    <t>D-17-01-E08</t>
  </si>
  <si>
    <t>3350412180B7</t>
  </si>
  <si>
    <t>D-18-02-A07</t>
  </si>
  <si>
    <t>ENGRANAJE VELOCIM.</t>
  </si>
  <si>
    <t>334812203000</t>
  </si>
  <si>
    <t>D-19-00-E02</t>
  </si>
  <si>
    <t>EJE MARCHA ATRAS</t>
  </si>
  <si>
    <t>334513503000</t>
  </si>
  <si>
    <t>D-20-00-B05</t>
  </si>
  <si>
    <t>RESORTE SINCRONIZADO CAJA</t>
  </si>
  <si>
    <t>333926004000</t>
  </si>
  <si>
    <t>D-20-00-C02</t>
  </si>
  <si>
    <t>ANILLO SINCRONIZADO</t>
  </si>
  <si>
    <t>333842601000</t>
  </si>
  <si>
    <t>D-20-01-H01</t>
  </si>
  <si>
    <t>333711401000</t>
  </si>
  <si>
    <t>D-17-00-B09</t>
  </si>
  <si>
    <t>ANILLO SINCRONIZADO NO.3</t>
  </si>
  <si>
    <t>333690K01000</t>
  </si>
  <si>
    <t>D-16-01-E05</t>
  </si>
  <si>
    <t>ANILLO SINCRONIZADO NO.2</t>
  </si>
  <si>
    <t>333685201000</t>
  </si>
  <si>
    <t>D-20-01-E03</t>
  </si>
  <si>
    <t>333683509000</t>
  </si>
  <si>
    <t>D-20-01-F04</t>
  </si>
  <si>
    <t>333683508000</t>
  </si>
  <si>
    <t>D-20-00-I08</t>
  </si>
  <si>
    <t>333682001200</t>
  </si>
  <si>
    <t>D-19-00-J03</t>
  </si>
  <si>
    <t>333673508000</t>
  </si>
  <si>
    <t>D-20-01-J07</t>
  </si>
  <si>
    <t>TRABA SINCRONIZADO</t>
  </si>
  <si>
    <t>333663505000</t>
  </si>
  <si>
    <t>333653506000</t>
  </si>
  <si>
    <t>D-20-00-D05</t>
  </si>
  <si>
    <t>333653006000</t>
  </si>
  <si>
    <t>D-18-00-C05</t>
  </si>
  <si>
    <t>333650K03000</t>
  </si>
  <si>
    <t>D-17-02-F06</t>
  </si>
  <si>
    <t>MAZA SINCRONIZADO NO.2</t>
  </si>
  <si>
    <t>333626003100</t>
  </si>
  <si>
    <t>D-20-01-F05</t>
  </si>
  <si>
    <t>MAZA SINCRONIZADO</t>
  </si>
  <si>
    <t>333617102000</t>
  </si>
  <si>
    <t>D-21-02-E07</t>
  </si>
  <si>
    <t>333617101000</t>
  </si>
  <si>
    <t>D-16-01-C04</t>
  </si>
  <si>
    <t>BUJE CAJA</t>
  </si>
  <si>
    <t>333553502000</t>
  </si>
  <si>
    <t>D-20-01-J04</t>
  </si>
  <si>
    <t>333483501000</t>
  </si>
  <si>
    <t>D-17-00-A07</t>
  </si>
  <si>
    <t>ARANDELA CAJA</t>
  </si>
  <si>
    <t>333467101000</t>
  </si>
  <si>
    <t>D-20-00-B08</t>
  </si>
  <si>
    <t>ENGRANAJE</t>
  </si>
  <si>
    <t>333361206100</t>
  </si>
  <si>
    <t>D-21-01-J04</t>
  </si>
  <si>
    <t>ENGRANAJE MARCHA ATRAS</t>
  </si>
  <si>
    <t>3333160H0100</t>
  </si>
  <si>
    <t>D-21-01-K02</t>
  </si>
  <si>
    <t>3333160H0000</t>
  </si>
  <si>
    <t>D-21-01-K01</t>
  </si>
  <si>
    <t>ENGRANAJE DE REVERSA</t>
  </si>
  <si>
    <t>333316004100</t>
  </si>
  <si>
    <t>D-21-02-B04</t>
  </si>
  <si>
    <t>FLANGE SUB-ASSY, OUTPUT SHAFT COMPANION</t>
  </si>
  <si>
    <t>333097103000</t>
  </si>
  <si>
    <t>D-16-00-D01</t>
  </si>
  <si>
    <t>DIRECTA CAJA</t>
  </si>
  <si>
    <t>333012606000</t>
  </si>
  <si>
    <t>D-03-01-B03</t>
  </si>
  <si>
    <t>CAPUCHON COLA CAJA</t>
  </si>
  <si>
    <t>331463002000</t>
  </si>
  <si>
    <t>D-19-00-J05</t>
  </si>
  <si>
    <t>TUBO RECEPTOR ACEITE</t>
  </si>
  <si>
    <t>331240K09000</t>
  </si>
  <si>
    <t>D-06-01-F07</t>
  </si>
  <si>
    <t>ANILLO SINCRO NO.1</t>
  </si>
  <si>
    <t>330376005000</t>
  </si>
  <si>
    <t>D-20-00-A06</t>
  </si>
  <si>
    <t>ANILLO SINCR.2ND N.1</t>
  </si>
  <si>
    <t>330373503000</t>
  </si>
  <si>
    <t>D-20-01-I01</t>
  </si>
  <si>
    <t>ENGRANAJE 3RA</t>
  </si>
  <si>
    <t>330340K15000</t>
  </si>
  <si>
    <t>D-21-02-H06</t>
  </si>
  <si>
    <t>SUBCONJ. DE ENGRANAJE 3RA</t>
  </si>
  <si>
    <t>330340K14000</t>
  </si>
  <si>
    <t>D-21-01-I07</t>
  </si>
  <si>
    <t>330340K10000</t>
  </si>
  <si>
    <t>D-16-01-A03</t>
  </si>
  <si>
    <t>330326008100</t>
  </si>
  <si>
    <t>D-21-01-K03</t>
  </si>
  <si>
    <t>ACUMULADOR EMBRAGUE</t>
  </si>
  <si>
    <t>314900K01000</t>
  </si>
  <si>
    <t>D-21-00-E05</t>
  </si>
  <si>
    <t>BOMBIN EMBRAGUE</t>
  </si>
  <si>
    <t>314700K10000</t>
  </si>
  <si>
    <t>D-21-02-J02</t>
  </si>
  <si>
    <t>314700K03000</t>
  </si>
  <si>
    <t>D-21-02-J06</t>
  </si>
  <si>
    <t>314594204000</t>
  </si>
  <si>
    <t>D-20-01-G04</t>
  </si>
  <si>
    <t>BOMBA EMBRAGUE</t>
  </si>
  <si>
    <t>314200K07100</t>
  </si>
  <si>
    <t>D-21-02-J01</t>
  </si>
  <si>
    <t>314200K06100</t>
  </si>
  <si>
    <t>D-21-02-F06</t>
  </si>
  <si>
    <t>BOMBA EMBRAGUE (aluminio)</t>
  </si>
  <si>
    <t>314200K03000</t>
  </si>
  <si>
    <t>D-21-02-J04</t>
  </si>
  <si>
    <t>314200K01400</t>
  </si>
  <si>
    <t>D-21-02-J03</t>
  </si>
  <si>
    <t>314200D23000</t>
  </si>
  <si>
    <t>D-21-01-D02</t>
  </si>
  <si>
    <t>SUBCONJ. DESEMBRAGUE</t>
  </si>
  <si>
    <t>314075201000</t>
  </si>
  <si>
    <t>D-17-00-C05</t>
  </si>
  <si>
    <t>D-16-01-B01</t>
  </si>
  <si>
    <t>CONJ.CILINDRO EMBRAGUE</t>
  </si>
  <si>
    <t>314000902100</t>
  </si>
  <si>
    <t>D-21-01-K05</t>
  </si>
  <si>
    <t>GANCHO RESORTE PEDAL</t>
  </si>
  <si>
    <t>313953301000</t>
  </si>
  <si>
    <t>D-18-02-M04</t>
  </si>
  <si>
    <t>RESORTE PEDAL EMBR.</t>
  </si>
  <si>
    <t>313532601000</t>
  </si>
  <si>
    <t>D-18-02-M06</t>
  </si>
  <si>
    <t>DISCO EMBRAGUE</t>
  </si>
  <si>
    <t>312500K28100</t>
  </si>
  <si>
    <t>D-07-04-A02</t>
  </si>
  <si>
    <t>312500K07100</t>
  </si>
  <si>
    <t>D-05-05-A10</t>
  </si>
  <si>
    <t>312500D29100</t>
  </si>
  <si>
    <t>D-05-05-B06</t>
  </si>
  <si>
    <t>DISCO DE EMBRAGUE</t>
  </si>
  <si>
    <t>312500D14000</t>
  </si>
  <si>
    <t>D-05-05-B01</t>
  </si>
  <si>
    <t>312500228200</t>
  </si>
  <si>
    <t>D-05-05-B10</t>
  </si>
  <si>
    <t>COLLAR HORQUILLA EMBRAG.</t>
  </si>
  <si>
    <t>312430K01000</t>
  </si>
  <si>
    <t>D-17-02-F07</t>
  </si>
  <si>
    <t>SELLO HORQUILLA EMBRAG.</t>
  </si>
  <si>
    <t>312417101000</t>
  </si>
  <si>
    <t>PIVOTE HORQ.EMBR</t>
  </si>
  <si>
    <t>312367101100</t>
  </si>
  <si>
    <t>D-20-00-J08</t>
  </si>
  <si>
    <t>PIVOTE EMBRAGUE</t>
  </si>
  <si>
    <t>312360K01000</t>
  </si>
  <si>
    <t>D-18-01-H01</t>
  </si>
  <si>
    <t>SEGURO RULEMAN EMPUJE</t>
  </si>
  <si>
    <t>312325201000</t>
  </si>
  <si>
    <t>D-21-00-G06</t>
  </si>
  <si>
    <t>312307105200</t>
  </si>
  <si>
    <t>D-21-00-E01</t>
  </si>
  <si>
    <t>D-21-01-I06</t>
  </si>
  <si>
    <t>312305205200</t>
  </si>
  <si>
    <t>D-20-00-J01</t>
  </si>
  <si>
    <t>312303507100</t>
  </si>
  <si>
    <t>D-20-00-J05</t>
  </si>
  <si>
    <t>312303206000</t>
  </si>
  <si>
    <t>D-20-00-J09</t>
  </si>
  <si>
    <t>312301219100</t>
  </si>
  <si>
    <t>D-21-01-E03</t>
  </si>
  <si>
    <t>D-07-04-A01</t>
  </si>
  <si>
    <t>312100K06000</t>
  </si>
  <si>
    <t>D-05-06-C02</t>
  </si>
  <si>
    <t>312100D22000</t>
  </si>
  <si>
    <t>D-05-05-A08</t>
  </si>
  <si>
    <t>312100D11000</t>
  </si>
  <si>
    <t>D-05-05-A03</t>
  </si>
  <si>
    <t>312100228000</t>
  </si>
  <si>
    <t>D-05-05-A05</t>
  </si>
  <si>
    <t>HORQUILLA EMBRAGUE typeC</t>
  </si>
  <si>
    <t>312040K16000</t>
  </si>
  <si>
    <t>D-21-02-H07</t>
  </si>
  <si>
    <t>D-21-00-D01</t>
  </si>
  <si>
    <t>CAPUCHON HORQUILLA EMBRAG</t>
  </si>
  <si>
    <t>311262007000</t>
  </si>
  <si>
    <t>E-06-01-L05</t>
  </si>
  <si>
    <t>CONJ. EMBRAGUE</t>
  </si>
  <si>
    <t>310010K02000</t>
  </si>
  <si>
    <t>D-05-00-A02</t>
  </si>
  <si>
    <t>DEFLECTOR CAPOT MOD.ANTERIOR (....2000)</t>
  </si>
  <si>
    <t>3011</t>
  </si>
  <si>
    <t>H-02-08-B02</t>
  </si>
  <si>
    <t>293452201100</t>
  </si>
  <si>
    <t>D-20-00-I04</t>
  </si>
  <si>
    <t>O RING BBA.VACIO NO.2</t>
  </si>
  <si>
    <t>293442201100</t>
  </si>
  <si>
    <t>JUEGO SELLOS</t>
  </si>
  <si>
    <t>293426801000</t>
  </si>
  <si>
    <t>293425801000</t>
  </si>
  <si>
    <t>293416403000</t>
  </si>
  <si>
    <t>D-19-00-E06</t>
  </si>
  <si>
    <t>BATERIA COROLLA / ETIOS / YARIS</t>
  </si>
  <si>
    <t>BATERIA AVENSIS D4D</t>
  </si>
  <si>
    <t>288000B02000</t>
  </si>
  <si>
    <t>D-22-00-C02</t>
  </si>
  <si>
    <t>EMBOLO</t>
  </si>
  <si>
    <t>282355438000</t>
  </si>
  <si>
    <t>D-16-02-B04</t>
  </si>
  <si>
    <t>JUEGO REP.MOTOR ARR.</t>
  </si>
  <si>
    <t>282265434000</t>
  </si>
  <si>
    <t>D-16-02-B02</t>
  </si>
  <si>
    <t>215/50 R17 XL PRIMACY 4+</t>
  </si>
  <si>
    <t>282216</t>
  </si>
  <si>
    <t>H-05-00-A03</t>
  </si>
  <si>
    <t>MOTOR DE ARRANQUE</t>
  </si>
  <si>
    <t>281000L20100</t>
  </si>
  <si>
    <t>D-10-00-D04</t>
  </si>
  <si>
    <t>MOTOR ARRANQUE</t>
  </si>
  <si>
    <t>281000L07200</t>
  </si>
  <si>
    <t>D-09-00-B05</t>
  </si>
  <si>
    <t>EJE MOTOR DE ARRANQUE</t>
  </si>
  <si>
    <t>280140T31000</t>
  </si>
  <si>
    <t>D-16-01-B07</t>
  </si>
  <si>
    <t>BENDIX MOTOR ARR.</t>
  </si>
  <si>
    <t>280117607000</t>
  </si>
  <si>
    <t>D-18-00-G03</t>
  </si>
  <si>
    <t>BENDIX MOTOR DE ARRANQUE</t>
  </si>
  <si>
    <t>280110T31000</t>
  </si>
  <si>
    <t>D-18-01-C08</t>
  </si>
  <si>
    <t>SUBCONJ.EMBRAGUE ARR</t>
  </si>
  <si>
    <t>280110D10100</t>
  </si>
  <si>
    <t>D-18-00-A07</t>
  </si>
  <si>
    <t>POLEA ALTER HEXAGONAL</t>
  </si>
  <si>
    <t>274153002000</t>
  </si>
  <si>
    <t>D-21-01-J02</t>
  </si>
  <si>
    <t>POLEA ALTERNADOR HEX</t>
  </si>
  <si>
    <t>274150L05000</t>
  </si>
  <si>
    <t>D-20-00-E09</t>
  </si>
  <si>
    <t>POLEA ALTERNADOR ESTRIADA</t>
  </si>
  <si>
    <t>274150L04000</t>
  </si>
  <si>
    <t>D-21-02-H01</t>
  </si>
  <si>
    <t>ALTERNADOR</t>
  </si>
  <si>
    <t>27060F211000</t>
  </si>
  <si>
    <t>270602830100</t>
  </si>
  <si>
    <t>D-09-00-C05</t>
  </si>
  <si>
    <t>JUNTA ACELERADOR DIESEL</t>
  </si>
  <si>
    <t>261713005000</t>
  </si>
  <si>
    <t>D-20-00-C07</t>
  </si>
  <si>
    <t>261713003000</t>
  </si>
  <si>
    <t>D-20-01-B06</t>
  </si>
  <si>
    <t>261713002000</t>
  </si>
  <si>
    <t>D-20-01-G07</t>
  </si>
  <si>
    <t>261710L03000</t>
  </si>
  <si>
    <t>D-20-01-C08</t>
  </si>
  <si>
    <t>258603007000</t>
  </si>
  <si>
    <t>D-17-02-A08</t>
  </si>
  <si>
    <t>TUBO NO.2</t>
  </si>
  <si>
    <t>257340E01000</t>
  </si>
  <si>
    <t>D-16-00-H07</t>
  </si>
  <si>
    <t>JUNTA EGR NO.2</t>
  </si>
  <si>
    <t>256863002000</t>
  </si>
  <si>
    <t>256855101000</t>
  </si>
  <si>
    <t>D-20-01-H02</t>
  </si>
  <si>
    <t>256345101000</t>
  </si>
  <si>
    <t>D-20-00-G08</t>
  </si>
  <si>
    <t>CONJ. VALVULA EGR</t>
  </si>
  <si>
    <t>256303002000</t>
  </si>
  <si>
    <t>D-09-01-D04</t>
  </si>
  <si>
    <t>CONJ.VALV.EGR NO.2</t>
  </si>
  <si>
    <t>256300E03100</t>
  </si>
  <si>
    <t>D-10-02-B02</t>
  </si>
  <si>
    <t>JUNTA VALVULA EGR</t>
  </si>
  <si>
    <t>256273006000</t>
  </si>
  <si>
    <t>D-20-01-F07</t>
  </si>
  <si>
    <t>256272602000</t>
  </si>
  <si>
    <t>D-18-00-D06</t>
  </si>
  <si>
    <t>CONVERSOR MULT. ESCAPE</t>
  </si>
  <si>
    <t>250510Y06000</t>
  </si>
  <si>
    <t>D-08-03-A03</t>
  </si>
  <si>
    <t>CONVERTIDOR MULTIPLE ESC.</t>
  </si>
  <si>
    <t>250510E21000</t>
  </si>
  <si>
    <t>D-25-01-B01</t>
  </si>
  <si>
    <t>250510E20000</t>
  </si>
  <si>
    <t>D-25-01-C01</t>
  </si>
  <si>
    <t>RIEL INYECTORES</t>
  </si>
  <si>
    <t>238100E02000</t>
  </si>
  <si>
    <t>D-15-02-B06</t>
  </si>
  <si>
    <t>CANO RETORNO TANQUE NO.1</t>
  </si>
  <si>
    <t>237600E01100</t>
  </si>
  <si>
    <t>D-16-00-H03</t>
  </si>
  <si>
    <t>237422701000</t>
  </si>
  <si>
    <t>E-06-01-G07</t>
  </si>
  <si>
    <t>CAÑERIA INYECTOR N°2</t>
  </si>
  <si>
    <t>237023005000</t>
  </si>
  <si>
    <t>TUBO INYECTOR NO.2</t>
  </si>
  <si>
    <t>237020E03100</t>
  </si>
  <si>
    <t>TUBO INYECTOR NO.1</t>
  </si>
  <si>
    <t>237010E03100</t>
  </si>
  <si>
    <t>D-16-00-H02</t>
  </si>
  <si>
    <t>JUNTA INYECT.TAPA VALVULA</t>
  </si>
  <si>
    <t>236821102000</t>
  </si>
  <si>
    <t>D-20-01-F08</t>
  </si>
  <si>
    <t>CONJ.INYECTOR</t>
  </si>
  <si>
    <t>236702902600</t>
  </si>
  <si>
    <t>D-05-01-E05</t>
  </si>
  <si>
    <t>CJTO. INYECTOR 1GD</t>
  </si>
  <si>
    <t>236701907500</t>
  </si>
  <si>
    <t>D-05-01-E03</t>
  </si>
  <si>
    <t>INYECTOR</t>
  </si>
  <si>
    <t>236700933000</t>
  </si>
  <si>
    <t>D-05-01-G01</t>
  </si>
  <si>
    <t>233905206000</t>
  </si>
  <si>
    <t>D-01-05-E05</t>
  </si>
  <si>
    <t>233903303000</t>
  </si>
  <si>
    <t>D-01-05-F06</t>
  </si>
  <si>
    <t>233903018000</t>
  </si>
  <si>
    <t>D-01-05-C02</t>
  </si>
  <si>
    <t>ELEMENT ASSY, FUEL FILTER</t>
  </si>
  <si>
    <t>233901124000</t>
  </si>
  <si>
    <t>233900L10000</t>
  </si>
  <si>
    <t>R-01-03-B01</t>
  </si>
  <si>
    <t>D-01-05-B01</t>
  </si>
  <si>
    <t>R-01-03-B03</t>
  </si>
  <si>
    <t>D-01-05-A02</t>
  </si>
  <si>
    <t>233900E01100</t>
  </si>
  <si>
    <t>D-01-04-D01</t>
  </si>
  <si>
    <t>TAPON DRENAJE COMB.</t>
  </si>
  <si>
    <t>233880L04100</t>
  </si>
  <si>
    <t>D-18-00-C06</t>
  </si>
  <si>
    <t>FILTRO DE GASOIL</t>
  </si>
  <si>
    <t>233036401000</t>
  </si>
  <si>
    <t>233007949500</t>
  </si>
  <si>
    <t>D-01-05-G01</t>
  </si>
  <si>
    <t>233007943500</t>
  </si>
  <si>
    <t>D-01-05-G02</t>
  </si>
  <si>
    <t>233007514000</t>
  </si>
  <si>
    <t>D-01-05-D05</t>
  </si>
  <si>
    <t>233003116000</t>
  </si>
  <si>
    <t>D-01-05-C05</t>
  </si>
  <si>
    <t>CONJ. FILT. COMB. 2 Picos ABAJO hx 11-15</t>
  </si>
  <si>
    <t>233000L12000</t>
  </si>
  <si>
    <t>D-01-04-E02</t>
  </si>
  <si>
    <t>PORTA FILTRO COMBUSTIBLE</t>
  </si>
  <si>
    <t>233000L10100</t>
  </si>
  <si>
    <t>D-01-04-E01</t>
  </si>
  <si>
    <t>CONJ. FILTRO COMBUST hx05-09</t>
  </si>
  <si>
    <t>233000L04200</t>
  </si>
  <si>
    <t>D-01-04-A04</t>
  </si>
  <si>
    <t>233000E01100</t>
  </si>
  <si>
    <t>D-09-01-B02</t>
  </si>
  <si>
    <t>233000D10000</t>
  </si>
  <si>
    <t>D-01-05-G03</t>
  </si>
  <si>
    <t>ASIENTO INYECTOR NO.1</t>
  </si>
  <si>
    <t>232951104000</t>
  </si>
  <si>
    <t>D-16-00-G05</t>
  </si>
  <si>
    <t>AISLADOR INYECTOR</t>
  </si>
  <si>
    <t>232914701000</t>
  </si>
  <si>
    <t>BOMBA DE NAFTA</t>
  </si>
  <si>
    <t>232202213100</t>
  </si>
  <si>
    <t>D-10-02-C04</t>
  </si>
  <si>
    <t>232170Y03000</t>
  </si>
  <si>
    <t>D-01-05-E02</t>
  </si>
  <si>
    <t>225/50 RF18 ZP95PRIMACY 4</t>
  </si>
  <si>
    <t>226591</t>
  </si>
  <si>
    <t>H-04-01-B02</t>
  </si>
  <si>
    <t>SENSOR FLUJO DE AIRE</t>
  </si>
  <si>
    <t>222040H01000</t>
  </si>
  <si>
    <t>D-18-01-B08</t>
  </si>
  <si>
    <t>205R16 DUELER H/T 684 III ECOPIA</t>
  </si>
  <si>
    <t>21597001</t>
  </si>
  <si>
    <t>E-04-00-A01</t>
  </si>
  <si>
    <t>185/60R15 88H ECOPIA EP150</t>
  </si>
  <si>
    <t>21595001</t>
  </si>
  <si>
    <t>E-00-05-A01</t>
  </si>
  <si>
    <t>TGMO 10W-40 API SN TAMBOR 205L</t>
  </si>
  <si>
    <t>198692</t>
  </si>
  <si>
    <t>L-01-00-A04</t>
  </si>
  <si>
    <t>TGMO 5W-30 C2 / API SN 4/4L</t>
  </si>
  <si>
    <t>198595</t>
  </si>
  <si>
    <t>L-01-00-A01</t>
  </si>
  <si>
    <t>BUJIA PRECALENTAM.</t>
  </si>
  <si>
    <t>198506405000</t>
  </si>
  <si>
    <t>D-18-01-E06</t>
  </si>
  <si>
    <t>198503001000</t>
  </si>
  <si>
    <t>D-18-01-H05</t>
  </si>
  <si>
    <t>BUJIA PRECALENTAMIENTO</t>
  </si>
  <si>
    <t>198501104000</t>
  </si>
  <si>
    <t>D-18-01-E02</t>
  </si>
  <si>
    <t>225/70R17 108T - DUELER A/T REVO 2</t>
  </si>
  <si>
    <t>19279001</t>
  </si>
  <si>
    <t>E-05-01-B01</t>
  </si>
  <si>
    <t>235/65R16 115/113T</t>
  </si>
  <si>
    <t>18954200</t>
  </si>
  <si>
    <t>H-03-00-B01</t>
  </si>
  <si>
    <t>225/45 R17 94W TURANZA ER300</t>
  </si>
  <si>
    <t>18909001</t>
  </si>
  <si>
    <t>215/70 R16C 108/106T</t>
  </si>
  <si>
    <t>18671200</t>
  </si>
  <si>
    <t>E-04-01-B02</t>
  </si>
  <si>
    <t>MANGUERA FILTRO AIRE</t>
  </si>
  <si>
    <t>178815441000</t>
  </si>
  <si>
    <t>D-07-03-D04</t>
  </si>
  <si>
    <t>TUBO VENTILACION</t>
  </si>
  <si>
    <t>178780L01100</t>
  </si>
  <si>
    <t>D-17-02-A07</t>
  </si>
  <si>
    <t>CONECTOR ENTRAD.AIRE</t>
  </si>
  <si>
    <t>178610L01000</t>
  </si>
  <si>
    <t>D-06-01-F04</t>
  </si>
  <si>
    <t>CONECTOR ENTRADA AIRE</t>
  </si>
  <si>
    <t>178610802000</t>
  </si>
  <si>
    <t>D-06-02-C03</t>
  </si>
  <si>
    <t>17801AZG0200</t>
  </si>
  <si>
    <t>17801AZA0800</t>
  </si>
  <si>
    <t>D-01-01-D02</t>
  </si>
  <si>
    <t>17801AZA0700</t>
  </si>
  <si>
    <t>D-01-02-D01</t>
  </si>
  <si>
    <t>17801AZA0600</t>
  </si>
  <si>
    <t>D-01-02-F01</t>
  </si>
  <si>
    <t>17801AZA0200</t>
  </si>
  <si>
    <t>D-01-02-E03</t>
  </si>
  <si>
    <t>17801AZA0100</t>
  </si>
  <si>
    <t>D-01-02-E02</t>
  </si>
  <si>
    <t>178017705000</t>
  </si>
  <si>
    <t>D-01-01-A05</t>
  </si>
  <si>
    <t>178017406000</t>
  </si>
  <si>
    <t>D-01-01-C06</t>
  </si>
  <si>
    <t>178017006000</t>
  </si>
  <si>
    <t>178016707000</t>
  </si>
  <si>
    <t>D-01-01-A03</t>
  </si>
  <si>
    <t>178015408000</t>
  </si>
  <si>
    <t>D-01-01-C01</t>
  </si>
  <si>
    <t>178015102000</t>
  </si>
  <si>
    <t>D-01-01-D01</t>
  </si>
  <si>
    <t>178013702100</t>
  </si>
  <si>
    <t>D-01-01-C07</t>
  </si>
  <si>
    <t>178013117000</t>
  </si>
  <si>
    <t>D-01-01-C02</t>
  </si>
  <si>
    <t>ELEMENT SUB-ASSY, AIR CLEANER FILTER</t>
  </si>
  <si>
    <t>178013116000</t>
  </si>
  <si>
    <t>D-01-01-E01</t>
  </si>
  <si>
    <t>178013113100</t>
  </si>
  <si>
    <t>D-01-01-A01</t>
  </si>
  <si>
    <t>178013004000</t>
  </si>
  <si>
    <t>D-01-02-F02</t>
  </si>
  <si>
    <t>178012801000</t>
  </si>
  <si>
    <t>D-01-01-E03</t>
  </si>
  <si>
    <t>178012702000</t>
  </si>
  <si>
    <t>D-01-01-C04</t>
  </si>
  <si>
    <t>178012106000</t>
  </si>
  <si>
    <t>D-01-01-E04</t>
  </si>
  <si>
    <t>178010E03000</t>
  </si>
  <si>
    <t>D-11-01-A01</t>
  </si>
  <si>
    <t>178010B02000</t>
  </si>
  <si>
    <t>D-01-01-A02</t>
  </si>
  <si>
    <t>225/70R17 110 - DUELER M/T 674</t>
  </si>
  <si>
    <t>17722400</t>
  </si>
  <si>
    <t>E-04-00-B02</t>
  </si>
  <si>
    <t>TAPA FILTRO AIRE</t>
  </si>
  <si>
    <t>177050T15100</t>
  </si>
  <si>
    <t>D-06-02-F02</t>
  </si>
  <si>
    <t>177050L24000</t>
  </si>
  <si>
    <t>D-07-04-B01</t>
  </si>
  <si>
    <t>177010T12000</t>
  </si>
  <si>
    <t>D-06-02-F01</t>
  </si>
  <si>
    <t>177010C19000</t>
  </si>
  <si>
    <t>D-10-04-D01</t>
  </si>
  <si>
    <t>CONJ.FILTRO AIRE</t>
  </si>
  <si>
    <t>177000Y19000</t>
  </si>
  <si>
    <t>D-10-00-B01</t>
  </si>
  <si>
    <t>177000L39000</t>
  </si>
  <si>
    <t>D-10-06-B01</t>
  </si>
  <si>
    <t>205/65R16 95H - INNOVA (EP 150 ECOPIA)</t>
  </si>
  <si>
    <t>17640200</t>
  </si>
  <si>
    <t>E-00-05-A02</t>
  </si>
  <si>
    <t>SOPORTE CANO ESCAPE</t>
  </si>
  <si>
    <t>175725408100</t>
  </si>
  <si>
    <t>D-16-01-E03</t>
  </si>
  <si>
    <t>CAÑO DE ESCAPE</t>
  </si>
  <si>
    <t>174300D23000</t>
  </si>
  <si>
    <t>H-02-06-B02</t>
  </si>
  <si>
    <t>CONJ.TUBO ESCAPE</t>
  </si>
  <si>
    <t>174209840100</t>
  </si>
  <si>
    <t>H-02-06-B03</t>
  </si>
  <si>
    <t>CANO ESCAPE DEL.</t>
  </si>
  <si>
    <t>174105B13000</t>
  </si>
  <si>
    <t>H-02-06-B06</t>
  </si>
  <si>
    <t>TUBO DE AIRE NO.2</t>
  </si>
  <si>
    <t>173620L02000</t>
  </si>
  <si>
    <t>D-05-06-A04</t>
  </si>
  <si>
    <t>173620E01000</t>
  </si>
  <si>
    <t>D-07-02-D06</t>
  </si>
  <si>
    <t>TUBO DE AIRE NO.1</t>
  </si>
  <si>
    <t>173610L02100</t>
  </si>
  <si>
    <t>173610E01000</t>
  </si>
  <si>
    <t>MANGUERA AIRE NO.1</t>
  </si>
  <si>
    <t>173410L02000</t>
  </si>
  <si>
    <t>D-07-02-F05</t>
  </si>
  <si>
    <t>MANGUERA DE AIRE NO.1</t>
  </si>
  <si>
    <t>173410E05000</t>
  </si>
  <si>
    <t>D-07-02-G01</t>
  </si>
  <si>
    <t>HOSE,AIR NO1</t>
  </si>
  <si>
    <t>173410E02200</t>
  </si>
  <si>
    <t>D-07-03-D03</t>
  </si>
  <si>
    <t>HOSE SUB-ASSY, AIR</t>
  </si>
  <si>
    <t>173020E02200</t>
  </si>
  <si>
    <t>D-05-06-A03</t>
  </si>
  <si>
    <t>SOPORTE TURBO</t>
  </si>
  <si>
    <t>172936701000</t>
  </si>
  <si>
    <t>D-17-02-E05</t>
  </si>
  <si>
    <t>JUNTA BASE TURBO</t>
  </si>
  <si>
    <t>172791702000</t>
  </si>
  <si>
    <t>D-16-00-D04</t>
  </si>
  <si>
    <t>JUNTA DEL TURBO</t>
  </si>
  <si>
    <t>172766701000</t>
  </si>
  <si>
    <t>D-20-01-I02</t>
  </si>
  <si>
    <t>CODO ADMISION COMPRESOR</t>
  </si>
  <si>
    <t>172750E04000</t>
  </si>
  <si>
    <t>D-06-01-D05</t>
  </si>
  <si>
    <t>245/65R17 DUELER MT 674</t>
  </si>
  <si>
    <t>17224200</t>
  </si>
  <si>
    <t>TURBOCARGADOR</t>
  </si>
  <si>
    <t>172011110000</t>
  </si>
  <si>
    <t>D-10-00-C04</t>
  </si>
  <si>
    <t>JUNTA MULTIPLE ESCAPE</t>
  </si>
  <si>
    <t>171770E01000</t>
  </si>
  <si>
    <t>D-05-06-D11</t>
  </si>
  <si>
    <t>171735403000</t>
  </si>
  <si>
    <t>D-05-06-D02</t>
  </si>
  <si>
    <t>JUNTA MULTIP. ESCAPE</t>
  </si>
  <si>
    <t>171735102000</t>
  </si>
  <si>
    <t>D-05-06-D05</t>
  </si>
  <si>
    <t>JUNTA MULTIPLE</t>
  </si>
  <si>
    <t>171733001000</t>
  </si>
  <si>
    <t>D-05-06-D12</t>
  </si>
  <si>
    <t>171731701000</t>
  </si>
  <si>
    <t>D-05-06-D09</t>
  </si>
  <si>
    <t>195/50 R16 84V ECOPIA EP150</t>
  </si>
  <si>
    <t>16962001</t>
  </si>
  <si>
    <t>175/65R14 82T F-700</t>
  </si>
  <si>
    <t>16745001</t>
  </si>
  <si>
    <t>H-00-05-A01</t>
  </si>
  <si>
    <t>167120C04000</t>
  </si>
  <si>
    <t>E-06-01-I09</t>
  </si>
  <si>
    <t>167113710000</t>
  </si>
  <si>
    <t>H-01-03-B08</t>
  </si>
  <si>
    <t>167110L17000</t>
  </si>
  <si>
    <t>H-01-03-B02</t>
  </si>
  <si>
    <t>H-01-01-B14</t>
  </si>
  <si>
    <t>TENSOR CORREA</t>
  </si>
  <si>
    <t>166202809000</t>
  </si>
  <si>
    <t>D-06-00-B06</t>
  </si>
  <si>
    <t>166202702100</t>
  </si>
  <si>
    <t>D-06-00-B01</t>
  </si>
  <si>
    <t>166201101000</t>
  </si>
  <si>
    <t>D-10-02-B01</t>
  </si>
  <si>
    <t>GUIA RADIADOR NO.1 LH</t>
  </si>
  <si>
    <t>165950T34000</t>
  </si>
  <si>
    <t>D-10-02-B03</t>
  </si>
  <si>
    <t>TUBO RADIADOR</t>
  </si>
  <si>
    <t>1657722H0200</t>
  </si>
  <si>
    <t>D-07-02-H07</t>
  </si>
  <si>
    <t>165770T08000</t>
  </si>
  <si>
    <t>D-06-01-G02</t>
  </si>
  <si>
    <t>165722704000</t>
  </si>
  <si>
    <t>D-07-03-D06</t>
  </si>
  <si>
    <t>165720L16000</t>
  </si>
  <si>
    <t>D-07-02-E05</t>
  </si>
  <si>
    <t>165712206000</t>
  </si>
  <si>
    <t>D-07-02-H06</t>
  </si>
  <si>
    <t>MANGUERA RADIADOR N.1</t>
  </si>
  <si>
    <t>165710Y04000</t>
  </si>
  <si>
    <t>D-07-02-G02</t>
  </si>
  <si>
    <t>SOPORTE INF RADIADOR</t>
  </si>
  <si>
    <t>165352001000</t>
  </si>
  <si>
    <t>D-19-01-E02</t>
  </si>
  <si>
    <t>SOPORTE INF.RADIADOR</t>
  </si>
  <si>
    <t>165350D16100</t>
  </si>
  <si>
    <t>D-19-01-H04</t>
  </si>
  <si>
    <t>165330D10000</t>
  </si>
  <si>
    <t>D-16-02-A03</t>
  </si>
  <si>
    <t>165232105000</t>
  </si>
  <si>
    <t>D-19-00-E04</t>
  </si>
  <si>
    <t>165232103000</t>
  </si>
  <si>
    <t>BUJE SOPORTE RADIADOR</t>
  </si>
  <si>
    <t>165230D10000</t>
  </si>
  <si>
    <t>D-19-00-H03</t>
  </si>
  <si>
    <t>TAPA DE TANQUE</t>
  </si>
  <si>
    <t>164710D02000</t>
  </si>
  <si>
    <t>D-18-01-D07</t>
  </si>
  <si>
    <t>DEPOSITO RADIADOR</t>
  </si>
  <si>
    <t>164700L11200</t>
  </si>
  <si>
    <t>D-15-01-A03</t>
  </si>
  <si>
    <t>PLACA SOPORT.RADIAD.RH</t>
  </si>
  <si>
    <t>164530L38000</t>
  </si>
  <si>
    <t>D-07-00-D01</t>
  </si>
  <si>
    <t>TAPON DESCARGA</t>
  </si>
  <si>
    <t>164172128000</t>
  </si>
  <si>
    <t>CAP SUB-ASSY, RADIATOR</t>
  </si>
  <si>
    <t>164013602000</t>
  </si>
  <si>
    <t>D-18-01-D08</t>
  </si>
  <si>
    <t>TAPA RADIADOR</t>
  </si>
  <si>
    <t>164013001200</t>
  </si>
  <si>
    <t>D-18-01-A02</t>
  </si>
  <si>
    <t>164012707000</t>
  </si>
  <si>
    <t>D-18-01-E04</t>
  </si>
  <si>
    <t>164012201000</t>
  </si>
  <si>
    <t>D-18-01-C03</t>
  </si>
  <si>
    <t>RADIADOR MOTOR</t>
  </si>
  <si>
    <t>164000Y15000</t>
  </si>
  <si>
    <t>H-01-03-C01</t>
  </si>
  <si>
    <t>164000L45000</t>
  </si>
  <si>
    <t>H-01-03-B01</t>
  </si>
  <si>
    <t>TUERCA AJUSTE METAL</t>
  </si>
  <si>
    <t>163850Y02000</t>
  </si>
  <si>
    <t>E-06-01-G10</t>
  </si>
  <si>
    <t>SOPORTE CORREA VENT.</t>
  </si>
  <si>
    <t>163810Y02000</t>
  </si>
  <si>
    <t>D-08-01-C07</t>
  </si>
  <si>
    <t>POLEA</t>
  </si>
  <si>
    <t>163713002000</t>
  </si>
  <si>
    <t>D-21-01-I01</t>
  </si>
  <si>
    <t>163711101000</t>
  </si>
  <si>
    <t>D-18-00-A05</t>
  </si>
  <si>
    <t>SOPORTE VENTILADOR</t>
  </si>
  <si>
    <t>163660Y24000</t>
  </si>
  <si>
    <t>163632805000</t>
  </si>
  <si>
    <t>D-10-02-C05</t>
  </si>
  <si>
    <t>MOTOR ELECTROVENT.</t>
  </si>
  <si>
    <t>163631102000</t>
  </si>
  <si>
    <t>D-05-01-G02</t>
  </si>
  <si>
    <t>PALETA VENTILADOR</t>
  </si>
  <si>
    <t>163616702000</t>
  </si>
  <si>
    <t>D-05-05-A18</t>
  </si>
  <si>
    <t>VENTILADOR RADIADOR</t>
  </si>
  <si>
    <t>163610Y08000</t>
  </si>
  <si>
    <t>D-05-04-E01</t>
  </si>
  <si>
    <t>EMPAQUE TUBO AGUA</t>
  </si>
  <si>
    <t>163470E01000</t>
  </si>
  <si>
    <t>D-19-00-H08</t>
  </si>
  <si>
    <t>D-20-01-C05</t>
  </si>
  <si>
    <t>163411101000</t>
  </si>
  <si>
    <t>D-19-00-H09</t>
  </si>
  <si>
    <t>163405401000</t>
  </si>
  <si>
    <t>D-18-01-F05</t>
  </si>
  <si>
    <t>CONJ. TERMOSTATO W/JUNTA</t>
  </si>
  <si>
    <t>163404701000</t>
  </si>
  <si>
    <t>D-18-01-F09</t>
  </si>
  <si>
    <t>BRIDA TERMOSTATO</t>
  </si>
  <si>
    <t>163310L05000</t>
  </si>
  <si>
    <t>D-18-01-D02</t>
  </si>
  <si>
    <t>163281101000</t>
  </si>
  <si>
    <t>D-19-00-B07</t>
  </si>
  <si>
    <t>163256201000</t>
  </si>
  <si>
    <t>JUNTA BOMBA AGUA NO.2</t>
  </si>
  <si>
    <t>162721101000</t>
  </si>
  <si>
    <t>D-20-00-G03</t>
  </si>
  <si>
    <t>JUNTA BOMBA DE AGUA NO.2</t>
  </si>
  <si>
    <t>162720E01000</t>
  </si>
  <si>
    <t>D-20-01-H08</t>
  </si>
  <si>
    <t>162715403000</t>
  </si>
  <si>
    <t>D-20-01-E06</t>
  </si>
  <si>
    <t>JUNTA BOMBA AGUA</t>
  </si>
  <si>
    <t>162711101000</t>
  </si>
  <si>
    <t>D-20-01-J02</t>
  </si>
  <si>
    <t>TUBO DE AGUA</t>
  </si>
  <si>
    <t>162680Y04000</t>
  </si>
  <si>
    <t>D-16-00-G01</t>
  </si>
  <si>
    <t>ACOPLE BOMBA AGUA</t>
  </si>
  <si>
    <t>162107506000</t>
  </si>
  <si>
    <t>D-05-01-D04</t>
  </si>
  <si>
    <t>215/60 R17 96H COROLLA CROSS XEI</t>
  </si>
  <si>
    <t>16102300</t>
  </si>
  <si>
    <t>E-00-05-C02</t>
  </si>
  <si>
    <t>BOMBA DE AGUA</t>
  </si>
  <si>
    <t>161006935700</t>
  </si>
  <si>
    <t>D-10-01-D02</t>
  </si>
  <si>
    <t>1610049A0500</t>
  </si>
  <si>
    <t>D-10-00-C01</t>
  </si>
  <si>
    <t>161002941500</t>
  </si>
  <si>
    <t>D-10-00-D01</t>
  </si>
  <si>
    <t>161001923500</t>
  </si>
  <si>
    <t>D-10-00-D03</t>
  </si>
  <si>
    <t>161000973000</t>
  </si>
  <si>
    <t>D-09-00-B02</t>
  </si>
  <si>
    <t>BOMBA AGUA</t>
  </si>
  <si>
    <t>161000971100</t>
  </si>
  <si>
    <t>D-10-00-C02</t>
  </si>
  <si>
    <t>195/65 R15 ECOPIA EP 150</t>
  </si>
  <si>
    <t>16035001</t>
  </si>
  <si>
    <t>D-22-00-D03</t>
  </si>
  <si>
    <t>PORTA FILTRO ACEITE</t>
  </si>
  <si>
    <t>156203701000</t>
  </si>
  <si>
    <t>D-01-05-C03</t>
  </si>
  <si>
    <t>SUBCONJ.VALVULA</t>
  </si>
  <si>
    <t>156051703000</t>
  </si>
  <si>
    <t>D-16-00-C02</t>
  </si>
  <si>
    <t>156013302100</t>
  </si>
  <si>
    <t>D-01-05-G04</t>
  </si>
  <si>
    <t>265/65 R17-DUELER HT 684 II</t>
  </si>
  <si>
    <t>15325001</t>
  </si>
  <si>
    <t>VARILLA NIVEL ACEITE</t>
  </si>
  <si>
    <t>153012205000</t>
  </si>
  <si>
    <t>D-23-02-B05</t>
  </si>
  <si>
    <t>153010E01100</t>
  </si>
  <si>
    <t>D-23-02-A04</t>
  </si>
  <si>
    <t>ENGRANAJE BBA.ACEITE</t>
  </si>
  <si>
    <t>151225402000</t>
  </si>
  <si>
    <t>D-20-00-C05</t>
  </si>
  <si>
    <t>151215402000</t>
  </si>
  <si>
    <t>D-20-00-C06</t>
  </si>
  <si>
    <t>CHUPADOR BOMBA ACEITE</t>
  </si>
  <si>
    <t>151040E04000</t>
  </si>
  <si>
    <t>COBERTOR BOMBA ACEITE</t>
  </si>
  <si>
    <t>150121103000</t>
  </si>
  <si>
    <t>215 / 60 R17 96V DUELER H/P SPORT</t>
  </si>
  <si>
    <t>14986300</t>
  </si>
  <si>
    <t>265/65/17 DUELER A/T REVO 2</t>
  </si>
  <si>
    <t>14881001</t>
  </si>
  <si>
    <t>E-03-00-A04</t>
  </si>
  <si>
    <t>BOTADOR</t>
  </si>
  <si>
    <t>137516401100</t>
  </si>
  <si>
    <t>D-20-01-I04</t>
  </si>
  <si>
    <t>137514637000</t>
  </si>
  <si>
    <t>D-16-01-E09</t>
  </si>
  <si>
    <t>RETENEDOR VALVULA</t>
  </si>
  <si>
    <t>137415402000</t>
  </si>
  <si>
    <t>D-20-01-B02</t>
  </si>
  <si>
    <t>137413302000</t>
  </si>
  <si>
    <t>D-16-00-D02</t>
  </si>
  <si>
    <t>RETENEDOR VALVULAS</t>
  </si>
  <si>
    <t>137412202100</t>
  </si>
  <si>
    <t>D-16-01-F06</t>
  </si>
  <si>
    <t>137411701000</t>
  </si>
  <si>
    <t>D-18-00-C07</t>
  </si>
  <si>
    <t>137411502000</t>
  </si>
  <si>
    <t>D-16-00-E04</t>
  </si>
  <si>
    <t>137410E01000</t>
  </si>
  <si>
    <t>D-18-00-E07</t>
  </si>
  <si>
    <t>ASIENTO RESORTE VALVULAS</t>
  </si>
  <si>
    <t>137343302000</t>
  </si>
  <si>
    <t>D-16-01-A06</t>
  </si>
  <si>
    <t>137163301000</t>
  </si>
  <si>
    <t>TAPON VASTAGO VALV.</t>
  </si>
  <si>
    <t>137160E01000</t>
  </si>
  <si>
    <t>VALVULA ESCAPE</t>
  </si>
  <si>
    <t>137155405000</t>
  </si>
  <si>
    <t>D-16-01-B06</t>
  </si>
  <si>
    <t>137152204000</t>
  </si>
  <si>
    <t>D-16-01-B02</t>
  </si>
  <si>
    <t>VALVULA ADMISION</t>
  </si>
  <si>
    <t>137117506000</t>
  </si>
  <si>
    <t>D-16-01-C02</t>
  </si>
  <si>
    <t>137115404000</t>
  </si>
  <si>
    <t>D-16-01-B05</t>
  </si>
  <si>
    <t>136160E01100</t>
  </si>
  <si>
    <t>D-06-01-E06</t>
  </si>
  <si>
    <t>135681917600</t>
  </si>
  <si>
    <t>D-23-00-A05</t>
  </si>
  <si>
    <t>135681906500</t>
  </si>
  <si>
    <t>D-23-00-B04</t>
  </si>
  <si>
    <t>ARANDELA CIGUENAL</t>
  </si>
  <si>
    <t>135665404000</t>
  </si>
  <si>
    <t>D-20-00-E01</t>
  </si>
  <si>
    <t>GUIA CADENA DISTRIBUCION</t>
  </si>
  <si>
    <t>135661103000</t>
  </si>
  <si>
    <t>D-06-00-A08</t>
  </si>
  <si>
    <t>TENSOR DISTRIBUCION NO.2</t>
  </si>
  <si>
    <t>135621101000</t>
  </si>
  <si>
    <t>D-06-00-A04</t>
  </si>
  <si>
    <t>ANTIVIB. CADENA DISTRIB.</t>
  </si>
  <si>
    <t>135611101100</t>
  </si>
  <si>
    <t>D-06-00-A06</t>
  </si>
  <si>
    <t>TENSOR DISTRIBUCION</t>
  </si>
  <si>
    <t>135591102000</t>
  </si>
  <si>
    <t>D-06-00-A01</t>
  </si>
  <si>
    <t>135591101000</t>
  </si>
  <si>
    <t>D-06-00-A02</t>
  </si>
  <si>
    <t>135590E01000</t>
  </si>
  <si>
    <t>EJE CORREA DISTRIBU.</t>
  </si>
  <si>
    <t>135566701000</t>
  </si>
  <si>
    <t>JUNTA TENSIONADOR CADENA</t>
  </si>
  <si>
    <t>135520E01000</t>
  </si>
  <si>
    <t>D-06-00-E05</t>
  </si>
  <si>
    <t>JUNTA TENSOR CAD.DISTR.</t>
  </si>
  <si>
    <t>135520801000</t>
  </si>
  <si>
    <t>D-19-00-I06</t>
  </si>
  <si>
    <t>TENSOR CORREA DISTR. NO.2</t>
  </si>
  <si>
    <t>135501101000</t>
  </si>
  <si>
    <t>D-06-00-A09</t>
  </si>
  <si>
    <t>TENSOR CORREA DISTR.</t>
  </si>
  <si>
    <t>135407502000</t>
  </si>
  <si>
    <t>D-06-00-C04</t>
  </si>
  <si>
    <t>135402701100</t>
  </si>
  <si>
    <t>D-06-00-B04</t>
  </si>
  <si>
    <t>135401701100</t>
  </si>
  <si>
    <t>D-06-00-B05</t>
  </si>
  <si>
    <t>TENSOR CORREA DISTR. NO.1</t>
  </si>
  <si>
    <t>135401101000</t>
  </si>
  <si>
    <t>D-06-01-C06</t>
  </si>
  <si>
    <t>TENSIONADOR CADENA NO.1</t>
  </si>
  <si>
    <t>135400E01000</t>
  </si>
  <si>
    <t>D-06-00-D04</t>
  </si>
  <si>
    <t>ENGRANAJE DISTRIBUC.</t>
  </si>
  <si>
    <t>135243001000</t>
  </si>
  <si>
    <t>D-06-01-G05</t>
  </si>
  <si>
    <t>ENGRANAJE ARBOL LEVAS</t>
  </si>
  <si>
    <t>135231103000</t>
  </si>
  <si>
    <t>D-06-00-E01</t>
  </si>
  <si>
    <t>ENGRANAJE CIGUENAL</t>
  </si>
  <si>
    <t>135230E01000</t>
  </si>
  <si>
    <t>D-16-01-C05</t>
  </si>
  <si>
    <t>ENGRANAJE CIGUE AL</t>
  </si>
  <si>
    <t>135217501000</t>
  </si>
  <si>
    <t>ENGRANAJE CIGUE#AL</t>
  </si>
  <si>
    <t>135216702000</t>
  </si>
  <si>
    <t>135211104000</t>
  </si>
  <si>
    <t>D-19-02-I05</t>
  </si>
  <si>
    <t>ENGRANAJE INYECCION</t>
  </si>
  <si>
    <t>135086701100</t>
  </si>
  <si>
    <t>D-16-01-D03</t>
  </si>
  <si>
    <t>CADENA DISTRIBUCION NO.2</t>
  </si>
  <si>
    <t>135071101100</t>
  </si>
  <si>
    <t>D-06-00-C08</t>
  </si>
  <si>
    <t>135070E01100</t>
  </si>
  <si>
    <t>D-16-01-D01</t>
  </si>
  <si>
    <t>CADENA DISTRIBUCION NO.1</t>
  </si>
  <si>
    <t>135060E01100</t>
  </si>
  <si>
    <t>D-06-00-E03</t>
  </si>
  <si>
    <t>135052701000</t>
  </si>
  <si>
    <t>D-21-00-I04</t>
  </si>
  <si>
    <t>135051702000</t>
  </si>
  <si>
    <t>D-06-00-C01</t>
  </si>
  <si>
    <t>ENGRANAJE DISTRIBUCION</t>
  </si>
  <si>
    <t>135035403000</t>
  </si>
  <si>
    <t>D-21-00-H01</t>
  </si>
  <si>
    <t>ARBOL DE LEVAS</t>
  </si>
  <si>
    <t>135020E01000</t>
  </si>
  <si>
    <t>D-03-04-G05</t>
  </si>
  <si>
    <t>POLEA CIGUENAL</t>
  </si>
  <si>
    <t>134080E01000</t>
  </si>
  <si>
    <t>D-10-00-C05</t>
  </si>
  <si>
    <t>JUEGO COJINETE BIELA</t>
  </si>
  <si>
    <t>132043002000</t>
  </si>
  <si>
    <t>D-16-01-B03</t>
  </si>
  <si>
    <t>ENGRANAJE ARBOL LEVA</t>
  </si>
  <si>
    <t>130500Y02000</t>
  </si>
  <si>
    <t>D-06-01-E02</t>
  </si>
  <si>
    <t>JUEGOS AROS MOTOR</t>
  </si>
  <si>
    <t>130113008100</t>
  </si>
  <si>
    <t>D-16-01-F07</t>
  </si>
  <si>
    <t>215/50R17 91V TURANZA T001</t>
  </si>
  <si>
    <t>12841001</t>
  </si>
  <si>
    <t>E-00-05-B02</t>
  </si>
  <si>
    <t>205/55 R16 91V ECOPIA EP150</t>
  </si>
  <si>
    <t>12524006</t>
  </si>
  <si>
    <t>E-05-00-C01</t>
  </si>
  <si>
    <t>M-1 SYN GEAR LUBE LS 75W90 DRUM 200L: AR</t>
  </si>
  <si>
    <t>124192</t>
  </si>
  <si>
    <t>L-00-00-A12</t>
  </si>
  <si>
    <t>SOPORTE MOTOR</t>
  </si>
  <si>
    <t>123820L03000</t>
  </si>
  <si>
    <t>D-21-02-E04</t>
  </si>
  <si>
    <t>ESTABILIZADOR DE MOTOR</t>
  </si>
  <si>
    <t>123810L08100</t>
  </si>
  <si>
    <t>D-08-02-B02</t>
  </si>
  <si>
    <t>123810L04000</t>
  </si>
  <si>
    <t>D-21-02-D05</t>
  </si>
  <si>
    <t>123720Y20000</t>
  </si>
  <si>
    <t>D-21-02-I03</t>
  </si>
  <si>
    <t>123720Y03300</t>
  </si>
  <si>
    <t>D-10-01-C02</t>
  </si>
  <si>
    <t>PATA CAJA VELOCIDAD</t>
  </si>
  <si>
    <t>123713403000</t>
  </si>
  <si>
    <t>D-21-00-C01</t>
  </si>
  <si>
    <t>SOPORTE MOTOR RR</t>
  </si>
  <si>
    <t>123710T10000</t>
  </si>
  <si>
    <t>D-21-00-A06</t>
  </si>
  <si>
    <t>SOPORTE MOTOR TRAS.</t>
  </si>
  <si>
    <t>123710L18000</t>
  </si>
  <si>
    <t>D-21-02-B07</t>
  </si>
  <si>
    <t>SOPORTE DE MOTOR RR</t>
  </si>
  <si>
    <t>123710L03100</t>
  </si>
  <si>
    <t>D-21-02-I04</t>
  </si>
  <si>
    <t>SOPORTE MOTOR CTRL.MOVIM.</t>
  </si>
  <si>
    <t>123630Y16000</t>
  </si>
  <si>
    <t>D-21-02-F02</t>
  </si>
  <si>
    <t>123617434000</t>
  </si>
  <si>
    <t>D-21-02-G06</t>
  </si>
  <si>
    <t>SOPORTE MOTOR FR</t>
  </si>
  <si>
    <t>123612110000</t>
  </si>
  <si>
    <t>D-08-02-A05</t>
  </si>
  <si>
    <t>123610L02100</t>
  </si>
  <si>
    <t>D-21-02-B01</t>
  </si>
  <si>
    <t>SOPORTE MOTOR RH</t>
  </si>
  <si>
    <t>123152205000</t>
  </si>
  <si>
    <t>D-21-00-B05</t>
  </si>
  <si>
    <t>123150L04000</t>
  </si>
  <si>
    <t>D-21-00-C04</t>
  </si>
  <si>
    <t>SOPORTE MOTOR FR LH</t>
  </si>
  <si>
    <t>123150E03000</t>
  </si>
  <si>
    <t>D-21-02-A02</t>
  </si>
  <si>
    <t>BRACKET, ENGINE</t>
  </si>
  <si>
    <t>123112831000</t>
  </si>
  <si>
    <t>D-06-02-E05</t>
  </si>
  <si>
    <t>123110L04000</t>
  </si>
  <si>
    <t>D-21-00-C02</t>
  </si>
  <si>
    <t>SOPORTE MOTOR FR RH</t>
  </si>
  <si>
    <t>123110E04000</t>
  </si>
  <si>
    <t>123040Y15000</t>
  </si>
  <si>
    <t>D-21-02-G08</t>
  </si>
  <si>
    <t>Mobil ATF D/M (20 LTS)</t>
  </si>
  <si>
    <t>123028</t>
  </si>
  <si>
    <t>L-01-00-A11</t>
  </si>
  <si>
    <t>TOYOTA GENUINE TGO LF 75W X 200L</t>
  </si>
  <si>
    <t>122944</t>
  </si>
  <si>
    <t>L-01-00-A12</t>
  </si>
  <si>
    <t>TOYOTA MG GO 75W90 GL-3 JWS 2257 DR 200L</t>
  </si>
  <si>
    <t>122941</t>
  </si>
  <si>
    <t>L-00-01-B03</t>
  </si>
  <si>
    <t>MOBILGREASE XHP 462 MOLY PAIL 20KG</t>
  </si>
  <si>
    <t>122449</t>
  </si>
  <si>
    <t>L-00-02-A01</t>
  </si>
  <si>
    <t>MANGUERA VENTILACION</t>
  </si>
  <si>
    <t>122290L01000</t>
  </si>
  <si>
    <t>D-07-03-B02</t>
  </si>
  <si>
    <t>TAPA LLENADO ACEITE</t>
  </si>
  <si>
    <t>121803801000</t>
  </si>
  <si>
    <t>D-18-01-E05</t>
  </si>
  <si>
    <t>121802101000</t>
  </si>
  <si>
    <t>D-18-01-C09</t>
  </si>
  <si>
    <t>COJINETE BANCADA</t>
  </si>
  <si>
    <t>117011701102</t>
  </si>
  <si>
    <t>D-16-01-F01</t>
  </si>
  <si>
    <t>265/65 R17 DUELER HT 684 II</t>
  </si>
  <si>
    <t>11578001</t>
  </si>
  <si>
    <t>PLACA TAPA DISTRIB.</t>
  </si>
  <si>
    <t>113566703000</t>
  </si>
  <si>
    <t>D-06-01-F01</t>
  </si>
  <si>
    <t>JUNTA TAPA DISTRIB. N0.2</t>
  </si>
  <si>
    <t>113291102000</t>
  </si>
  <si>
    <t>D-19-00-H07</t>
  </si>
  <si>
    <t>JUNTA TAPA DISTRIBUCION</t>
  </si>
  <si>
    <t>113281107000</t>
  </si>
  <si>
    <t>D-19-00-E01</t>
  </si>
  <si>
    <t>TAPA DISTRIBUCION 3L</t>
  </si>
  <si>
    <t>113115405200</t>
  </si>
  <si>
    <t>D-05-05-B14</t>
  </si>
  <si>
    <t>CAJA, CADENA DISTRIBUCION</t>
  </si>
  <si>
    <t>113100802000</t>
  </si>
  <si>
    <t>D-10-02-B04</t>
  </si>
  <si>
    <t>COVER V-BANK</t>
  </si>
  <si>
    <t>112593107000</t>
  </si>
  <si>
    <t>H-01-03-B07</t>
  </si>
  <si>
    <t>JUNTA TAPA VALVULAS NO.2</t>
  </si>
  <si>
    <t>112141101000</t>
  </si>
  <si>
    <t>D-20-00-F02</t>
  </si>
  <si>
    <t>JUNTA TAPA VALVULAS</t>
  </si>
  <si>
    <t>112133702100</t>
  </si>
  <si>
    <t>D-05-04-C03</t>
  </si>
  <si>
    <t>112133004000</t>
  </si>
  <si>
    <t>D-05-04-B09</t>
  </si>
  <si>
    <t>112132205000</t>
  </si>
  <si>
    <t>112131107000</t>
  </si>
  <si>
    <t>D-05-04-B08</t>
  </si>
  <si>
    <t>TAPA DE VALVULAS</t>
  </si>
  <si>
    <t>112103011000</t>
  </si>
  <si>
    <t>D-07-04-B04</t>
  </si>
  <si>
    <t>JUNTA TUBO BUJIA</t>
  </si>
  <si>
    <t>111937001000</t>
  </si>
  <si>
    <t>D-19-00-B05</t>
  </si>
  <si>
    <t>111775402000</t>
  </si>
  <si>
    <t>111766701000</t>
  </si>
  <si>
    <t>D-17-02-D05</t>
  </si>
  <si>
    <t>111763301000</t>
  </si>
  <si>
    <t>D-20-01-G09</t>
  </si>
  <si>
    <t>111762701100</t>
  </si>
  <si>
    <t>JUNTA ARBOL DE LEVAS</t>
  </si>
  <si>
    <t>111591101000</t>
  </si>
  <si>
    <t>D-20-00-G07</t>
  </si>
  <si>
    <t>GUIA DE VALVULAS</t>
  </si>
  <si>
    <t>111265005000</t>
  </si>
  <si>
    <t>D-16-01-D04</t>
  </si>
  <si>
    <t>111221601000</t>
  </si>
  <si>
    <t>D-16-01-F03</t>
  </si>
  <si>
    <t>JUNTA TAPA CILINDROS</t>
  </si>
  <si>
    <t>111157411000</t>
  </si>
  <si>
    <t>D-05-06-D13</t>
  </si>
  <si>
    <t>111156705001</t>
  </si>
  <si>
    <t>1111511120B0</t>
  </si>
  <si>
    <t>D-05-06-D18</t>
  </si>
  <si>
    <t>JUNTA TAPA CILINDRO (B)</t>
  </si>
  <si>
    <t>111150E020B0</t>
  </si>
  <si>
    <t>265/70 R16 112T DUELER A/T REVO 2</t>
  </si>
  <si>
    <t>10635001</t>
  </si>
  <si>
    <t>E-03-00-C01</t>
  </si>
  <si>
    <t>REFLECTOR LASER</t>
  </si>
  <si>
    <t>098706000000</t>
  </si>
  <si>
    <t>H-02-07-B09</t>
  </si>
  <si>
    <t>JERINGA</t>
  </si>
  <si>
    <t>098109901000</t>
  </si>
  <si>
    <t>D-19-01-J03</t>
  </si>
  <si>
    <t>SST TAPA TANQ.COMB.</t>
  </si>
  <si>
    <t>098089905000</t>
  </si>
  <si>
    <t>D-18-01-C04</t>
  </si>
  <si>
    <t>EXTRACTOR COJINETE P</t>
  </si>
  <si>
    <t>095212501200</t>
  </si>
  <si>
    <t>D-06-01-D02</t>
  </si>
  <si>
    <t>SOPORTE DE TRANSMISION</t>
  </si>
  <si>
    <t>093107101100</t>
  </si>
  <si>
    <t>D-05-02-B01</t>
  </si>
  <si>
    <t>LLAVE DE RUEDA</t>
  </si>
  <si>
    <t>091500K03000</t>
  </si>
  <si>
    <t>D-08-01-B04</t>
  </si>
  <si>
    <t>091500D03000</t>
  </si>
  <si>
    <t>LLAVE DE TUERCAS</t>
  </si>
  <si>
    <t>091410K04000</t>
  </si>
  <si>
    <t>D-08-01-C02</t>
  </si>
  <si>
    <t>DRIVER, SCREW</t>
  </si>
  <si>
    <t>091350K07000</t>
  </si>
  <si>
    <t>D-18-02-F03</t>
  </si>
  <si>
    <t>BOLSA HERRAMIENTAS</t>
  </si>
  <si>
    <t>091200K20000</t>
  </si>
  <si>
    <t>D-08-02-D03</t>
  </si>
  <si>
    <t>091200D22000</t>
  </si>
  <si>
    <t>MANIJA DE MANIVELA</t>
  </si>
  <si>
    <t>091150K25000</t>
  </si>
  <si>
    <t>D-08-01-D07</t>
  </si>
  <si>
    <t>091150K18000</t>
  </si>
  <si>
    <t>D-08-01-D05</t>
  </si>
  <si>
    <t>091150K17000</t>
  </si>
  <si>
    <t>D-08-01-D06</t>
  </si>
  <si>
    <t>091150K09000</t>
  </si>
  <si>
    <t>D-08-01-B06</t>
  </si>
  <si>
    <t>EXTENSION MANIVELA</t>
  </si>
  <si>
    <t>091140K18000</t>
  </si>
  <si>
    <t>D-08-01-B03</t>
  </si>
  <si>
    <t>091140K17000</t>
  </si>
  <si>
    <t>D-08-01-D01</t>
  </si>
  <si>
    <t>091140K03000</t>
  </si>
  <si>
    <t>D-08-01-B05</t>
  </si>
  <si>
    <t>MANIJA GATO HIDRAULICO</t>
  </si>
  <si>
    <t>091134203000</t>
  </si>
  <si>
    <t>D-08-01-D04</t>
  </si>
  <si>
    <t>MANIJA GATO</t>
  </si>
  <si>
    <t>091130D08000</t>
  </si>
  <si>
    <t>D-08-01-C06</t>
  </si>
  <si>
    <t>CRIQUE</t>
  </si>
  <si>
    <t>091110K13100</t>
  </si>
  <si>
    <t>D-08-03-B01</t>
  </si>
  <si>
    <t>GATO HIDRAULICO</t>
  </si>
  <si>
    <t>091110D08100</t>
  </si>
  <si>
    <t>D-08-03-B03</t>
  </si>
  <si>
    <t>091110216000</t>
  </si>
  <si>
    <t>D-08-01-E01</t>
  </si>
  <si>
    <t>CVT FLUID FE 4L</t>
  </si>
  <si>
    <t>088860300500</t>
  </si>
  <si>
    <t>D-00-00-B01</t>
  </si>
  <si>
    <t>ACEITE TYPE IV -4LTS</t>
  </si>
  <si>
    <t>088860270500</t>
  </si>
  <si>
    <t>D-00-00-C01</t>
  </si>
  <si>
    <t>SELLADOR</t>
  </si>
  <si>
    <t>088260008000</t>
  </si>
  <si>
    <t>SET LIMPIADOR</t>
  </si>
  <si>
    <t>088218085000</t>
  </si>
  <si>
    <t>D-16-00-E02</t>
  </si>
  <si>
    <t>LIMPIADOR AC</t>
  </si>
  <si>
    <t>088210083000</t>
  </si>
  <si>
    <t>D-16-00-F05</t>
  </si>
  <si>
    <t>LIMPIA INYECTORES LEXUS</t>
  </si>
  <si>
    <t>088138002000</t>
  </si>
  <si>
    <t>D-16-00-F04</t>
  </si>
  <si>
    <t>CLIP DE ALFOMBRA</t>
  </si>
  <si>
    <t>082100081000</t>
  </si>
  <si>
    <t>JGO. PASADOR CALIPER</t>
  </si>
  <si>
    <t>049560501000</t>
  </si>
  <si>
    <t>D-21-01-F01</t>
  </si>
  <si>
    <t>JGO.REPAR.CALIPER</t>
  </si>
  <si>
    <t>049520902000</t>
  </si>
  <si>
    <t>D-21-01-F04</t>
  </si>
  <si>
    <t>JGO.PASADOR CALIPER FRENO</t>
  </si>
  <si>
    <t>049520234000</t>
  </si>
  <si>
    <t>JGO PASADOR</t>
  </si>
  <si>
    <t>049520207000</t>
  </si>
  <si>
    <t>D-20-01-E01</t>
  </si>
  <si>
    <t>JGO.REPAR.FRENO TRAS</t>
  </si>
  <si>
    <t>049490K07000</t>
  </si>
  <si>
    <t>JGO.REPAR.ZAPATA FRE</t>
  </si>
  <si>
    <t>049477101000</t>
  </si>
  <si>
    <t>D-20-01-L08</t>
  </si>
  <si>
    <t>049473505000</t>
  </si>
  <si>
    <t>D-20-01-I05</t>
  </si>
  <si>
    <t>049473313000</t>
  </si>
  <si>
    <t>D-21-01-E01</t>
  </si>
  <si>
    <t>049472012000</t>
  </si>
  <si>
    <t>D-21-01-D04</t>
  </si>
  <si>
    <t>JGO.REPAR.PAST.FRENO</t>
  </si>
  <si>
    <t>049466012000</t>
  </si>
  <si>
    <t>D-17-01-E04</t>
  </si>
  <si>
    <t>SUPLEMENTO CALIPER FRENO</t>
  </si>
  <si>
    <t>049463307000</t>
  </si>
  <si>
    <t>D-21-01-F07</t>
  </si>
  <si>
    <t>JGO.REP.ZAPATA FRENO</t>
  </si>
  <si>
    <t>049454206000</t>
  </si>
  <si>
    <t>D-21-01-F06</t>
  </si>
  <si>
    <t>PLACA ANTICHILLIDO FR</t>
  </si>
  <si>
    <t>049450K35000</t>
  </si>
  <si>
    <t>D-21-00-G05</t>
  </si>
  <si>
    <t>049450K34100</t>
  </si>
  <si>
    <t>D-21-01-E08</t>
  </si>
  <si>
    <t>049450K18000</t>
  </si>
  <si>
    <t>D-20-01-D05</t>
  </si>
  <si>
    <t>049430K04000</t>
  </si>
  <si>
    <t>D-21-01-D05</t>
  </si>
  <si>
    <t>JGO. REP. RESORTES ZAPATA FRENO</t>
  </si>
  <si>
    <t>049420K16000</t>
  </si>
  <si>
    <t>D-21-01-D01</t>
  </si>
  <si>
    <t>049420K07000</t>
  </si>
  <si>
    <t>D-21-01-D06</t>
  </si>
  <si>
    <t>KIT ZAPATA FRENO RR</t>
  </si>
  <si>
    <t>044950D11000</t>
  </si>
  <si>
    <t>D-05-02-D05</t>
  </si>
  <si>
    <t>JGO.REPAR.BBA.FRENO</t>
  </si>
  <si>
    <t>044932031000</t>
  </si>
  <si>
    <t>D-21-01-F02</t>
  </si>
  <si>
    <t>JUEGO PERNO ELASTICO</t>
  </si>
  <si>
    <t>04483KK02000</t>
  </si>
  <si>
    <t>D-06-00-D06</t>
  </si>
  <si>
    <t>044796003000</t>
  </si>
  <si>
    <t>044794204000</t>
  </si>
  <si>
    <t>D-20-00-E04</t>
  </si>
  <si>
    <t>044790W04000</t>
  </si>
  <si>
    <t>D-20-01-C03</t>
  </si>
  <si>
    <t>JGO.CILINDR.DE FRENO</t>
  </si>
  <si>
    <t>044780K11000</t>
  </si>
  <si>
    <t>REPARACION CILINDRO FRENO</t>
  </si>
  <si>
    <t>044743510000</t>
  </si>
  <si>
    <t>D-21-01-F03</t>
  </si>
  <si>
    <t>JGO. PASTILLA FRENO</t>
  </si>
  <si>
    <t>044666016000</t>
  </si>
  <si>
    <t>D-03-00-F07</t>
  </si>
  <si>
    <t>D-03-00-C05</t>
  </si>
  <si>
    <t>044666012000</t>
  </si>
  <si>
    <t>D-03-00-B06</t>
  </si>
  <si>
    <t>044664710100</t>
  </si>
  <si>
    <t>D-03-00-E02</t>
  </si>
  <si>
    <t>044664710000</t>
  </si>
  <si>
    <t>D-03-00-D08</t>
  </si>
  <si>
    <t>044664206000</t>
  </si>
  <si>
    <t>D-03-00-C01</t>
  </si>
  <si>
    <t>044664203000</t>
  </si>
  <si>
    <t>D-03-00-B03</t>
  </si>
  <si>
    <t>044663323000</t>
  </si>
  <si>
    <t>D-03-00-B08</t>
  </si>
  <si>
    <t>JGO.PASTILLAS FRENO RR</t>
  </si>
  <si>
    <t>044663322000</t>
  </si>
  <si>
    <t>D-03-00-E04</t>
  </si>
  <si>
    <t>PAD KIT, DISC BRAKE L/FITTING PARTS, RR</t>
  </si>
  <si>
    <t>044662603000</t>
  </si>
  <si>
    <t>D-03-01-D05</t>
  </si>
  <si>
    <t>044662013000</t>
  </si>
  <si>
    <t>D-03-00-B02</t>
  </si>
  <si>
    <t>044660A01000</t>
  </si>
  <si>
    <t>D-03-01-D01</t>
  </si>
  <si>
    <t>044660501000</t>
  </si>
  <si>
    <t>D-03-00-B04</t>
  </si>
  <si>
    <t>PASTILLA FRENO RR</t>
  </si>
  <si>
    <t>044660245000</t>
  </si>
  <si>
    <t>D-03-01-C04</t>
  </si>
  <si>
    <t>D-03-00-C02</t>
  </si>
  <si>
    <t>JGO.PASTILLA DE FRENO</t>
  </si>
  <si>
    <t>044660218100</t>
  </si>
  <si>
    <t>D-03-01-D06</t>
  </si>
  <si>
    <t>044656028000</t>
  </si>
  <si>
    <t>D-03-00-C04</t>
  </si>
  <si>
    <t>044654710000</t>
  </si>
  <si>
    <t>D-03-00-C08</t>
  </si>
  <si>
    <t>04465422008A</t>
  </si>
  <si>
    <t>D-03-01-C02</t>
  </si>
  <si>
    <t>044654218000</t>
  </si>
  <si>
    <t>D-03-00-D05</t>
  </si>
  <si>
    <t>044654212000</t>
  </si>
  <si>
    <t>D-03-00-D04</t>
  </si>
  <si>
    <t>044654211000</t>
  </si>
  <si>
    <t>D-03-00-D03</t>
  </si>
  <si>
    <t>044653348000</t>
  </si>
  <si>
    <t>D-03-00-F01</t>
  </si>
  <si>
    <t>044653332000</t>
  </si>
  <si>
    <t>D-03-00-F05</t>
  </si>
  <si>
    <t>PASTILLAS DE FRENO DEL.</t>
  </si>
  <si>
    <t>044652646000</t>
  </si>
  <si>
    <t>D-03-00-B01</t>
  </si>
  <si>
    <t>PAD KIT, DISC BRAKE L/FITTING PARTS, FR</t>
  </si>
  <si>
    <t>044652644000</t>
  </si>
  <si>
    <t>D-03-00-C09</t>
  </si>
  <si>
    <t>044652012000</t>
  </si>
  <si>
    <t>D-03-00-F03</t>
  </si>
  <si>
    <t>044651259300</t>
  </si>
  <si>
    <t>D-03-00-B09</t>
  </si>
  <si>
    <t>044651224000</t>
  </si>
  <si>
    <t>D-03-00-D07</t>
  </si>
  <si>
    <t>JGO PASTILLAS FRENO</t>
  </si>
  <si>
    <t>044650W14100</t>
  </si>
  <si>
    <t>D-03-00-F04</t>
  </si>
  <si>
    <t>044650W02000</t>
  </si>
  <si>
    <t>D-03-00-C07</t>
  </si>
  <si>
    <t>044650K60000</t>
  </si>
  <si>
    <t>D-03-00-E05</t>
  </si>
  <si>
    <t>KIT PASTILLA FRENO FR</t>
  </si>
  <si>
    <t>044650K460FF</t>
  </si>
  <si>
    <t>D-03-01-B02</t>
  </si>
  <si>
    <t>D-03-00-E01</t>
  </si>
  <si>
    <t>044650K23000</t>
  </si>
  <si>
    <t>D-03-00-C06</t>
  </si>
  <si>
    <t>044650D15000</t>
  </si>
  <si>
    <t>D-03-01-D03</t>
  </si>
  <si>
    <t>KIT PASTILLA FRENO DEL.</t>
  </si>
  <si>
    <t>044650D10100</t>
  </si>
  <si>
    <t>D-03-00-B07</t>
  </si>
  <si>
    <t>044650527000</t>
  </si>
  <si>
    <t>D-03-00-E03</t>
  </si>
  <si>
    <t>PASTILLA FRENO FR</t>
  </si>
  <si>
    <t>044650252000</t>
  </si>
  <si>
    <t>D-03-01-B04</t>
  </si>
  <si>
    <t>JGO. PASTILLAS FRENO FR COROLLA</t>
  </si>
  <si>
    <t>044650242000</t>
  </si>
  <si>
    <t>D-03-01-D04</t>
  </si>
  <si>
    <t>044650233000</t>
  </si>
  <si>
    <t>D-03-01-C03</t>
  </si>
  <si>
    <t>D-03-00-D01</t>
  </si>
  <si>
    <t>JGO.REPAR.BBA.DIREC.</t>
  </si>
  <si>
    <t>044463205000</t>
  </si>
  <si>
    <t>044463201100</t>
  </si>
  <si>
    <t>D-20-01-F02</t>
  </si>
  <si>
    <t>JGO.REP.BBA.DIRECC.</t>
  </si>
  <si>
    <t>044460K01000</t>
  </si>
  <si>
    <t>D-20-01-C04</t>
  </si>
  <si>
    <t>JGO.REP.DIREC.HIDRA.</t>
  </si>
  <si>
    <t>044450K14200</t>
  </si>
  <si>
    <t>D-17-00-D08</t>
  </si>
  <si>
    <t>JGO.CAPUCHONES SEMIE</t>
  </si>
  <si>
    <t>044384216000</t>
  </si>
  <si>
    <t>E-06-01-D02</t>
  </si>
  <si>
    <t>044382013500</t>
  </si>
  <si>
    <t>D-09-01-B04</t>
  </si>
  <si>
    <t>044380W05000</t>
  </si>
  <si>
    <t>D-07-03-A03</t>
  </si>
  <si>
    <t>044380208100</t>
  </si>
  <si>
    <t>D-07-03-A01</t>
  </si>
  <si>
    <t>CAPUCHON CARDAN</t>
  </si>
  <si>
    <t>044370K01000</t>
  </si>
  <si>
    <t>D-05-02-D01</t>
  </si>
  <si>
    <t>044283501000</t>
  </si>
  <si>
    <t>D-07-03-A02</t>
  </si>
  <si>
    <t>044276013000</t>
  </si>
  <si>
    <t>D-07-03-A04</t>
  </si>
  <si>
    <t>JUEGO FUELLE SEMIEJE</t>
  </si>
  <si>
    <t>044274404100</t>
  </si>
  <si>
    <t>E-06-01-D01</t>
  </si>
  <si>
    <t>D-05-06-B06</t>
  </si>
  <si>
    <t>D-21-01-I03</t>
  </si>
  <si>
    <t>JGO.JUNT.CAJA TRANSF</t>
  </si>
  <si>
    <t>043623506100</t>
  </si>
  <si>
    <t>D-19-01-D05</t>
  </si>
  <si>
    <t>043623504100</t>
  </si>
  <si>
    <t>D-05-06-B01</t>
  </si>
  <si>
    <t>JGO. JTA CAJA4X4</t>
  </si>
  <si>
    <t>043316037000</t>
  </si>
  <si>
    <t>D-20-01-C07</t>
  </si>
  <si>
    <t>JGO.JUNTAS CAJA</t>
  </si>
  <si>
    <t>043313516000</t>
  </si>
  <si>
    <t>D-05-06-B04</t>
  </si>
  <si>
    <t>JGO. JUNTAS CAJA</t>
  </si>
  <si>
    <t>043312621200</t>
  </si>
  <si>
    <t>D-18-01-E01</t>
  </si>
  <si>
    <t>041750L04300</t>
  </si>
  <si>
    <t>D-05-01-D02</t>
  </si>
  <si>
    <t>JUNTA TURBOCARGADOR</t>
  </si>
  <si>
    <t>041750E01100</t>
  </si>
  <si>
    <t>D-09-01-D01</t>
  </si>
  <si>
    <t>041523802000</t>
  </si>
  <si>
    <t>D-01-05-D06</t>
  </si>
  <si>
    <t>041523801000</t>
  </si>
  <si>
    <t>D-01-05-E03</t>
  </si>
  <si>
    <t>JGO.JUNTAS DE MOTOR</t>
  </si>
  <si>
    <t>041116705000</t>
  </si>
  <si>
    <t>D-05-06-D01</t>
  </si>
  <si>
    <t>JGO. JUNTAS DE MOTOR</t>
  </si>
  <si>
    <t>041110E02200</t>
  </si>
  <si>
    <t>D-14-01-A01</t>
  </si>
  <si>
    <t>D-14-01-A02</t>
  </si>
  <si>
    <t>D-14-01-C04</t>
  </si>
  <si>
    <t>KIT TRABA CAPOT</t>
  </si>
  <si>
    <t>040076417100</t>
  </si>
  <si>
    <t>D-21-00-B01</t>
  </si>
  <si>
    <t>D-14-02-A01</t>
  </si>
  <si>
    <t>D-14-02-B01</t>
  </si>
  <si>
    <t>040066611200</t>
  </si>
  <si>
    <t>R-01-00-B01</t>
  </si>
  <si>
    <t>KIT SOPORTE, AIR BAG CORT</t>
  </si>
  <si>
    <t>040062514700</t>
  </si>
  <si>
    <t>D-17-01-D04</t>
  </si>
  <si>
    <t>KIT INFLADOR AIR BAG VOL. RAV</t>
  </si>
  <si>
    <t>040050834200</t>
  </si>
  <si>
    <t>D-14-01-C01</t>
  </si>
  <si>
    <t>D-14-00-B01</t>
  </si>
  <si>
    <t>D-14-01-C02</t>
  </si>
  <si>
    <t>040050501200</t>
  </si>
  <si>
    <t>R-01-00-A01</t>
  </si>
  <si>
    <t>D-14-01-A04</t>
  </si>
  <si>
    <t>D-05-00-D01</t>
  </si>
  <si>
    <t>040031110500</t>
  </si>
  <si>
    <t>D-14-01-C03</t>
  </si>
  <si>
    <t>TORNILLO PLACA LEVAN</t>
  </si>
  <si>
    <t>040021834200</t>
  </si>
  <si>
    <t>D-18-02-G03</t>
  </si>
  <si>
    <t>GRASA PLACA LEVANTACRISTAL</t>
  </si>
  <si>
    <t>040021824200</t>
  </si>
  <si>
    <t>D-16-00-E03</t>
  </si>
  <si>
    <t>PLACA INT PR LEVANT.</t>
  </si>
  <si>
    <t>040021394200</t>
  </si>
  <si>
    <t>D-16-02-I02</t>
  </si>
  <si>
    <t>040021384200</t>
  </si>
  <si>
    <t>D-16-02-I04</t>
  </si>
  <si>
    <t>040004421200</t>
  </si>
  <si>
    <t>R-01-01-A01</t>
  </si>
  <si>
    <t>DEFLECTOR POSTERIOR</t>
  </si>
  <si>
    <t>005004296500</t>
  </si>
  <si>
    <t>H-02-06-E04</t>
  </si>
  <si>
    <t>KIT TORNILLOS SEG.CHAPA - CAT 3</t>
  </si>
  <si>
    <t>002760094200</t>
  </si>
  <si>
    <t>D-15-00-E06</t>
  </si>
  <si>
    <t>CALCO LAT. 4X4 TURBO</t>
  </si>
  <si>
    <t>00000LTUR000</t>
  </si>
  <si>
    <t>D-18-02-N04</t>
  </si>
  <si>
    <t>Vta.Últ. 6 Sem.</t>
  </si>
  <si>
    <t>Habilitado</t>
  </si>
  <si>
    <t>Pcio.Vta.</t>
  </si>
  <si>
    <t>Cto.Ult.Comp.</t>
  </si>
  <si>
    <t>Línea</t>
  </si>
  <si>
    <t>Seg.Locación</t>
  </si>
  <si>
    <t xml:space="preserve"> Suc.: Casa Central - Jujuy Stock: &lt;&gt; 0 Kits de Repuestos: No</t>
  </si>
  <si>
    <t>Stock Por Artículo</t>
  </si>
  <si>
    <t>Fecha y Hora de Emisión: 03/02/2026 10:38  Página: 1/1</t>
  </si>
  <si>
    <t>Zurita, Roberto</t>
  </si>
  <si>
    <t>00002861</t>
  </si>
  <si>
    <t>ACRILICO FARO TRASERO LH</t>
  </si>
  <si>
    <t>815610K26100</t>
  </si>
  <si>
    <t>Castillo, Jose</t>
  </si>
  <si>
    <t>00000999</t>
  </si>
  <si>
    <t xml:space="preserve"> Estado: Pendientes Suc.Origen: Todas Suc.Destino: Casa Central - Jujuy Kits de Repuestos: No Observaciones: No Valorizado: Costo de Compra Formato: Detallado</t>
  </si>
  <si>
    <t>CUMPLIMIENTO</t>
  </si>
  <si>
    <t>Transferencias pendientes de recepcionar con fecha igual a la ejecucion del control</t>
  </si>
  <si>
    <t>Fecha y Hora de Emisión: 03/02/2026 10:5  Página: 1/1</t>
  </si>
  <si>
    <t>ARRANCADOR DE BATERIA GR</t>
  </si>
  <si>
    <t>GRARRANCADOR</t>
  </si>
  <si>
    <t>Chauque, Hugo</t>
  </si>
  <si>
    <t>00005217</t>
  </si>
  <si>
    <t>Antigüedad de 1 dia corrido de la tranferencia en analisis - Sin Obs</t>
  </si>
  <si>
    <t>Fecha y Hora de Emisión: 03/02/2026 11  Página: 1/1</t>
  </si>
  <si>
    <t>R-0033-00899488</t>
  </si>
  <si>
    <t>A-0300-00202404</t>
  </si>
  <si>
    <t>R-0033-00897568</t>
  </si>
  <si>
    <t>A-0300-00200870</t>
  </si>
  <si>
    <t>R-0033-00893210</t>
  </si>
  <si>
    <t>A-0200-00197260</t>
  </si>
  <si>
    <t>R-0033-00888151</t>
  </si>
  <si>
    <t>A-0300-00193274</t>
  </si>
  <si>
    <t>A-0300-00148818</t>
  </si>
  <si>
    <t>Fecha y Hora de Emisión: 03/02/2026 11:36  Página: 1/1</t>
  </si>
  <si>
    <t>R-0005-00004421</t>
  </si>
  <si>
    <t>ALTERNADOR CON REGULADOR (denso)</t>
  </si>
  <si>
    <t>270600L16000</t>
  </si>
  <si>
    <t>137500E01000</t>
  </si>
  <si>
    <t>RETEN SEMIEJ. IZQ.</t>
  </si>
  <si>
    <t>( 55788)</t>
  </si>
  <si>
    <t>MINA PIRQUITAS S.A</t>
  </si>
  <si>
    <t>TAPA RESERVORIO</t>
  </si>
  <si>
    <t>443050K03000</t>
  </si>
  <si>
    <t>R-0005-00004364</t>
  </si>
  <si>
    <t>LEDESMA S.A.A.I.</t>
  </si>
  <si>
    <t>Justif Control Ant</t>
  </si>
  <si>
    <t>Fecha y Hora de Emisión: 03/02/2026 11:49  Página: 1/1</t>
  </si>
  <si>
    <t>Cortesias - TMS</t>
  </si>
  <si>
    <t xml:space="preserve"> Suc.: Casa Central - Jujuy Desde: 01/01/2026 Hasta: 31/01/2026 Formato: Resumido</t>
  </si>
  <si>
    <t>Cliente: MINA PIRQUITAS S.A</t>
  </si>
  <si>
    <t>Fecha y Hora de Emisión: 03/02/2026 14:14  Página: 1/1</t>
  </si>
  <si>
    <t>Mal Locado</t>
  </si>
  <si>
    <t>R-33-932891</t>
  </si>
  <si>
    <t>R-33-933524</t>
  </si>
  <si>
    <t>Fecha Carga Siac.</t>
  </si>
  <si>
    <t>R-33-933136</t>
  </si>
  <si>
    <t>R-33-933109</t>
  </si>
  <si>
    <t xml:space="preserve">Se olvidaron de facturar el remito - </t>
  </si>
  <si>
    <t>Tasa no aprobo el reclamo de los termos, en conocimento luis.</t>
  </si>
  <si>
    <t>Pendiente de credito reclamado-Aprobado</t>
  </si>
  <si>
    <t>Estado Art</t>
  </si>
  <si>
    <t>Control de Accesorios a traves de la operación</t>
  </si>
  <si>
    <t>Poseia un faltante de -1. Se encontraba 1 art separado, facturado a-48-33367 - Sin obs.</t>
  </si>
  <si>
    <t>Cliente</t>
  </si>
  <si>
    <t>Auditor:</t>
  </si>
  <si>
    <t>Gustavo Zambrano</t>
  </si>
  <si>
    <t>Codigo Auditoria:</t>
  </si>
  <si>
    <t>Los mencionados remitos, al momento del control, se encontraban pendientes de facturación, sin que exista una justificación al respecto.                                                          Al dia de la fecha, la situacion fue subsanada.</t>
  </si>
  <si>
    <t>Firmado por Martin Diaz</t>
  </si>
  <si>
    <t>Firmado por Augusto fasciano</t>
  </si>
  <si>
    <t>Firmado por Esteban Toril</t>
  </si>
  <si>
    <t>Firmado por Jorge Jijena</t>
  </si>
  <si>
    <t>Se detecto que el comprobante observado fue registrado contablemente en el ejercicio 2025, pese a haber sido emitida por el proveedor en febrero de 2024. Los remitos asociados a dicha operación fueron correctamente cargados en el sistema durante el ejercicio 2024, sin generar diferencias de stock, pero no fueron oportunamente vinculados a la factura correspondiente.
Como consecuencia, la factura quedó registrada en un ejercicio posterior sin cancelación contra remitos, manteniéndose en estado pendiente de crédito para evitar impacto en inventarios.</t>
  </si>
  <si>
    <t>PROG - 858</t>
  </si>
  <si>
    <t>Únicamente a modo informativo, y sin impacto en el resultado del control, se detalla a continuación el siguiente crédito pendiente: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</si>
</sst>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&quot;$&quot;\ #,##0.00"/>
    <numFmt numFmtId="166" formatCode="dd&quot;/&quot;mm&quot;/&quot;yy"/>
    <numFmt numFmtId="167" formatCode="dd\/mm\/yyyy"/>
    <numFmt numFmtId="168" formatCode="0.0000"/>
    <numFmt numFmtId="169" formatCode="_-* #,##0_-;\-* #,##0_-;_-* &quot;-&quot;??_-;_-@_-"/>
    <numFmt numFmtId="170" formatCode="dd/mm/yyyy;@"/>
  </numFmts>
  <fonts count="7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Bahnschrift"/>
      <family val="2"/>
    </font>
    <font>
      <b/>
      <sz val="10"/>
      <color theme="1"/>
      <name val="Bahnschrift"/>
      <family val="2"/>
    </font>
    <font>
      <b/>
      <sz val="10"/>
      <color rgb="FFFF0000"/>
      <name val="Bahnschrift"/>
      <family val="2"/>
    </font>
    <font>
      <sz val="10"/>
      <color theme="1"/>
      <name val="Bahnschrift"/>
      <family val="2"/>
    </font>
    <font>
      <sz val="11"/>
      <color theme="1"/>
      <name val="Bahnschrift"/>
      <family val="2"/>
    </font>
    <font>
      <b/>
      <sz val="18"/>
      <color theme="0"/>
      <name val="Bahnschrift"/>
      <family val="2"/>
    </font>
    <font>
      <b/>
      <sz val="12"/>
      <color theme="0"/>
      <name val="Bahnschrift"/>
      <family val="2"/>
    </font>
    <font>
      <b/>
      <sz val="14"/>
      <name val="Bahnschrift"/>
      <family val="2"/>
    </font>
    <font>
      <sz val="12"/>
      <name val="Bahnschrift"/>
      <family val="2"/>
    </font>
    <font>
      <b/>
      <sz val="20"/>
      <color rgb="FFFF0000"/>
      <name val="Calibri"/>
      <family val="2"/>
      <scheme val="minor"/>
    </font>
    <font>
      <b/>
      <sz val="16"/>
      <color theme="1"/>
      <name val="Bahnschrift"/>
      <family val="2"/>
    </font>
    <font>
      <b/>
      <sz val="9"/>
      <color theme="1"/>
      <name val="Bahnschrift"/>
      <family val="2"/>
    </font>
    <font>
      <b/>
      <sz val="9"/>
      <color theme="0"/>
      <name val="Bahnschrift"/>
      <family val="2"/>
    </font>
    <font>
      <sz val="9"/>
      <color theme="1"/>
      <name val="Bahnschrift"/>
      <family val="2"/>
    </font>
    <font>
      <b/>
      <sz val="9"/>
      <name val="Bahnschrift"/>
      <family val="2"/>
    </font>
    <font>
      <b/>
      <i/>
      <sz val="11"/>
      <color theme="0"/>
      <name val="Bahnschrift"/>
      <family val="2"/>
    </font>
    <font>
      <b/>
      <sz val="11"/>
      <color theme="0"/>
      <name val="Bahnschrift"/>
      <family val="2"/>
    </font>
    <font>
      <sz val="11"/>
      <color theme="0"/>
      <name val="Bahnschrift"/>
      <family val="2"/>
    </font>
    <font>
      <b/>
      <sz val="11"/>
      <name val="Bahnschrift"/>
      <family val="2"/>
    </font>
    <font>
      <b/>
      <sz val="17"/>
      <color theme="1"/>
      <name val="Bahnschrift"/>
      <family val="2"/>
    </font>
    <font>
      <b/>
      <sz val="16"/>
      <name val="Bahnschrift"/>
      <family val="2"/>
    </font>
    <font>
      <b/>
      <u/>
      <sz val="11"/>
      <color theme="0"/>
      <name val="Bahnschrift"/>
      <family val="2"/>
    </font>
    <font>
      <sz val="10"/>
      <color theme="1"/>
      <name val="Calibri"/>
      <family val="2"/>
      <scheme val="minor"/>
    </font>
    <font>
      <sz val="1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  <font>
      <b/>
      <u/>
      <sz val="11"/>
      <name val="Bahnschrift"/>
      <family val="2"/>
    </font>
    <font>
      <sz val="11"/>
      <name val="Bahnschrift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Bahnschrift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u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.85"/>
      <color indexed="8"/>
      <name val="Courier New"/>
      <family val="3"/>
    </font>
    <font>
      <sz val="7.9"/>
      <color indexed="8"/>
      <name val="Courier New"/>
      <family val="3"/>
    </font>
    <font>
      <b/>
      <i/>
      <u/>
      <sz val="12"/>
      <color indexed="8"/>
      <name val="Courier New"/>
      <family val="3"/>
    </font>
    <font>
      <b/>
      <sz val="8.0500000000000007"/>
      <color indexed="8"/>
      <name val="Courier New"/>
      <family val="3"/>
    </font>
    <font>
      <b/>
      <i/>
      <sz val="10"/>
      <color rgb="FFFF0000"/>
      <name val="Calibri"/>
      <family val="2"/>
      <scheme val="minor"/>
    </font>
    <font>
      <sz val="10"/>
      <color indexed="8"/>
      <name val="MS Sans Serif"/>
    </font>
    <font>
      <b/>
      <sz val="9"/>
      <color indexed="8"/>
      <name val="Courier New"/>
      <family val="3"/>
    </font>
    <font>
      <sz val="10"/>
      <color indexed="8"/>
      <name val="Bahnschrift"/>
      <family val="2"/>
    </font>
    <font>
      <sz val="9.9499999999999993"/>
      <color indexed="8"/>
      <name val="Bahnschrift"/>
      <family val="2"/>
    </font>
    <font>
      <sz val="7.9"/>
      <color indexed="8"/>
      <name val="Courier New"/>
    </font>
    <font>
      <b/>
      <sz val="8.0500000000000007"/>
      <color indexed="8"/>
      <name val="Courier New"/>
    </font>
    <font>
      <b/>
      <i/>
      <u/>
      <sz val="12"/>
      <color indexed="8"/>
      <name val="Courier New"/>
    </font>
    <font>
      <b/>
      <i/>
      <sz val="9"/>
      <color indexed="8"/>
      <name val="Courier New"/>
    </font>
    <font>
      <b/>
      <i/>
      <sz val="9.85"/>
      <color indexed="8"/>
      <name val="Courier New"/>
    </font>
    <font>
      <b/>
      <sz val="9"/>
      <color indexed="8"/>
      <name val="Courier New"/>
    </font>
    <font>
      <b/>
      <sz val="8.15"/>
      <color indexed="8"/>
      <name val="Courier New"/>
    </font>
    <font>
      <b/>
      <sz val="7.1"/>
      <color indexed="8"/>
      <name val="Courier New"/>
    </font>
    <font>
      <b/>
      <i/>
      <u/>
      <sz val="10.8"/>
      <color indexed="8"/>
      <name val="Courier New"/>
    </font>
    <font>
      <i/>
      <u/>
      <sz val="9"/>
      <color indexed="8"/>
      <name val="Courier New"/>
    </font>
    <font>
      <b/>
      <sz val="9.85"/>
      <color indexed="8"/>
      <name val="Courier New"/>
    </font>
    <font>
      <sz val="9.9499999999999993"/>
      <color indexed="8"/>
      <name val="Courier New"/>
    </font>
    <font>
      <sz val="9"/>
      <color indexed="8"/>
      <name val="Courier New"/>
      <family val="3"/>
    </font>
    <font>
      <b/>
      <i/>
      <sz val="9"/>
      <color indexed="8"/>
      <name val="Courier New"/>
      <family val="3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0" fillId="0" borderId="0"/>
  </cellStyleXfs>
  <cellXfs count="449">
    <xf numFmtId="0" fontId="0" fillId="0" borderId="0" xfId="0"/>
    <xf numFmtId="0" fontId="0" fillId="2" borderId="1" xfId="0" applyFill="1" applyBorder="1"/>
    <xf numFmtId="9" fontId="5" fillId="2" borderId="0" xfId="2" applyFont="1" applyFill="1" applyBorder="1" applyAlignment="1">
      <alignment horizontal="left" vertical="center"/>
    </xf>
    <xf numFmtId="0" fontId="0" fillId="2" borderId="0" xfId="0" applyFill="1"/>
    <xf numFmtId="0" fontId="0" fillId="4" borderId="0" xfId="0" applyFill="1"/>
    <xf numFmtId="0" fontId="14" fillId="5" borderId="4" xfId="0" applyFont="1" applyFill="1" applyBorder="1" applyAlignment="1" applyProtection="1">
      <alignment horizontal="center"/>
      <protection locked="0"/>
    </xf>
    <xf numFmtId="0" fontId="14" fillId="6" borderId="4" xfId="0" applyFont="1" applyFill="1" applyBorder="1" applyAlignment="1" applyProtection="1">
      <alignment horizontal="center"/>
      <protection locked="0"/>
    </xf>
    <xf numFmtId="0" fontId="16" fillId="3" borderId="4" xfId="0" applyFont="1" applyFill="1" applyBorder="1" applyAlignment="1" applyProtection="1">
      <alignment horizontal="center"/>
      <protection locked="0"/>
    </xf>
    <xf numFmtId="0" fontId="14" fillId="7" borderId="4" xfId="0" applyFont="1" applyFill="1" applyBorder="1" applyAlignment="1" applyProtection="1">
      <alignment horizontal="center"/>
      <protection locked="0"/>
    </xf>
    <xf numFmtId="0" fontId="14" fillId="8" borderId="4" xfId="0" applyFont="1" applyFill="1" applyBorder="1" applyAlignment="1" applyProtection="1">
      <alignment horizontal="center"/>
      <protection locked="0"/>
    </xf>
    <xf numFmtId="9" fontId="17" fillId="2" borderId="0" xfId="2" applyFont="1" applyFill="1" applyBorder="1" applyAlignment="1">
      <alignment horizontal="center" vertical="center"/>
    </xf>
    <xf numFmtId="9" fontId="3" fillId="9" borderId="4" xfId="2" applyFont="1" applyFill="1" applyBorder="1" applyAlignment="1">
      <alignment horizontal="center" vertical="center"/>
    </xf>
    <xf numFmtId="14" fontId="5" fillId="2" borderId="7" xfId="2" applyNumberFormat="1" applyFont="1" applyFill="1" applyBorder="1" applyAlignment="1">
      <alignment horizontal="center" vertical="top" wrapText="1"/>
    </xf>
    <xf numFmtId="0" fontId="0" fillId="10" borderId="0" xfId="0" applyFill="1"/>
    <xf numFmtId="0" fontId="4" fillId="2" borderId="0" xfId="2" applyNumberFormat="1" applyFont="1" applyFill="1" applyBorder="1" applyAlignment="1">
      <alignment horizontal="left" vertical="center"/>
    </xf>
    <xf numFmtId="0" fontId="6" fillId="2" borderId="0" xfId="0" applyFont="1" applyFill="1"/>
    <xf numFmtId="0" fontId="6" fillId="2" borderId="6" xfId="0" applyFont="1" applyFill="1" applyBorder="1"/>
    <xf numFmtId="0" fontId="6" fillId="2" borderId="5" xfId="0" applyFont="1" applyFill="1" applyBorder="1"/>
    <xf numFmtId="9" fontId="6" fillId="2" borderId="14" xfId="2" applyFont="1" applyFill="1" applyBorder="1" applyAlignment="1">
      <alignment horizontal="center"/>
    </xf>
    <xf numFmtId="9" fontId="6" fillId="2" borderId="11" xfId="2" applyFont="1" applyFill="1" applyBorder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0" fontId="5" fillId="2" borderId="4" xfId="2" applyNumberFormat="1" applyFont="1" applyFill="1" applyBorder="1" applyAlignment="1">
      <alignment horizontal="center" vertical="top" wrapText="1"/>
    </xf>
    <xf numFmtId="10" fontId="6" fillId="2" borderId="11" xfId="2" applyNumberFormat="1" applyFont="1" applyFill="1" applyBorder="1" applyAlignment="1">
      <alignment horizontal="center"/>
    </xf>
    <xf numFmtId="10" fontId="6" fillId="2" borderId="0" xfId="2" applyNumberFormat="1" applyFont="1" applyFill="1" applyBorder="1" applyAlignment="1">
      <alignment horizontal="center"/>
    </xf>
    <xf numFmtId="10" fontId="6" fillId="2" borderId="14" xfId="2" applyNumberFormat="1" applyFont="1" applyFill="1" applyBorder="1" applyAlignment="1">
      <alignment horizontal="center"/>
    </xf>
    <xf numFmtId="10" fontId="6" fillId="2" borderId="7" xfId="2" applyNumberFormat="1" applyFont="1" applyFill="1" applyBorder="1" applyAlignment="1">
      <alignment horizontal="center"/>
    </xf>
    <xf numFmtId="9" fontId="6" fillId="2" borderId="7" xfId="2" applyFont="1" applyFill="1" applyBorder="1" applyAlignment="1">
      <alignment horizontal="center"/>
    </xf>
    <xf numFmtId="0" fontId="24" fillId="0" borderId="0" xfId="0" applyFont="1"/>
    <xf numFmtId="0" fontId="0" fillId="10" borderId="0" xfId="0" applyFill="1" applyAlignment="1">
      <alignment vertical="center"/>
    </xf>
    <xf numFmtId="6" fontId="0" fillId="10" borderId="0" xfId="0" applyNumberFormat="1" applyFill="1" applyAlignment="1">
      <alignment vertical="center"/>
    </xf>
    <xf numFmtId="3" fontId="0" fillId="10" borderId="0" xfId="0" applyNumberFormat="1" applyFill="1"/>
    <xf numFmtId="9" fontId="0" fillId="10" borderId="0" xfId="0" applyNumberFormat="1" applyFill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10" fontId="5" fillId="2" borderId="0" xfId="2" applyNumberFormat="1" applyFont="1" applyFill="1" applyBorder="1" applyAlignment="1">
      <alignment horizontal="center"/>
    </xf>
    <xf numFmtId="9" fontId="25" fillId="2" borderId="0" xfId="2" applyFont="1" applyFill="1" applyBorder="1" applyAlignment="1">
      <alignment horizontal="center" vertical="center"/>
    </xf>
    <xf numFmtId="9" fontId="15" fillId="9" borderId="4" xfId="2" applyFont="1" applyFill="1" applyBorder="1" applyAlignment="1">
      <alignment horizontal="center" vertical="center"/>
    </xf>
    <xf numFmtId="44" fontId="26" fillId="9" borderId="4" xfId="0" applyNumberFormat="1" applyFont="1" applyFill="1" applyBorder="1" applyAlignment="1">
      <alignment horizontal="center" vertical="center"/>
    </xf>
    <xf numFmtId="9" fontId="26" fillId="2" borderId="4" xfId="2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3" fillId="9" borderId="4" xfId="2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top" wrapText="1"/>
    </xf>
    <xf numFmtId="10" fontId="3" fillId="12" borderId="4" xfId="0" applyNumberFormat="1" applyFont="1" applyFill="1" applyBorder="1" applyAlignment="1">
      <alignment horizontal="center" vertical="center" wrapText="1"/>
    </xf>
    <xf numFmtId="14" fontId="5" fillId="2" borderId="4" xfId="2" applyNumberFormat="1" applyFont="1" applyFill="1" applyBorder="1" applyAlignment="1">
      <alignment horizontal="center" vertical="top" wrapText="1"/>
    </xf>
    <xf numFmtId="0" fontId="5" fillId="2" borderId="4" xfId="2" applyNumberFormat="1" applyFont="1" applyFill="1" applyBorder="1" applyAlignment="1">
      <alignment vertical="top" wrapText="1"/>
    </xf>
    <xf numFmtId="165" fontId="5" fillId="2" borderId="4" xfId="1" applyNumberFormat="1" applyFont="1" applyFill="1" applyBorder="1" applyAlignment="1">
      <alignment horizontal="center" vertical="top" wrapText="1"/>
    </xf>
    <xf numFmtId="1" fontId="5" fillId="9" borderId="0" xfId="1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16" fillId="2" borderId="4" xfId="0" applyFont="1" applyFill="1" applyBorder="1" applyProtection="1">
      <protection locked="0"/>
    </xf>
    <xf numFmtId="0" fontId="26" fillId="2" borderId="4" xfId="0" applyFont="1" applyFill="1" applyBorder="1" applyProtection="1">
      <protection locked="0"/>
    </xf>
    <xf numFmtId="9" fontId="27" fillId="2" borderId="0" xfId="2" applyFont="1" applyFill="1"/>
    <xf numFmtId="0" fontId="15" fillId="2" borderId="4" xfId="0" applyFont="1" applyFill="1" applyBorder="1" applyProtection="1">
      <protection locked="0"/>
    </xf>
    <xf numFmtId="0" fontId="15" fillId="2" borderId="0" xfId="0" applyFont="1" applyFill="1" applyAlignment="1">
      <alignment horizontal="center"/>
    </xf>
    <xf numFmtId="2" fontId="26" fillId="2" borderId="0" xfId="0" applyNumberFormat="1" applyFont="1" applyFill="1"/>
    <xf numFmtId="0" fontId="15" fillId="2" borderId="4" xfId="0" applyFont="1" applyFill="1" applyBorder="1"/>
    <xf numFmtId="0" fontId="15" fillId="2" borderId="0" xfId="0" applyFont="1" applyFill="1"/>
    <xf numFmtId="0" fontId="26" fillId="2" borderId="0" xfId="0" applyFont="1" applyFill="1"/>
    <xf numFmtId="10" fontId="26" fillId="2" borderId="0" xfId="0" applyNumberFormat="1" applyFont="1" applyFill="1"/>
    <xf numFmtId="0" fontId="10" fillId="2" borderId="0" xfId="0" applyFont="1" applyFill="1" applyAlignment="1">
      <alignment horizontal="left"/>
    </xf>
    <xf numFmtId="0" fontId="26" fillId="2" borderId="4" xfId="0" applyFont="1" applyFill="1" applyBorder="1"/>
    <xf numFmtId="0" fontId="30" fillId="2" borderId="0" xfId="0" applyFont="1" applyFill="1" applyAlignment="1">
      <alignment horizontal="center"/>
    </xf>
    <xf numFmtId="0" fontId="28" fillId="13" borderId="0" xfId="0" applyFont="1" applyFill="1"/>
    <xf numFmtId="0" fontId="29" fillId="13" borderId="0" xfId="0" applyFont="1" applyFill="1"/>
    <xf numFmtId="0" fontId="27" fillId="13" borderId="0" xfId="0" applyFont="1" applyFill="1"/>
    <xf numFmtId="0" fontId="0" fillId="13" borderId="0" xfId="0" applyFill="1"/>
    <xf numFmtId="0" fontId="15" fillId="13" borderId="0" xfId="0" applyFont="1" applyFill="1"/>
    <xf numFmtId="0" fontId="31" fillId="2" borderId="0" xfId="0" applyFont="1" applyFill="1" applyAlignment="1">
      <alignment horizontal="left" indent="3"/>
    </xf>
    <xf numFmtId="0" fontId="18" fillId="14" borderId="8" xfId="0" applyFont="1" applyFill="1" applyBorder="1"/>
    <xf numFmtId="0" fontId="6" fillId="14" borderId="2" xfId="0" applyFont="1" applyFill="1" applyBorder="1" applyAlignment="1">
      <alignment vertical="center"/>
    </xf>
    <xf numFmtId="0" fontId="6" fillId="14" borderId="2" xfId="0" applyFont="1" applyFill="1" applyBorder="1"/>
    <xf numFmtId="10" fontId="19" fillId="14" borderId="3" xfId="0" applyNumberFormat="1" applyFont="1" applyFill="1" applyBorder="1"/>
    <xf numFmtId="10" fontId="22" fillId="9" borderId="4" xfId="2" applyNumberFormat="1" applyFont="1" applyFill="1" applyBorder="1" applyAlignment="1">
      <alignment horizontal="center" vertical="center"/>
    </xf>
    <xf numFmtId="0" fontId="32" fillId="2" borderId="0" xfId="0" applyFont="1" applyFill="1"/>
    <xf numFmtId="2" fontId="26" fillId="3" borderId="4" xfId="0" applyNumberFormat="1" applyFont="1" applyFill="1" applyBorder="1"/>
    <xf numFmtId="10" fontId="26" fillId="3" borderId="4" xfId="0" applyNumberFormat="1" applyFont="1" applyFill="1" applyBorder="1"/>
    <xf numFmtId="0" fontId="26" fillId="3" borderId="0" xfId="0" applyFont="1" applyFill="1"/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14" fontId="21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/>
    <xf numFmtId="0" fontId="6" fillId="2" borderId="9" xfId="0" applyFont="1" applyFill="1" applyBorder="1"/>
    <xf numFmtId="0" fontId="13" fillId="2" borderId="0" xfId="0" applyFont="1" applyFill="1" applyAlignment="1" applyProtection="1">
      <alignment horizontal="left"/>
      <protection locked="0"/>
    </xf>
    <xf numFmtId="0" fontId="18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right" vertical="center"/>
    </xf>
    <xf numFmtId="0" fontId="23" fillId="14" borderId="0" xfId="0" applyFont="1" applyFill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8" fillId="14" borderId="15" xfId="0" applyFont="1" applyFill="1" applyBorder="1" applyAlignment="1">
      <alignment horizontal="right" vertical="center"/>
    </xf>
    <xf numFmtId="0" fontId="18" fillId="14" borderId="0" xfId="0" applyFont="1" applyFill="1" applyAlignment="1">
      <alignment horizontal="left" vertical="center"/>
    </xf>
    <xf numFmtId="14" fontId="18" fillId="14" borderId="16" xfId="0" applyNumberFormat="1" applyFont="1" applyFill="1" applyBorder="1" applyAlignment="1">
      <alignment horizontal="left" vertical="center"/>
    </xf>
    <xf numFmtId="0" fontId="0" fillId="14" borderId="12" xfId="0" applyFill="1" applyBorder="1" applyAlignment="1">
      <alignment horizontal="center"/>
    </xf>
    <xf numFmtId="0" fontId="0" fillId="14" borderId="6" xfId="0" applyFill="1" applyBorder="1"/>
    <xf numFmtId="0" fontId="0" fillId="14" borderId="13" xfId="0" applyFill="1" applyBorder="1"/>
    <xf numFmtId="0" fontId="0" fillId="14" borderId="15" xfId="0" applyFill="1" applyBorder="1" applyAlignment="1">
      <alignment horizontal="center"/>
    </xf>
    <xf numFmtId="0" fontId="7" fillId="14" borderId="0" xfId="0" applyFont="1" applyFill="1" applyAlignment="1">
      <alignment horizontal="left" indent="4"/>
    </xf>
    <xf numFmtId="0" fontId="0" fillId="14" borderId="0" xfId="0" applyFill="1"/>
    <xf numFmtId="0" fontId="0" fillId="14" borderId="16" xfId="0" applyFill="1" applyBorder="1"/>
    <xf numFmtId="0" fontId="8" fillId="14" borderId="0" xfId="0" applyFont="1" applyFill="1" applyAlignment="1">
      <alignment horizontal="left" indent="4"/>
    </xf>
    <xf numFmtId="0" fontId="0" fillId="2" borderId="15" xfId="0" applyFill="1" applyBorder="1" applyAlignment="1">
      <alignment horizontal="center"/>
    </xf>
    <xf numFmtId="0" fontId="0" fillId="2" borderId="16" xfId="0" applyFill="1" applyBorder="1"/>
    <xf numFmtId="0" fontId="19" fillId="2" borderId="0" xfId="0" applyFont="1" applyFill="1"/>
    <xf numFmtId="0" fontId="2" fillId="0" borderId="0" xfId="0" applyFont="1"/>
    <xf numFmtId="0" fontId="6" fillId="2" borderId="15" xfId="0" applyFont="1" applyFill="1" applyBorder="1" applyAlignment="1">
      <alignment horizontal="center"/>
    </xf>
    <xf numFmtId="44" fontId="2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6" fillId="2" borderId="16" xfId="0" applyFont="1" applyFill="1" applyBorder="1" applyAlignment="1">
      <alignment horizontal="center"/>
    </xf>
    <xf numFmtId="0" fontId="0" fillId="17" borderId="0" xfId="0" applyFill="1"/>
    <xf numFmtId="0" fontId="34" fillId="7" borderId="4" xfId="0" applyFont="1" applyFill="1" applyBorder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vertical="top"/>
    </xf>
    <xf numFmtId="0" fontId="40" fillId="18" borderId="4" xfId="0" applyFont="1" applyFill="1" applyBorder="1" applyAlignment="1">
      <alignment vertical="center"/>
    </xf>
    <xf numFmtId="0" fontId="0" fillId="17" borderId="0" xfId="0" applyFill="1" applyAlignment="1">
      <alignment horizontal="left" vertical="center" wrapText="1"/>
    </xf>
    <xf numFmtId="0" fontId="32" fillId="19" borderId="4" xfId="0" applyFont="1" applyFill="1" applyBorder="1"/>
    <xf numFmtId="0" fontId="32" fillId="19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17" borderId="4" xfId="0" applyFill="1" applyBorder="1"/>
    <xf numFmtId="0" fontId="40" fillId="19" borderId="4" xfId="0" applyFont="1" applyFill="1" applyBorder="1" applyAlignment="1">
      <alignment vertical="center"/>
    </xf>
    <xf numFmtId="0" fontId="0" fillId="9" borderId="4" xfId="0" applyFill="1" applyBorder="1" applyAlignment="1">
      <alignment horizontal="center"/>
    </xf>
    <xf numFmtId="0" fontId="41" fillId="21" borderId="4" xfId="0" applyFont="1" applyFill="1" applyBorder="1" applyAlignment="1">
      <alignment vertical="center"/>
    </xf>
    <xf numFmtId="9" fontId="3" fillId="9" borderId="4" xfId="2" applyFont="1" applyFill="1" applyBorder="1" applyAlignment="1">
      <alignment vertical="center"/>
    </xf>
    <xf numFmtId="0" fontId="5" fillId="9" borderId="4" xfId="1" applyNumberFormat="1" applyFont="1" applyFill="1" applyBorder="1" applyAlignment="1">
      <alignment horizontal="center" vertical="top" wrapText="1"/>
    </xf>
    <xf numFmtId="2" fontId="5" fillId="2" borderId="4" xfId="2" applyNumberFormat="1" applyFont="1" applyFill="1" applyBorder="1" applyAlignment="1">
      <alignment vertical="top" wrapText="1"/>
    </xf>
    <xf numFmtId="0" fontId="42" fillId="0" borderId="4" xfId="0" applyFont="1" applyBorder="1" applyAlignment="1">
      <alignment vertical="center"/>
    </xf>
    <xf numFmtId="3" fontId="42" fillId="0" borderId="4" xfId="0" applyNumberFormat="1" applyFont="1" applyBorder="1" applyAlignment="1">
      <alignment vertical="center"/>
    </xf>
    <xf numFmtId="0" fontId="24" fillId="0" borderId="4" xfId="0" applyFont="1" applyBorder="1"/>
    <xf numFmtId="14" fontId="24" fillId="0" borderId="4" xfId="0" applyNumberFormat="1" applyFont="1" applyBorder="1"/>
    <xf numFmtId="3" fontId="24" fillId="0" borderId="4" xfId="0" applyNumberFormat="1" applyFont="1" applyBorder="1"/>
    <xf numFmtId="0" fontId="46" fillId="0" borderId="0" xfId="0" applyFont="1"/>
    <xf numFmtId="0" fontId="47" fillId="11" borderId="5" xfId="0" applyFont="1" applyFill="1" applyBorder="1"/>
    <xf numFmtId="4" fontId="24" fillId="11" borderId="5" xfId="0" applyNumberFormat="1" applyFont="1" applyFill="1" applyBorder="1"/>
    <xf numFmtId="0" fontId="24" fillId="11" borderId="5" xfId="0" applyFont="1" applyFill="1" applyBorder="1"/>
    <xf numFmtId="14" fontId="24" fillId="11" borderId="5" xfId="0" applyNumberFormat="1" applyFont="1" applyFill="1" applyBorder="1"/>
    <xf numFmtId="0" fontId="47" fillId="11" borderId="0" xfId="0" applyFont="1" applyFill="1"/>
    <xf numFmtId="0" fontId="24" fillId="11" borderId="0" xfId="0" applyFont="1" applyFill="1"/>
    <xf numFmtId="4" fontId="24" fillId="11" borderId="0" xfId="0" applyNumberFormat="1" applyFont="1" applyFill="1"/>
    <xf numFmtId="14" fontId="24" fillId="11" borderId="0" xfId="0" applyNumberFormat="1" applyFont="1" applyFill="1"/>
    <xf numFmtId="0" fontId="45" fillId="11" borderId="5" xfId="0" applyFont="1" applyFill="1" applyBorder="1"/>
    <xf numFmtId="168" fontId="24" fillId="0" borderId="0" xfId="0" applyNumberFormat="1" applyFont="1"/>
    <xf numFmtId="9" fontId="24" fillId="0" borderId="0" xfId="0" applyNumberFormat="1" applyFont="1"/>
    <xf numFmtId="10" fontId="24" fillId="0" borderId="9" xfId="2" applyNumberFormat="1" applyFont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3" fontId="24" fillId="0" borderId="5" xfId="0" applyNumberFormat="1" applyFont="1" applyBorder="1" applyAlignment="1">
      <alignment horizontal="center"/>
    </xf>
    <xf numFmtId="0" fontId="24" fillId="0" borderId="10" xfId="0" applyFont="1" applyBorder="1"/>
    <xf numFmtId="4" fontId="24" fillId="0" borderId="0" xfId="0" applyNumberFormat="1" applyFont="1"/>
    <xf numFmtId="10" fontId="24" fillId="0" borderId="13" xfId="2" applyNumberFormat="1" applyFont="1" applyBorder="1" applyAlignment="1">
      <alignment horizontal="center"/>
    </xf>
    <xf numFmtId="4" fontId="24" fillId="0" borderId="6" xfId="0" applyNumberFormat="1" applyFont="1" applyBorder="1" applyAlignment="1">
      <alignment horizontal="center"/>
    </xf>
    <xf numFmtId="3" fontId="24" fillId="0" borderId="6" xfId="0" applyNumberFormat="1" applyFont="1" applyBorder="1" applyAlignment="1">
      <alignment horizontal="center"/>
    </xf>
    <xf numFmtId="0" fontId="24" fillId="0" borderId="12" xfId="0" applyFont="1" applyBorder="1"/>
    <xf numFmtId="10" fontId="24" fillId="0" borderId="16" xfId="2" applyNumberFormat="1" applyFont="1" applyBorder="1" applyAlignment="1">
      <alignment horizontal="center"/>
    </xf>
    <xf numFmtId="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15" xfId="0" applyFont="1" applyBorder="1"/>
    <xf numFmtId="9" fontId="24" fillId="22" borderId="16" xfId="0" applyNumberFormat="1" applyFont="1" applyFill="1" applyBorder="1" applyAlignment="1">
      <alignment horizontal="center"/>
    </xf>
    <xf numFmtId="4" fontId="24" fillId="22" borderId="0" xfId="0" applyNumberFormat="1" applyFont="1" applyFill="1" applyAlignment="1">
      <alignment horizontal="center"/>
    </xf>
    <xf numFmtId="3" fontId="24" fillId="22" borderId="0" xfId="0" applyNumberFormat="1" applyFont="1" applyFill="1" applyAlignment="1">
      <alignment horizontal="center"/>
    </xf>
    <xf numFmtId="0" fontId="24" fillId="22" borderId="15" xfId="0" applyFont="1" applyFill="1" applyBorder="1"/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8" fillId="7" borderId="13" xfId="0" applyFont="1" applyFill="1" applyBorder="1" applyAlignment="1">
      <alignment horizontal="centerContinuous"/>
    </xf>
    <xf numFmtId="0" fontId="48" fillId="7" borderId="6" xfId="0" applyFont="1" applyFill="1" applyBorder="1" applyAlignment="1">
      <alignment horizontal="centerContinuous"/>
    </xf>
    <xf numFmtId="0" fontId="48" fillId="7" borderId="6" xfId="0" applyFont="1" applyFill="1" applyBorder="1" applyAlignment="1">
      <alignment horizontal="center"/>
    </xf>
    <xf numFmtId="0" fontId="48" fillId="7" borderId="12" xfId="0" applyFont="1" applyFill="1" applyBorder="1" applyAlignment="1">
      <alignment horizontal="centerContinuous"/>
    </xf>
    <xf numFmtId="14" fontId="42" fillId="0" borderId="0" xfId="0" applyNumberFormat="1" applyFont="1"/>
    <xf numFmtId="0" fontId="49" fillId="0" borderId="0" xfId="0" applyFont="1"/>
    <xf numFmtId="0" fontId="45" fillId="0" borderId="0" xfId="0" applyFont="1"/>
    <xf numFmtId="3" fontId="5" fillId="2" borderId="11" xfId="0" applyNumberFormat="1" applyFont="1" applyFill="1" applyBorder="1" applyAlignment="1">
      <alignment horizontal="center" vertical="center"/>
    </xf>
    <xf numFmtId="10" fontId="15" fillId="2" borderId="4" xfId="2" applyNumberFormat="1" applyFont="1" applyFill="1" applyBorder="1" applyAlignment="1">
      <alignment horizontal="center" vertical="center"/>
    </xf>
    <xf numFmtId="10" fontId="15" fillId="2" borderId="0" xfId="2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center" vertical="center"/>
    </xf>
    <xf numFmtId="10" fontId="24" fillId="16" borderId="4" xfId="0" applyNumberFormat="1" applyFont="1" applyFill="1" applyBorder="1"/>
    <xf numFmtId="10" fontId="24" fillId="16" borderId="7" xfId="0" applyNumberFormat="1" applyFont="1" applyFill="1" applyBorder="1"/>
    <xf numFmtId="4" fontId="50" fillId="16" borderId="7" xfId="0" applyNumberFormat="1" applyFont="1" applyFill="1" applyBorder="1" applyAlignment="1">
      <alignment vertical="center"/>
    </xf>
    <xf numFmtId="169" fontId="24" fillId="16" borderId="7" xfId="3" applyNumberFormat="1" applyFont="1" applyFill="1" applyBorder="1" applyAlignment="1">
      <alignment horizontal="right"/>
    </xf>
    <xf numFmtId="0" fontId="24" fillId="16" borderId="7" xfId="0" applyFont="1" applyFill="1" applyBorder="1"/>
    <xf numFmtId="43" fontId="42" fillId="16" borderId="9" xfId="3" applyFont="1" applyFill="1" applyBorder="1" applyAlignment="1">
      <alignment vertical="center"/>
    </xf>
    <xf numFmtId="169" fontId="50" fillId="16" borderId="7" xfId="3" applyNumberFormat="1" applyFont="1" applyFill="1" applyBorder="1" applyAlignment="1">
      <alignment vertical="center"/>
    </xf>
    <xf numFmtId="0" fontId="24" fillId="12" borderId="7" xfId="0" applyFont="1" applyFill="1" applyBorder="1"/>
    <xf numFmtId="0" fontId="24" fillId="0" borderId="7" xfId="0" applyFont="1" applyBorder="1"/>
    <xf numFmtId="43" fontId="42" fillId="16" borderId="4" xfId="3" applyFont="1" applyFill="1" applyBorder="1" applyAlignment="1">
      <alignment horizontal="right" vertical="center"/>
    </xf>
    <xf numFmtId="4" fontId="42" fillId="0" borderId="4" xfId="0" applyNumberFormat="1" applyFont="1" applyBorder="1" applyAlignment="1">
      <alignment horizontal="right" vertical="center"/>
    </xf>
    <xf numFmtId="0" fontId="42" fillId="3" borderId="4" xfId="0" applyFont="1" applyFill="1" applyBorder="1" applyAlignment="1">
      <alignment vertical="center"/>
    </xf>
    <xf numFmtId="0" fontId="24" fillId="2" borderId="4" xfId="0" applyFont="1" applyFill="1" applyBorder="1"/>
    <xf numFmtId="169" fontId="50" fillId="12" borderId="7" xfId="3" applyNumberFormat="1" applyFont="1" applyFill="1" applyBorder="1" applyAlignment="1">
      <alignment horizontal="center" vertical="center"/>
    </xf>
    <xf numFmtId="43" fontId="42" fillId="16" borderId="7" xfId="3" applyFont="1" applyFill="1" applyBorder="1" applyAlignment="1">
      <alignment horizontal="right" vertical="center"/>
    </xf>
    <xf numFmtId="0" fontId="48" fillId="23" borderId="4" xfId="0" applyFont="1" applyFill="1" applyBorder="1" applyAlignment="1">
      <alignment horizontal="center" vertical="center"/>
    </xf>
    <xf numFmtId="0" fontId="48" fillId="23" borderId="4" xfId="0" applyFont="1" applyFill="1" applyBorder="1" applyAlignment="1">
      <alignment horizontal="left" vertical="center"/>
    </xf>
    <xf numFmtId="0" fontId="42" fillId="0" borderId="0" xfId="0" applyFont="1"/>
    <xf numFmtId="4" fontId="51" fillId="0" borderId="0" xfId="0" applyNumberFormat="1" applyFont="1" applyAlignment="1">
      <alignment vertical="center"/>
    </xf>
    <xf numFmtId="0" fontId="24" fillId="0" borderId="0" xfId="0" applyFont="1" applyAlignment="1">
      <alignment horizontal="left"/>
    </xf>
    <xf numFmtId="10" fontId="44" fillId="7" borderId="4" xfId="2" applyNumberFormat="1" applyFont="1" applyFill="1" applyBorder="1" applyAlignment="1">
      <alignment horizontal="center"/>
    </xf>
    <xf numFmtId="0" fontId="44" fillId="7" borderId="3" xfId="0" applyFont="1" applyFill="1" applyBorder="1" applyAlignment="1">
      <alignment horizontal="center"/>
    </xf>
    <xf numFmtId="0" fontId="44" fillId="7" borderId="2" xfId="0" applyFont="1" applyFill="1" applyBorder="1"/>
    <xf numFmtId="0" fontId="44" fillId="7" borderId="8" xfId="0" applyFont="1" applyFill="1" applyBorder="1"/>
    <xf numFmtId="9" fontId="3" fillId="9" borderId="8" xfId="2" applyFont="1" applyFill="1" applyBorder="1" applyAlignment="1">
      <alignment vertical="center"/>
    </xf>
    <xf numFmtId="9" fontId="3" fillId="9" borderId="3" xfId="2" applyFont="1" applyFill="1" applyBorder="1" applyAlignment="1">
      <alignment vertical="center"/>
    </xf>
    <xf numFmtId="9" fontId="5" fillId="2" borderId="8" xfId="2" applyFont="1" applyFill="1" applyBorder="1" applyAlignment="1">
      <alignment vertical="top" wrapText="1"/>
    </xf>
    <xf numFmtId="9" fontId="5" fillId="2" borderId="3" xfId="2" applyFont="1" applyFill="1" applyBorder="1" applyAlignment="1">
      <alignment vertical="top" wrapText="1"/>
    </xf>
    <xf numFmtId="9" fontId="5" fillId="2" borderId="4" xfId="2" applyFont="1" applyFill="1" applyBorder="1" applyAlignment="1">
      <alignment vertical="top" wrapText="1"/>
    </xf>
    <xf numFmtId="0" fontId="4" fillId="2" borderId="0" xfId="0" applyFont="1" applyFill="1" applyAlignment="1">
      <alignment vertical="center" wrapText="1"/>
    </xf>
    <xf numFmtId="3" fontId="33" fillId="3" borderId="0" xfId="0" applyNumberFormat="1" applyFont="1" applyFill="1" applyAlignment="1">
      <alignment vertical="center"/>
    </xf>
    <xf numFmtId="170" fontId="5" fillId="2" borderId="4" xfId="2" applyNumberFormat="1" applyFont="1" applyFill="1" applyBorder="1" applyAlignment="1">
      <alignment vertical="top" wrapText="1"/>
    </xf>
    <xf numFmtId="0" fontId="5" fillId="2" borderId="4" xfId="2" applyNumberFormat="1" applyFont="1" applyFill="1" applyBorder="1" applyAlignment="1">
      <alignment horizontal="right" vertical="top" wrapText="1"/>
    </xf>
    <xf numFmtId="165" fontId="5" fillId="9" borderId="7" xfId="1" applyNumberFormat="1" applyFont="1" applyFill="1" applyBorder="1" applyAlignment="1">
      <alignment horizontal="center" vertical="top" wrapText="1"/>
    </xf>
    <xf numFmtId="10" fontId="3" fillId="12" borderId="4" xfId="2" applyNumberFormat="1" applyFont="1" applyFill="1" applyBorder="1" applyAlignment="1">
      <alignment horizontal="center" vertical="center"/>
    </xf>
    <xf numFmtId="10" fontId="6" fillId="2" borderId="6" xfId="2" applyNumberFormat="1" applyFont="1" applyFill="1" applyBorder="1" applyAlignment="1">
      <alignment horizontal="center"/>
    </xf>
    <xf numFmtId="10" fontId="6" fillId="2" borderId="5" xfId="2" applyNumberFormat="1" applyFont="1" applyFill="1" applyBorder="1" applyAlignment="1">
      <alignment horizontal="center"/>
    </xf>
    <xf numFmtId="9" fontId="18" fillId="14" borderId="2" xfId="2" applyFont="1" applyFill="1" applyBorder="1" applyAlignment="1">
      <alignment horizontal="center" vertical="center"/>
    </xf>
    <xf numFmtId="164" fontId="6" fillId="2" borderId="14" xfId="2" applyNumberFormat="1" applyFont="1" applyFill="1" applyBorder="1" applyAlignment="1">
      <alignment horizontal="center"/>
    </xf>
    <xf numFmtId="164" fontId="6" fillId="2" borderId="7" xfId="2" applyNumberFormat="1" applyFont="1" applyFill="1" applyBorder="1" applyAlignment="1">
      <alignment horizontal="center"/>
    </xf>
    <xf numFmtId="164" fontId="6" fillId="2" borderId="11" xfId="2" applyNumberFormat="1" applyFont="1" applyFill="1" applyBorder="1" applyAlignment="1">
      <alignment horizontal="center"/>
    </xf>
    <xf numFmtId="0" fontId="24" fillId="2" borderId="7" xfId="0" applyFont="1" applyFill="1" applyBorder="1"/>
    <xf numFmtId="0" fontId="59" fillId="0" borderId="0" xfId="0" applyFont="1"/>
    <xf numFmtId="4" fontId="45" fillId="2" borderId="14" xfId="0" applyNumberFormat="1" applyFont="1" applyFill="1" applyBorder="1" applyAlignment="1">
      <alignment horizontal="center"/>
    </xf>
    <xf numFmtId="0" fontId="24" fillId="2" borderId="14" xfId="0" applyFont="1" applyFill="1" applyBorder="1"/>
    <xf numFmtId="0" fontId="24" fillId="2" borderId="11" xfId="0" applyFont="1" applyFill="1" applyBorder="1"/>
    <xf numFmtId="0" fontId="45" fillId="2" borderId="14" xfId="0" applyFont="1" applyFill="1" applyBorder="1"/>
    <xf numFmtId="3" fontId="24" fillId="2" borderId="14" xfId="0" applyNumberFormat="1" applyFont="1" applyFill="1" applyBorder="1"/>
    <xf numFmtId="3" fontId="24" fillId="2" borderId="11" xfId="0" applyNumberFormat="1" applyFont="1" applyFill="1" applyBorder="1"/>
    <xf numFmtId="3" fontId="24" fillId="2" borderId="7" xfId="0" applyNumberFormat="1" applyFont="1" applyFill="1" applyBorder="1"/>
    <xf numFmtId="8" fontId="24" fillId="2" borderId="14" xfId="0" applyNumberFormat="1" applyFont="1" applyFill="1" applyBorder="1"/>
    <xf numFmtId="8" fontId="24" fillId="2" borderId="11" xfId="0" applyNumberFormat="1" applyFont="1" applyFill="1" applyBorder="1"/>
    <xf numFmtId="8" fontId="24" fillId="2" borderId="7" xfId="0" applyNumberFormat="1" applyFont="1" applyFill="1" applyBorder="1"/>
    <xf numFmtId="10" fontId="24" fillId="2" borderId="14" xfId="0" applyNumberFormat="1" applyFont="1" applyFill="1" applyBorder="1"/>
    <xf numFmtId="10" fontId="24" fillId="2" borderId="11" xfId="0" applyNumberFormat="1" applyFont="1" applyFill="1" applyBorder="1"/>
    <xf numFmtId="10" fontId="24" fillId="2" borderId="7" xfId="0" applyNumberFormat="1" applyFont="1" applyFill="1" applyBorder="1"/>
    <xf numFmtId="0" fontId="35" fillId="2" borderId="16" xfId="0" applyFont="1" applyFill="1" applyBorder="1"/>
    <xf numFmtId="3" fontId="24" fillId="0" borderId="7" xfId="0" applyNumberFormat="1" applyFont="1" applyBorder="1"/>
    <xf numFmtId="9" fontId="3" fillId="9" borderId="0" xfId="2" applyFont="1" applyFill="1" applyBorder="1" applyAlignment="1">
      <alignment horizontal="center" vertical="center"/>
    </xf>
    <xf numFmtId="9" fontId="3" fillId="9" borderId="0" xfId="2" applyFont="1" applyFill="1" applyBorder="1" applyAlignment="1">
      <alignment vertical="center"/>
    </xf>
    <xf numFmtId="14" fontId="5" fillId="2" borderId="0" xfId="2" applyNumberFormat="1" applyFont="1" applyFill="1" applyBorder="1" applyAlignment="1">
      <alignment horizontal="center" vertical="top" wrapText="1"/>
    </xf>
    <xf numFmtId="9" fontId="5" fillId="2" borderId="0" xfId="2" applyFont="1" applyFill="1" applyBorder="1" applyAlignment="1">
      <alignment vertical="top" wrapText="1"/>
    </xf>
    <xf numFmtId="44" fontId="5" fillId="2" borderId="0" xfId="1" applyFont="1" applyFill="1" applyBorder="1" applyAlignment="1">
      <alignment horizontal="left" vertical="top" wrapText="1"/>
    </xf>
    <xf numFmtId="44" fontId="5" fillId="9" borderId="0" xfId="1" applyFont="1" applyFill="1" applyBorder="1" applyAlignment="1">
      <alignment horizontal="left" vertical="top" wrapText="1"/>
    </xf>
    <xf numFmtId="0" fontId="24" fillId="3" borderId="7" xfId="0" applyFont="1" applyFill="1" applyBorder="1"/>
    <xf numFmtId="0" fontId="60" fillId="0" borderId="0" xfId="4"/>
    <xf numFmtId="0" fontId="56" fillId="0" borderId="0" xfId="4" applyFont="1" applyAlignment="1">
      <alignment horizontal="right" vertical="center"/>
    </xf>
    <xf numFmtId="0" fontId="58" fillId="0" borderId="0" xfId="4" applyFont="1" applyAlignment="1">
      <alignment horizontal="center" vertical="center"/>
    </xf>
    <xf numFmtId="0" fontId="55" fillId="0" borderId="0" xfId="4" applyFont="1" applyAlignment="1">
      <alignment horizontal="left" vertical="center"/>
    </xf>
    <xf numFmtId="0" fontId="61" fillId="0" borderId="0" xfId="4" applyFont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60" fillId="0" borderId="0" xfId="4" applyProtection="1">
      <protection locked="0"/>
    </xf>
    <xf numFmtId="0" fontId="62" fillId="0" borderId="0" xfId="4" applyFont="1"/>
    <xf numFmtId="0" fontId="38" fillId="7" borderId="4" xfId="0" applyFont="1" applyFill="1" applyBorder="1" applyAlignment="1">
      <alignment horizontal="center" vertical="center"/>
    </xf>
    <xf numFmtId="0" fontId="60" fillId="0" borderId="0" xfId="4" applyAlignment="1">
      <alignment horizontal="center"/>
    </xf>
    <xf numFmtId="9" fontId="60" fillId="0" borderId="0" xfId="2" applyFont="1"/>
    <xf numFmtId="9" fontId="38" fillId="7" borderId="4" xfId="2" applyFont="1" applyFill="1" applyBorder="1" applyAlignment="1">
      <alignment horizontal="center" vertical="center"/>
    </xf>
    <xf numFmtId="3" fontId="60" fillId="0" borderId="0" xfId="4" applyNumberFormat="1"/>
    <xf numFmtId="4" fontId="60" fillId="0" borderId="0" xfId="4" applyNumberFormat="1"/>
    <xf numFmtId="0" fontId="62" fillId="0" borderId="17" xfId="4" applyFont="1" applyBorder="1" applyAlignment="1">
      <alignment horizontal="center" vertical="center"/>
    </xf>
    <xf numFmtId="9" fontId="5" fillId="2" borderId="11" xfId="2" applyFont="1" applyFill="1" applyBorder="1" applyAlignment="1">
      <alignment horizontal="center" vertical="center"/>
    </xf>
    <xf numFmtId="9" fontId="3" fillId="9" borderId="14" xfId="2" applyFont="1" applyFill="1" applyBorder="1" applyAlignment="1">
      <alignment horizontal="center" vertical="center"/>
    </xf>
    <xf numFmtId="9" fontId="3" fillId="9" borderId="12" xfId="2" applyFont="1" applyFill="1" applyBorder="1" applyAlignment="1">
      <alignment vertical="center"/>
    </xf>
    <xf numFmtId="9" fontId="3" fillId="9" borderId="13" xfId="2" applyFont="1" applyFill="1" applyBorder="1" applyAlignment="1">
      <alignment vertical="center"/>
    </xf>
    <xf numFmtId="0" fontId="63" fillId="0" borderId="17" xfId="4" applyFont="1" applyBorder="1" applyAlignment="1">
      <alignment vertical="center"/>
    </xf>
    <xf numFmtId="166" fontId="63" fillId="0" borderId="17" xfId="4" applyNumberFormat="1" applyFont="1" applyBorder="1" applyAlignment="1">
      <alignment horizontal="center" vertical="center"/>
    </xf>
    <xf numFmtId="1" fontId="63" fillId="0" borderId="17" xfId="4" applyNumberFormat="1" applyFont="1" applyBorder="1" applyAlignment="1">
      <alignment horizontal="center" vertical="center"/>
    </xf>
    <xf numFmtId="0" fontId="63" fillId="0" borderId="17" xfId="4" applyFont="1" applyBorder="1" applyAlignment="1">
      <alignment horizontal="center" vertical="center"/>
    </xf>
    <xf numFmtId="0" fontId="34" fillId="7" borderId="4" xfId="0" applyFont="1" applyFill="1" applyBorder="1" applyAlignment="1">
      <alignment horizontal="center"/>
    </xf>
    <xf numFmtId="0" fontId="37" fillId="7" borderId="8" xfId="0" applyFont="1" applyFill="1" applyBorder="1" applyAlignment="1">
      <alignment horizontal="center"/>
    </xf>
    <xf numFmtId="0" fontId="37" fillId="7" borderId="2" xfId="0" applyFont="1" applyFill="1" applyBorder="1" applyAlignment="1">
      <alignment horizontal="center"/>
    </xf>
    <xf numFmtId="0" fontId="37" fillId="7" borderId="3" xfId="0" applyFont="1" applyFill="1" applyBorder="1" applyAlignment="1">
      <alignment horizontal="center"/>
    </xf>
    <xf numFmtId="0" fontId="38" fillId="7" borderId="8" xfId="0" applyFont="1" applyFill="1" applyBorder="1" applyAlignment="1">
      <alignment horizontal="center"/>
    </xf>
    <xf numFmtId="0" fontId="38" fillId="7" borderId="2" xfId="0" applyFont="1" applyFill="1" applyBorder="1" applyAlignment="1">
      <alignment horizontal="center"/>
    </xf>
    <xf numFmtId="0" fontId="38" fillId="7" borderId="3" xfId="0" applyFont="1" applyFill="1" applyBorder="1" applyAlignment="1">
      <alignment horizontal="center"/>
    </xf>
    <xf numFmtId="0" fontId="34" fillId="7" borderId="8" xfId="0" applyFont="1" applyFill="1" applyBorder="1" applyAlignment="1">
      <alignment horizontal="left"/>
    </xf>
    <xf numFmtId="0" fontId="34" fillId="7" borderId="2" xfId="0" applyFont="1" applyFill="1" applyBorder="1" applyAlignment="1">
      <alignment horizontal="left"/>
    </xf>
    <xf numFmtId="0" fontId="34" fillId="7" borderId="3" xfId="0" applyFont="1" applyFill="1" applyBorder="1" applyAlignment="1">
      <alignment horizontal="left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8" fillId="7" borderId="8" xfId="0" applyFont="1" applyFill="1" applyBorder="1" applyAlignment="1">
      <alignment horizontal="left"/>
    </xf>
    <xf numFmtId="0" fontId="38" fillId="7" borderId="2" xfId="0" applyFont="1" applyFill="1" applyBorder="1" applyAlignment="1">
      <alignment horizontal="left"/>
    </xf>
    <xf numFmtId="0" fontId="38" fillId="7" borderId="3" xfId="0" applyFont="1" applyFill="1" applyBorder="1" applyAlignment="1">
      <alignment horizontal="left"/>
    </xf>
    <xf numFmtId="0" fontId="32" fillId="18" borderId="4" xfId="0" applyFont="1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32" fillId="18" borderId="8" xfId="0" applyFont="1" applyFill="1" applyBorder="1" applyAlignment="1">
      <alignment horizontal="left" vertical="center" wrapText="1"/>
    </xf>
    <xf numFmtId="0" fontId="32" fillId="18" borderId="2" xfId="0" applyFont="1" applyFill="1" applyBorder="1" applyAlignment="1">
      <alignment horizontal="left" vertical="center" wrapText="1"/>
    </xf>
    <xf numFmtId="0" fontId="32" fillId="18" borderId="3" xfId="0" applyFont="1" applyFill="1" applyBorder="1" applyAlignment="1">
      <alignment horizontal="left" vertical="center" wrapText="1"/>
    </xf>
    <xf numFmtId="0" fontId="0" fillId="17" borderId="8" xfId="0" applyFill="1" applyBorder="1" applyAlignment="1">
      <alignment horizontal="left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center" wrapText="1"/>
    </xf>
    <xf numFmtId="0" fontId="27" fillId="17" borderId="8" xfId="0" applyFont="1" applyFill="1" applyBorder="1" applyAlignment="1">
      <alignment horizontal="left" vertical="center" wrapText="1"/>
    </xf>
    <xf numFmtId="0" fontId="27" fillId="17" borderId="2" xfId="0" applyFont="1" applyFill="1" applyBorder="1" applyAlignment="1">
      <alignment horizontal="left" vertical="center" wrapText="1"/>
    </xf>
    <xf numFmtId="0" fontId="27" fillId="17" borderId="3" xfId="0" applyFont="1" applyFill="1" applyBorder="1" applyAlignment="1">
      <alignment horizontal="left" vertical="center" wrapText="1"/>
    </xf>
    <xf numFmtId="0" fontId="32" fillId="19" borderId="4" xfId="0" applyFont="1" applyFill="1" applyBorder="1" applyAlignment="1">
      <alignment horizontal="left" vertical="center" wrapText="1"/>
    </xf>
    <xf numFmtId="0" fontId="32" fillId="20" borderId="8" xfId="0" applyFont="1" applyFill="1" applyBorder="1" applyAlignment="1">
      <alignment horizontal="center"/>
    </xf>
    <xf numFmtId="0" fontId="32" fillId="20" borderId="2" xfId="0" applyFont="1" applyFill="1" applyBorder="1" applyAlignment="1">
      <alignment horizontal="center"/>
    </xf>
    <xf numFmtId="0" fontId="32" fillId="20" borderId="3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21" borderId="8" xfId="0" applyFill="1" applyBorder="1" applyAlignment="1">
      <alignment horizontal="left" vertical="center" wrapText="1"/>
    </xf>
    <xf numFmtId="0" fontId="0" fillId="21" borderId="2" xfId="0" applyFill="1" applyBorder="1" applyAlignment="1">
      <alignment horizontal="left" vertical="center" wrapText="1"/>
    </xf>
    <xf numFmtId="0" fontId="0" fillId="21" borderId="3" xfId="0" applyFill="1" applyBorder="1" applyAlignment="1">
      <alignment horizontal="left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5" fillId="17" borderId="2" xfId="0" applyFont="1" applyFill="1" applyBorder="1" applyAlignment="1">
      <alignment horizontal="left" vertical="center" wrapText="1"/>
    </xf>
    <xf numFmtId="0" fontId="35" fillId="17" borderId="3" xfId="0" applyFont="1" applyFill="1" applyBorder="1" applyAlignment="1">
      <alignment horizontal="left" vertical="center" wrapText="1"/>
    </xf>
    <xf numFmtId="9" fontId="5" fillId="2" borderId="19" xfId="2" applyFont="1" applyFill="1" applyBorder="1" applyAlignment="1">
      <alignment horizontal="left" vertical="top" wrapText="1"/>
    </xf>
    <xf numFmtId="9" fontId="5" fillId="2" borderId="18" xfId="2" applyFont="1" applyFill="1" applyBorder="1" applyAlignment="1">
      <alignment horizontal="left" vertical="top" wrapText="1"/>
    </xf>
    <xf numFmtId="9" fontId="3" fillId="9" borderId="21" xfId="2" applyFont="1" applyFill="1" applyBorder="1" applyAlignment="1">
      <alignment horizontal="center" vertical="center"/>
    </xf>
    <xf numFmtId="9" fontId="3" fillId="9" borderId="22" xfId="2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9" borderId="0" xfId="2" applyNumberFormat="1" applyFont="1" applyFill="1" applyBorder="1" applyAlignment="1">
      <alignment horizontal="left" vertical="top" wrapText="1"/>
    </xf>
    <xf numFmtId="0" fontId="20" fillId="15" borderId="15" xfId="0" applyFont="1" applyFill="1" applyBorder="1" applyAlignment="1">
      <alignment horizontal="left" indent="3"/>
    </xf>
    <xf numFmtId="0" fontId="20" fillId="15" borderId="0" xfId="0" applyFont="1" applyFill="1" applyAlignment="1">
      <alignment horizontal="left" indent="3"/>
    </xf>
    <xf numFmtId="0" fontId="20" fillId="15" borderId="16" xfId="0" applyFont="1" applyFill="1" applyBorder="1" applyAlignment="1">
      <alignment horizontal="left" indent="3"/>
    </xf>
    <xf numFmtId="0" fontId="18" fillId="14" borderId="15" xfId="0" applyFont="1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0" fontId="18" fillId="14" borderId="16" xfId="0" applyFont="1" applyFill="1" applyBorder="1" applyAlignment="1">
      <alignment horizontal="center"/>
    </xf>
    <xf numFmtId="0" fontId="36" fillId="14" borderId="8" xfId="0" applyFont="1" applyFill="1" applyBorder="1" applyAlignment="1">
      <alignment horizontal="center" vertical="center"/>
    </xf>
    <xf numFmtId="0" fontId="36" fillId="14" borderId="2" xfId="0" applyFont="1" applyFill="1" applyBorder="1" applyAlignment="1">
      <alignment horizontal="center" vertical="center"/>
    </xf>
    <xf numFmtId="0" fontId="36" fillId="14" borderId="3" xfId="0" applyFont="1" applyFill="1" applyBorder="1" applyAlignment="1">
      <alignment horizontal="center" vertical="center"/>
    </xf>
    <xf numFmtId="0" fontId="18" fillId="14" borderId="14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5" fillId="9" borderId="4" xfId="2" applyNumberFormat="1" applyFont="1" applyFill="1" applyBorder="1" applyAlignment="1">
      <alignment horizontal="center" vertical="top" wrapText="1"/>
    </xf>
    <xf numFmtId="0" fontId="3" fillId="9" borderId="4" xfId="2" applyNumberFormat="1" applyFont="1" applyFill="1" applyBorder="1" applyAlignment="1">
      <alignment horizontal="left" vertical="center"/>
    </xf>
    <xf numFmtId="0" fontId="5" fillId="2" borderId="4" xfId="1" applyNumberFormat="1" applyFont="1" applyFill="1" applyBorder="1" applyAlignment="1">
      <alignment horizontal="left" vertical="top" wrapText="1"/>
    </xf>
    <xf numFmtId="0" fontId="5" fillId="9" borderId="8" xfId="2" applyNumberFormat="1" applyFont="1" applyFill="1" applyBorder="1" applyAlignment="1">
      <alignment horizontal="center" vertical="top" wrapText="1"/>
    </xf>
    <xf numFmtId="0" fontId="5" fillId="9" borderId="2" xfId="2" applyNumberFormat="1" applyFont="1" applyFill="1" applyBorder="1" applyAlignment="1">
      <alignment horizontal="center" vertical="top" wrapText="1"/>
    </xf>
    <xf numFmtId="0" fontId="5" fillId="9" borderId="3" xfId="2" applyNumberFormat="1" applyFont="1" applyFill="1" applyBorder="1" applyAlignment="1">
      <alignment horizontal="center" vertical="top" wrapText="1"/>
    </xf>
    <xf numFmtId="9" fontId="3" fillId="9" borderId="8" xfId="2" applyFont="1" applyFill="1" applyBorder="1" applyAlignment="1">
      <alignment horizontal="center" vertical="center"/>
    </xf>
    <xf numFmtId="9" fontId="3" fillId="9" borderId="2" xfId="2" applyFont="1" applyFill="1" applyBorder="1" applyAlignment="1">
      <alignment horizontal="center" vertical="center"/>
    </xf>
    <xf numFmtId="9" fontId="5" fillId="2" borderId="12" xfId="2" applyFont="1" applyFill="1" applyBorder="1" applyAlignment="1">
      <alignment horizontal="left" vertical="center"/>
    </xf>
    <xf numFmtId="9" fontId="5" fillId="2" borderId="6" xfId="2" applyFont="1" applyFill="1" applyBorder="1" applyAlignment="1">
      <alignment horizontal="left" vertical="center"/>
    </xf>
    <xf numFmtId="9" fontId="5" fillId="2" borderId="15" xfId="2" applyFont="1" applyFill="1" applyBorder="1" applyAlignment="1">
      <alignment horizontal="left" vertical="center"/>
    </xf>
    <xf numFmtId="9" fontId="5" fillId="2" borderId="0" xfId="2" applyFont="1" applyFill="1" applyBorder="1" applyAlignment="1">
      <alignment horizontal="left" vertical="center"/>
    </xf>
    <xf numFmtId="9" fontId="3" fillId="2" borderId="12" xfId="2" applyFont="1" applyFill="1" applyBorder="1" applyAlignment="1">
      <alignment horizontal="left" vertical="center"/>
    </xf>
    <xf numFmtId="9" fontId="3" fillId="2" borderId="6" xfId="2" applyFont="1" applyFill="1" applyBorder="1" applyAlignment="1">
      <alignment horizontal="left" vertical="center"/>
    </xf>
    <xf numFmtId="9" fontId="3" fillId="2" borderId="10" xfId="2" applyFont="1" applyFill="1" applyBorder="1" applyAlignment="1">
      <alignment horizontal="left" vertical="center"/>
    </xf>
    <xf numFmtId="9" fontId="3" fillId="2" borderId="5" xfId="2" applyFont="1" applyFill="1" applyBorder="1" applyAlignment="1">
      <alignment horizontal="left" vertical="center"/>
    </xf>
    <xf numFmtId="0" fontId="13" fillId="2" borderId="0" xfId="0" applyFont="1" applyFill="1" applyAlignment="1" applyProtection="1">
      <alignment horizontal="left"/>
      <protection locked="0"/>
    </xf>
    <xf numFmtId="0" fontId="11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48" fillId="23" borderId="4" xfId="0" applyFont="1" applyFill="1" applyBorder="1" applyAlignment="1">
      <alignment horizontal="center" vertical="center"/>
    </xf>
    <xf numFmtId="0" fontId="44" fillId="7" borderId="14" xfId="0" applyFont="1" applyFill="1" applyBorder="1" applyAlignment="1">
      <alignment horizontal="center"/>
    </xf>
    <xf numFmtId="0" fontId="48" fillId="23" borderId="14" xfId="0" applyFont="1" applyFill="1" applyBorder="1" applyAlignment="1">
      <alignment horizontal="center"/>
    </xf>
    <xf numFmtId="0" fontId="48" fillId="7" borderId="8" xfId="0" applyFont="1" applyFill="1" applyBorder="1" applyAlignment="1">
      <alignment horizontal="center"/>
    </xf>
    <xf numFmtId="0" fontId="48" fillId="7" borderId="2" xfId="0" applyFont="1" applyFill="1" applyBorder="1" applyAlignment="1">
      <alignment horizontal="center"/>
    </xf>
    <xf numFmtId="0" fontId="48" fillId="7" borderId="3" xfId="0" applyFont="1" applyFill="1" applyBorder="1" applyAlignment="1">
      <alignment horizontal="center"/>
    </xf>
    <xf numFmtId="0" fontId="64" fillId="0" borderId="0" xfId="4" applyFont="1" applyAlignment="1">
      <alignment horizontal="right" vertical="center"/>
    </xf>
    <xf numFmtId="0" fontId="65" fillId="0" borderId="0" xfId="4" applyFont="1" applyAlignment="1">
      <alignment horizontal="center" vertical="center"/>
    </xf>
    <xf numFmtId="0" fontId="66" fillId="0" borderId="0" xfId="4" applyFont="1" applyAlignment="1">
      <alignment horizontal="center" vertical="center"/>
    </xf>
    <xf numFmtId="0" fontId="67" fillId="0" borderId="0" xfId="4" applyFont="1" applyAlignment="1">
      <alignment horizontal="left" vertical="center"/>
    </xf>
    <xf numFmtId="0" fontId="60" fillId="3" borderId="0" xfId="4" applyFill="1"/>
    <xf numFmtId="4" fontId="69" fillId="0" borderId="0" xfId="4" applyNumberFormat="1" applyFont="1" applyAlignment="1">
      <alignment vertical="center"/>
    </xf>
    <xf numFmtId="3" fontId="69" fillId="0" borderId="0" xfId="4" applyNumberFormat="1" applyFont="1" applyAlignment="1">
      <alignment vertical="center"/>
    </xf>
    <xf numFmtId="0" fontId="70" fillId="0" borderId="0" xfId="4" applyFont="1" applyAlignment="1">
      <alignment horizontal="left" vertical="center"/>
    </xf>
    <xf numFmtId="4" fontId="65" fillId="0" borderId="0" xfId="4" applyNumberFormat="1" applyFont="1" applyAlignment="1">
      <alignment vertical="center"/>
    </xf>
    <xf numFmtId="3" fontId="65" fillId="0" borderId="0" xfId="4" applyNumberFormat="1" applyFont="1" applyAlignment="1">
      <alignment vertical="center"/>
    </xf>
    <xf numFmtId="0" fontId="65" fillId="0" borderId="0" xfId="4" applyFont="1" applyAlignment="1">
      <alignment vertical="center"/>
    </xf>
    <xf numFmtId="0" fontId="71" fillId="0" borderId="0" xfId="4" applyFont="1" applyAlignment="1">
      <alignment horizontal="right" vertical="center"/>
    </xf>
    <xf numFmtId="0" fontId="71" fillId="0" borderId="0" xfId="4" applyFont="1" applyAlignment="1">
      <alignment horizontal="left" vertical="center"/>
    </xf>
    <xf numFmtId="0" fontId="69" fillId="0" borderId="0" xfId="4" applyFont="1" applyAlignment="1">
      <alignment vertical="center"/>
    </xf>
    <xf numFmtId="0" fontId="69" fillId="0" borderId="0" xfId="4" applyFont="1" applyAlignment="1">
      <alignment horizontal="right" vertical="center"/>
    </xf>
    <xf numFmtId="166" fontId="69" fillId="0" borderId="0" xfId="4" applyNumberFormat="1" applyFont="1" applyAlignment="1">
      <alignment horizontal="right" vertical="center"/>
    </xf>
    <xf numFmtId="0" fontId="71" fillId="0" borderId="0" xfId="4" applyFont="1" applyAlignment="1">
      <alignment horizontal="center" vertical="center"/>
    </xf>
    <xf numFmtId="0" fontId="72" fillId="0" borderId="0" xfId="4" applyFont="1" applyAlignment="1">
      <alignment horizontal="center" vertical="center"/>
    </xf>
    <xf numFmtId="0" fontId="68" fillId="0" borderId="0" xfId="4" applyFont="1" applyAlignment="1">
      <alignment vertical="center"/>
    </xf>
    <xf numFmtId="9" fontId="60" fillId="0" borderId="0" xfId="2" applyFont="1" applyAlignment="1">
      <alignment horizontal="center"/>
    </xf>
    <xf numFmtId="0" fontId="65" fillId="0" borderId="0" xfId="4" applyFont="1" applyAlignment="1">
      <alignment horizontal="right" vertical="center"/>
    </xf>
    <xf numFmtId="167" fontId="65" fillId="0" borderId="0" xfId="4" applyNumberFormat="1" applyFont="1" applyAlignment="1">
      <alignment horizontal="right" vertical="center"/>
    </xf>
    <xf numFmtId="0" fontId="58" fillId="0" borderId="0" xfId="4" applyFont="1" applyBorder="1" applyAlignment="1">
      <alignment horizontal="right" vertical="center"/>
    </xf>
    <xf numFmtId="0" fontId="73" fillId="0" borderId="0" xfId="4" applyFont="1" applyAlignment="1">
      <alignment horizontal="center" vertical="center"/>
    </xf>
    <xf numFmtId="4" fontId="74" fillId="0" borderId="0" xfId="4" applyNumberFormat="1" applyFont="1" applyAlignment="1">
      <alignment vertical="center"/>
    </xf>
    <xf numFmtId="0" fontId="69" fillId="0" borderId="0" xfId="4" applyFont="1" applyAlignment="1">
      <alignment horizontal="left" vertical="center"/>
    </xf>
    <xf numFmtId="4" fontId="75" fillId="0" borderId="0" xfId="4" applyNumberFormat="1" applyFont="1" applyAlignment="1">
      <alignment vertical="center"/>
    </xf>
    <xf numFmtId="0" fontId="75" fillId="0" borderId="0" xfId="4" applyFont="1" applyAlignment="1">
      <alignment vertical="center"/>
    </xf>
    <xf numFmtId="1" fontId="75" fillId="0" borderId="0" xfId="4" applyNumberFormat="1" applyFont="1" applyAlignment="1">
      <alignment vertical="center"/>
    </xf>
    <xf numFmtId="0" fontId="69" fillId="0" borderId="0" xfId="4" applyFont="1" applyAlignment="1">
      <alignment horizontal="center" vertical="center"/>
    </xf>
    <xf numFmtId="0" fontId="60" fillId="0" borderId="0" xfId="4" applyAlignment="1" applyProtection="1">
      <alignment horizontal="center"/>
      <protection locked="0"/>
    </xf>
    <xf numFmtId="3" fontId="65" fillId="0" borderId="0" xfId="4" applyNumberFormat="1" applyFont="1" applyAlignment="1">
      <alignment horizontal="center" vertical="center"/>
    </xf>
    <xf numFmtId="4" fontId="65" fillId="0" borderId="0" xfId="4" applyNumberFormat="1" applyFont="1" applyAlignment="1">
      <alignment horizontal="center" vertical="center"/>
    </xf>
    <xf numFmtId="0" fontId="76" fillId="0" borderId="0" xfId="4" applyFont="1" applyAlignment="1">
      <alignment horizontal="left" vertical="center"/>
    </xf>
    <xf numFmtId="4" fontId="76" fillId="0" borderId="0" xfId="4" applyNumberFormat="1" applyFont="1" applyAlignment="1">
      <alignment vertical="center"/>
    </xf>
    <xf numFmtId="4" fontId="76" fillId="0" borderId="0" xfId="4" applyNumberFormat="1" applyFont="1" applyAlignment="1">
      <alignment horizontal="right" vertical="center"/>
    </xf>
    <xf numFmtId="3" fontId="76" fillId="0" borderId="0" xfId="4" applyNumberFormat="1" applyFont="1" applyAlignment="1">
      <alignment horizontal="center" vertical="center"/>
    </xf>
    <xf numFmtId="0" fontId="76" fillId="0" borderId="0" xfId="4" applyFont="1" applyAlignment="1">
      <alignment vertical="center"/>
    </xf>
    <xf numFmtId="0" fontId="76" fillId="3" borderId="0" xfId="4" applyFont="1" applyFill="1" applyAlignment="1">
      <alignment horizontal="left" vertical="center"/>
    </xf>
    <xf numFmtId="4" fontId="76" fillId="3" borderId="0" xfId="4" applyNumberFormat="1" applyFont="1" applyFill="1" applyAlignment="1">
      <alignment vertical="center"/>
    </xf>
    <xf numFmtId="4" fontId="76" fillId="3" borderId="0" xfId="4" applyNumberFormat="1" applyFont="1" applyFill="1" applyAlignment="1">
      <alignment horizontal="right" vertical="center"/>
    </xf>
    <xf numFmtId="3" fontId="76" fillId="3" borderId="0" xfId="4" applyNumberFormat="1" applyFont="1" applyFill="1" applyAlignment="1">
      <alignment horizontal="center" vertical="center"/>
    </xf>
    <xf numFmtId="0" fontId="76" fillId="3" borderId="0" xfId="4" applyFont="1" applyFill="1" applyAlignment="1">
      <alignment vertical="center"/>
    </xf>
    <xf numFmtId="0" fontId="76" fillId="0" borderId="0" xfId="4" applyFont="1" applyAlignment="1">
      <alignment horizontal="right" vertical="center"/>
    </xf>
    <xf numFmtId="0" fontId="76" fillId="0" borderId="0" xfId="4" applyFont="1" applyAlignment="1">
      <alignment horizontal="center" vertical="center"/>
    </xf>
    <xf numFmtId="0" fontId="77" fillId="0" borderId="0" xfId="4" applyFont="1" applyAlignment="1">
      <alignment horizontal="left" vertical="center"/>
    </xf>
    <xf numFmtId="0" fontId="76" fillId="0" borderId="0" xfId="4" applyFont="1" applyFill="1" applyAlignment="1">
      <alignment horizontal="left" vertical="center"/>
    </xf>
    <xf numFmtId="0" fontId="76" fillId="0" borderId="0" xfId="4" applyFont="1" applyFill="1" applyAlignment="1">
      <alignment horizontal="center" vertical="center"/>
    </xf>
    <xf numFmtId="0" fontId="76" fillId="0" borderId="0" xfId="4" applyFont="1" applyFill="1" applyAlignment="1">
      <alignment horizontal="right" vertical="center"/>
    </xf>
    <xf numFmtId="0" fontId="60" fillId="0" borderId="0" xfId="4" applyFill="1"/>
    <xf numFmtId="0" fontId="76" fillId="0" borderId="0" xfId="4" applyFont="1" applyFill="1" applyAlignment="1">
      <alignment vertical="center"/>
    </xf>
    <xf numFmtId="3" fontId="76" fillId="0" borderId="0" xfId="4" applyNumberFormat="1" applyFont="1" applyFill="1" applyAlignment="1">
      <alignment horizontal="center" vertical="center"/>
    </xf>
    <xf numFmtId="4" fontId="76" fillId="0" borderId="0" xfId="4" applyNumberFormat="1" applyFont="1" applyFill="1" applyAlignment="1">
      <alignment horizontal="right" vertical="center"/>
    </xf>
    <xf numFmtId="4" fontId="76" fillId="0" borderId="0" xfId="4" applyNumberFormat="1" applyFont="1" applyFill="1" applyAlignment="1">
      <alignment vertical="center"/>
    </xf>
    <xf numFmtId="0" fontId="0" fillId="0" borderId="0" xfId="0" applyFill="1"/>
    <xf numFmtId="14" fontId="24" fillId="0" borderId="4" xfId="0" applyNumberFormat="1" applyFont="1" applyBorder="1" applyAlignment="1">
      <alignment horizontal="center"/>
    </xf>
    <xf numFmtId="0" fontId="68" fillId="0" borderId="0" xfId="4" applyFont="1" applyAlignment="1">
      <alignment horizontal="center" vertical="center"/>
    </xf>
    <xf numFmtId="0" fontId="67" fillId="0" borderId="0" xfId="4" applyFont="1" applyAlignment="1">
      <alignment horizontal="center" vertical="center"/>
    </xf>
    <xf numFmtId="166" fontId="75" fillId="0" borderId="0" xfId="4" applyNumberFormat="1" applyFont="1" applyAlignment="1">
      <alignment horizontal="center" vertical="center"/>
    </xf>
    <xf numFmtId="166" fontId="75" fillId="3" borderId="0" xfId="4" applyNumberFormat="1" applyFont="1" applyFill="1" applyAlignment="1">
      <alignment horizontal="center" vertical="center"/>
    </xf>
    <xf numFmtId="0" fontId="75" fillId="3" borderId="0" xfId="4" applyFont="1" applyFill="1" applyAlignment="1">
      <alignment vertical="center"/>
    </xf>
    <xf numFmtId="0" fontId="60" fillId="3" borderId="0" xfId="4" applyFill="1" applyProtection="1">
      <protection locked="0"/>
    </xf>
    <xf numFmtId="1" fontId="75" fillId="3" borderId="0" xfId="4" applyNumberFormat="1" applyFont="1" applyFill="1" applyAlignment="1">
      <alignment vertical="center"/>
    </xf>
    <xf numFmtId="4" fontId="75" fillId="3" borderId="0" xfId="4" applyNumberFormat="1" applyFont="1" applyFill="1" applyAlignment="1">
      <alignment vertical="center"/>
    </xf>
    <xf numFmtId="10" fontId="60" fillId="0" borderId="0" xfId="2" applyNumberFormat="1" applyFont="1"/>
    <xf numFmtId="9" fontId="60" fillId="0" borderId="0" xfId="4" applyNumberFormat="1"/>
    <xf numFmtId="3" fontId="5" fillId="2" borderId="14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10" fontId="5" fillId="2" borderId="11" xfId="2" applyNumberFormat="1" applyFont="1" applyFill="1" applyBorder="1" applyAlignment="1">
      <alignment horizontal="center" vertical="center"/>
    </xf>
    <xf numFmtId="10" fontId="5" fillId="2" borderId="14" xfId="2" applyNumberFormat="1" applyFont="1" applyFill="1" applyBorder="1" applyAlignment="1">
      <alignment horizontal="center" vertical="center"/>
    </xf>
    <xf numFmtId="10" fontId="5" fillId="2" borderId="7" xfId="2" applyNumberFormat="1" applyFont="1" applyFill="1" applyBorder="1" applyAlignment="1">
      <alignment horizontal="center" vertical="center"/>
    </xf>
    <xf numFmtId="3" fontId="76" fillId="0" borderId="0" xfId="4" applyNumberFormat="1" applyFont="1" applyFill="1" applyAlignment="1">
      <alignment vertical="center"/>
    </xf>
    <xf numFmtId="9" fontId="3" fillId="9" borderId="20" xfId="2" applyFont="1" applyFill="1" applyBorder="1" applyAlignment="1">
      <alignment horizontal="center" vertical="center"/>
    </xf>
    <xf numFmtId="9" fontId="3" fillId="9" borderId="20" xfId="2" applyFont="1" applyFill="1" applyBorder="1" applyAlignment="1">
      <alignment horizontal="center" vertical="center"/>
    </xf>
    <xf numFmtId="0" fontId="62" fillId="0" borderId="4" xfId="4" applyFont="1" applyBorder="1" applyAlignment="1">
      <alignment horizontal="center" vertical="center"/>
    </xf>
    <xf numFmtId="167" fontId="62" fillId="0" borderId="4" xfId="4" applyNumberFormat="1" applyFont="1" applyBorder="1" applyAlignment="1">
      <alignment horizontal="center" vertical="center"/>
    </xf>
    <xf numFmtId="4" fontId="62" fillId="0" borderId="4" xfId="4" applyNumberFormat="1" applyFont="1" applyBorder="1" applyAlignment="1">
      <alignment horizontal="left" vertical="center" wrapText="1"/>
    </xf>
    <xf numFmtId="9" fontId="3" fillId="9" borderId="12" xfId="2" applyFont="1" applyFill="1" applyBorder="1" applyAlignment="1">
      <alignment horizontal="center" vertical="center"/>
    </xf>
    <xf numFmtId="9" fontId="3" fillId="9" borderId="13" xfId="2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5">
    <cellStyle name="Millares" xfId="3" builtinId="3"/>
    <cellStyle name="Moneda" xfId="1" builtinId="4"/>
    <cellStyle name="Normal" xfId="0" builtinId="0"/>
    <cellStyle name="Normal 2" xfId="4" xr:uid="{A3983746-C8A4-414F-A22E-013D3F588D2B}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C49E2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525367869315661E-2"/>
          <c:y val="4.3666639502349712E-3"/>
          <c:w val="0.94930218045585257"/>
          <c:h val="0.9917499705719901"/>
        </c:manualLayout>
      </c:layout>
      <c:doughnutChart>
        <c:varyColors val="1"/>
        <c:ser>
          <c:idx val="0"/>
          <c:order val="0"/>
          <c:tx>
            <c:v>Velocimetro</c:v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6-4756-82B1-95B610BE0D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16-4756-82B1-95B610BE0D9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16-4756-82B1-95B610BE0D9C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16-4756-82B1-95B610BE0D9C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16-4756-82B1-95B610BE0D9C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616-4756-82B1-95B610BE0D9C}"/>
              </c:ext>
            </c:extLst>
          </c:dPt>
          <c:val>
            <c:numRef>
              <c:f>'Config S-J'!$A$5:$A$10</c:f>
              <c:numCache>
                <c:formatCode>General</c:formatCode>
                <c:ptCount val="6"/>
                <c:pt idx="0">
                  <c:v>35</c:v>
                </c:pt>
                <c:pt idx="1">
                  <c:v>30</c:v>
                </c:pt>
                <c:pt idx="2">
                  <c:v>17</c:v>
                </c:pt>
                <c:pt idx="3">
                  <c:v>12</c:v>
                </c:pt>
                <c:pt idx="4">
                  <c:v>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16-4756-82B1-95B610BE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Puntero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616-4756-82B1-95B610BE0D9C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616-4756-82B1-95B610BE0D9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616-4756-82B1-95B610BE0D9C}"/>
              </c:ext>
            </c:extLst>
          </c:dPt>
          <c:val>
            <c:numRef>
              <c:f>'Config S-J'!$C$16:$C$18</c:f>
              <c:numCache>
                <c:formatCode>General</c:formatCode>
                <c:ptCount val="3"/>
                <c:pt idx="0">
                  <c:v>97.161764705882348</c:v>
                </c:pt>
                <c:pt idx="1">
                  <c:v>2</c:v>
                </c:pt>
                <c:pt idx="2">
                  <c:v>100.83823529411765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616-4756-82B1-95B610BE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525367869315661E-2"/>
          <c:y val="4.3666639502349712E-3"/>
          <c:w val="0.94930218045585257"/>
          <c:h val="0.9917499705719901"/>
        </c:manualLayout>
      </c:layout>
      <c:doughnutChart>
        <c:varyColors val="1"/>
        <c:ser>
          <c:idx val="0"/>
          <c:order val="0"/>
          <c:tx>
            <c:v>Velocimetro</c:v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D-4ADF-891C-6C242E0F67A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FD-4ADF-891C-6C242E0F67A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FD-4ADF-891C-6C242E0F67AD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FD-4ADF-891C-6C242E0F67AD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FD-4ADF-891C-6C242E0F67A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FD-4ADF-891C-6C242E0F67AD}"/>
              </c:ext>
            </c:extLst>
          </c:dPt>
          <c:val>
            <c:numRef>
              <c:f>'Config S-J'!$A$5:$A$10</c:f>
              <c:numCache>
                <c:formatCode>General</c:formatCode>
                <c:ptCount val="6"/>
                <c:pt idx="0">
                  <c:v>35</c:v>
                </c:pt>
                <c:pt idx="1">
                  <c:v>30</c:v>
                </c:pt>
                <c:pt idx="2">
                  <c:v>17</c:v>
                </c:pt>
                <c:pt idx="3">
                  <c:v>12</c:v>
                </c:pt>
                <c:pt idx="4">
                  <c:v>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FD-4ADF-891C-6C242E0F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Puntero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3FD-4ADF-891C-6C242E0F67AD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3FD-4ADF-891C-6C242E0F67A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3FD-4ADF-891C-6C242E0F67AD}"/>
              </c:ext>
            </c:extLst>
          </c:dPt>
          <c:val>
            <c:numRef>
              <c:f>'Config S-J'!$C$16:$C$18</c:f>
              <c:numCache>
                <c:formatCode>General</c:formatCode>
                <c:ptCount val="3"/>
                <c:pt idx="0">
                  <c:v>97.161764705882348</c:v>
                </c:pt>
                <c:pt idx="1">
                  <c:v>2</c:v>
                </c:pt>
                <c:pt idx="2">
                  <c:v>100.83823529411765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3FD-4ADF-891C-6C242E0F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07726468596886E-2"/>
          <c:y val="1.0711016976934959E-3"/>
          <c:w val="0.84482769603739105"/>
          <c:h val="0.99785779660461305"/>
        </c:manualLayout>
      </c:layout>
      <c:doughnutChart>
        <c:varyColors val="1"/>
        <c:ser>
          <c:idx val="0"/>
          <c:order val="0"/>
          <c:tx>
            <c:v>VELOCIMETRO</c:v>
          </c:tx>
          <c:val>
            <c:numRef>
              <c:f>'Config S-J'!$F$5:$F$10</c:f>
            </c:numRef>
          </c:val>
          <c:extLst>
            <c:ext xmlns:c16="http://schemas.microsoft.com/office/drawing/2014/chart" uri="{C3380CC4-5D6E-409C-BE32-E72D297353CC}">
              <c16:uniqueId val="{0000000C-CC9B-4A78-8846-B894449C1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8"/>
      </c:doughnutChart>
      <c:pieChart>
        <c:varyColors val="1"/>
        <c:ser>
          <c:idx val="1"/>
          <c:order val="1"/>
          <c:tx>
            <c:v>PUNTERO</c:v>
          </c:tx>
          <c:val>
            <c:numRef>
              <c:f>'Config S-J'!$H$16:$H$18</c:f>
            </c:numRef>
          </c:val>
          <c:extLst>
            <c:ext xmlns:c16="http://schemas.microsoft.com/office/drawing/2014/chart" uri="{C3380CC4-5D6E-409C-BE32-E72D297353CC}">
              <c16:uniqueId val="{00000013-CC9B-4A78-8846-B894449C1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microsoft.com/office/2007/relationships/hdphoto" Target="../media/hdphoto1.wdp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microsoft.com/office/2007/relationships/hdphoto" Target="../media/hdphoto2.wdp"/><Relationship Id="rId10" Type="http://schemas.openxmlformats.org/officeDocument/2006/relationships/image" Target="../media/image7.jpe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843704</xdr:colOff>
      <xdr:row>12</xdr:row>
      <xdr:rowOff>119531</xdr:rowOff>
    </xdr:from>
    <xdr:to>
      <xdr:col>3</xdr:col>
      <xdr:colOff>1379302</xdr:colOff>
      <xdr:row>21</xdr:row>
      <xdr:rowOff>58649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50FEA0-32B0-4092-8E40-3F08E2A48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203200</xdr:colOff>
      <xdr:row>1</xdr:row>
      <xdr:rowOff>38100</xdr:rowOff>
    </xdr:from>
    <xdr:to>
      <xdr:col>1</xdr:col>
      <xdr:colOff>350926</xdr:colOff>
      <xdr:row>2</xdr:row>
      <xdr:rowOff>154768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19C961-A928-4C53-8717-BBF754EE1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30065" b="47386" l="29412" r="47876">
                      <a14:foregroundMark x1="38072" y1="36275" x2="38072" y2="36275"/>
                    </a14:backgroundRemoval>
                  </a14:imgEffect>
                  <a14:imgEffect>
                    <a14:brightnessContrast bright="100000"/>
                  </a14:imgEffect>
                </a14:imgLayer>
              </a14:imgProps>
            </a:ext>
          </a:extLst>
        </a:blip>
        <a:srcRect l="29131" t="29782" r="51739" b="52391"/>
        <a:stretch/>
      </xdr:blipFill>
      <xdr:spPr>
        <a:xfrm>
          <a:off x="203200" y="165100"/>
          <a:ext cx="477926" cy="421468"/>
        </a:xfrm>
        <a:prstGeom prst="rect">
          <a:avLst/>
        </a:prstGeom>
      </xdr:spPr>
    </xdr:pic>
    <xdr:clientData/>
  </xdr:twoCellAnchor>
  <xdr:twoCellAnchor editAs="oneCell">
    <xdr:from>
      <xdr:col>6</xdr:col>
      <xdr:colOff>526621</xdr:colOff>
      <xdr:row>1</xdr:row>
      <xdr:rowOff>19050</xdr:rowOff>
    </xdr:from>
    <xdr:to>
      <xdr:col>6</xdr:col>
      <xdr:colOff>1369529</xdr:colOff>
      <xdr:row>2</xdr:row>
      <xdr:rowOff>63500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201F21-10AF-48A5-A309-E9A1DD888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52" t="19445" r="10268" b="16665"/>
        <a:stretch/>
      </xdr:blipFill>
      <xdr:spPr>
        <a:xfrm>
          <a:off x="7484407" y="109764"/>
          <a:ext cx="842908" cy="352879"/>
        </a:xfrm>
        <a:prstGeom prst="rect">
          <a:avLst/>
        </a:prstGeom>
      </xdr:spPr>
    </xdr:pic>
    <xdr:clientData/>
  </xdr:twoCellAnchor>
  <xdr:twoCellAnchor>
    <xdr:from>
      <xdr:col>1</xdr:col>
      <xdr:colOff>402666</xdr:colOff>
      <xdr:row>4</xdr:row>
      <xdr:rowOff>15967</xdr:rowOff>
    </xdr:from>
    <xdr:to>
      <xdr:col>2</xdr:col>
      <xdr:colOff>841566</xdr:colOff>
      <xdr:row>8</xdr:row>
      <xdr:rowOff>181982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28EBA87-0D6D-4ED3-8DD8-6B830F6EEE59}"/>
            </a:ext>
          </a:extLst>
        </xdr:cNvPr>
        <xdr:cNvGrpSpPr/>
      </xdr:nvGrpSpPr>
      <xdr:grpSpPr>
        <a:xfrm>
          <a:off x="731372" y="792908"/>
          <a:ext cx="1611782" cy="913074"/>
          <a:chOff x="3289300" y="793750"/>
          <a:chExt cx="1727200" cy="90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'Config S-J'!D35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F831733-7E96-7257-5149-225CA465C328}"/>
              </a:ext>
            </a:extLst>
          </xdr:cNvPr>
          <xdr:cNvSpPr/>
        </xdr:nvSpPr>
        <xdr:spPr>
          <a:xfrm>
            <a:off x="3289300" y="793750"/>
            <a:ext cx="1727200" cy="9000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1" algn="r"/>
            <a:fld id="{A47BD923-82DB-470D-8CC3-2AA21C277867}" type="TxLink">
              <a:rPr lang="en-US" sz="1600" b="1" i="0" u="none" strike="noStrike">
                <a:solidFill>
                  <a:srgbClr val="000000"/>
                </a:solidFill>
                <a:latin typeface="Bahnschrift"/>
                <a:cs typeface="Calibri"/>
              </a:rPr>
              <a:pPr lvl="1" algn="r"/>
              <a:t>Casa Central Jujuy</a:t>
            </a:fld>
            <a:endParaRPr lang="en-US" sz="1400" b="1" i="0" u="none" strike="noStrike">
              <a:solidFill>
                <a:sysClr val="windowText" lastClr="000000"/>
              </a:solidFill>
              <a:latin typeface="Bahnschrift"/>
              <a:cs typeface="Calibri"/>
            </a:endParaRP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C2D07FA2-2247-1952-E2F8-953F9AA9E7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467101" y="1028700"/>
            <a:ext cx="442441" cy="432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799709</xdr:colOff>
      <xdr:row>4</xdr:row>
      <xdr:rowOff>17203</xdr:rowOff>
    </xdr:from>
    <xdr:to>
      <xdr:col>4</xdr:col>
      <xdr:colOff>952859</xdr:colOff>
      <xdr:row>8</xdr:row>
      <xdr:rowOff>183218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B75DF993-E68C-4123-ABAC-BF45F75C4BB1}"/>
            </a:ext>
          </a:extLst>
        </xdr:cNvPr>
        <xdr:cNvGrpSpPr/>
      </xdr:nvGrpSpPr>
      <xdr:grpSpPr>
        <a:xfrm>
          <a:off x="3436827" y="794144"/>
          <a:ext cx="1617385" cy="913074"/>
          <a:chOff x="3889049" y="715637"/>
          <a:chExt cx="1620000" cy="90000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2BD9DEDC-356F-C171-84F6-5A3E0358575F}"/>
              </a:ext>
            </a:extLst>
          </xdr:cNvPr>
          <xdr:cNvGrpSpPr/>
        </xdr:nvGrpSpPr>
        <xdr:grpSpPr>
          <a:xfrm>
            <a:off x="3889049" y="715637"/>
            <a:ext cx="1620000" cy="900000"/>
            <a:chOff x="749300" y="819150"/>
            <a:chExt cx="1727200" cy="900000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$D$88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7959C35-85F2-4131-7489-D26FD64B9BD5}"/>
                </a:ext>
              </a:extLst>
            </xdr:cNvPr>
            <xdr:cNvSpPr/>
          </xdr:nvSpPr>
          <xdr:spPr>
            <a:xfrm>
              <a:off x="749300" y="819150"/>
              <a:ext cx="1727200" cy="900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b"/>
            <a:lstStyle/>
            <a:p>
              <a:pPr lvl="0" algn="r"/>
              <a:fld id="{F74D0122-B319-4E03-8235-E38CBFE4F26D}" type="TxLink">
                <a:rPr lang="en-US" sz="2400" b="1" i="0" u="none" strike="noStrike">
                  <a:solidFill>
                    <a:srgbClr val="000000"/>
                  </a:solidFill>
                  <a:latin typeface="Bahnschrift"/>
                  <a:cs typeface="Calibri"/>
                </a:rPr>
                <a:pPr lvl="0" algn="r"/>
                <a:t>213</a:t>
              </a:fld>
              <a:endParaRPr lang="es-AR" sz="2800" b="1">
                <a:solidFill>
                  <a:sysClr val="windowText" lastClr="000000"/>
                </a:solidFill>
                <a:latin typeface="Bahnschrift" panose="020B0502040204020203" pitchFamily="34" charset="0"/>
              </a:endParaRPr>
            </a:p>
          </xdr:txBody>
        </xdr:sp>
        <xdr:pic>
          <xdr:nvPicPr>
            <xdr:cNvPr id="20" name="Imagen 19">
              <a:extLst>
                <a:ext uri="{FF2B5EF4-FFF2-40B4-BE49-F238E27FC236}">
                  <a16:creationId xmlns:a16="http://schemas.microsoft.com/office/drawing/2014/main" id="{D2895C2A-ECCA-0D49-1F81-E12124F2E5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flipH="1">
              <a:off x="914707" y="1177451"/>
              <a:ext cx="448759" cy="384741"/>
            </a:xfrm>
            <a:prstGeom prst="rect">
              <a:avLst/>
            </a:prstGeom>
          </xdr:spPr>
        </xdr:pic>
      </xdr:grp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36D14D54-DC17-A71C-ACB3-C81606EB9978}"/>
              </a:ext>
            </a:extLst>
          </xdr:cNvPr>
          <xdr:cNvSpPr txBox="1"/>
        </xdr:nvSpPr>
        <xdr:spPr>
          <a:xfrm>
            <a:off x="4189950" y="754378"/>
            <a:ext cx="1288806" cy="52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400" b="1">
                <a:latin typeface="Bahnschrift" panose="020B0502040204020203" pitchFamily="34" charset="0"/>
              </a:rPr>
              <a:t>Muestra de Art.</a:t>
            </a:r>
            <a:endParaRPr lang="es-AR" sz="1400" b="1" baseline="0"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oneCell">
    <xdr:from>
      <xdr:col>1</xdr:col>
      <xdr:colOff>803783</xdr:colOff>
      <xdr:row>12</xdr:row>
      <xdr:rowOff>119253</xdr:rowOff>
    </xdr:from>
    <xdr:to>
      <xdr:col>2</xdr:col>
      <xdr:colOff>389333</xdr:colOff>
      <xdr:row>18</xdr:row>
      <xdr:rowOff>138079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B4BFC89-C22B-41E7-9623-6033C603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89" y="2353659"/>
          <a:ext cx="901588" cy="111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298825</xdr:colOff>
      <xdr:row>12</xdr:row>
      <xdr:rowOff>21174</xdr:rowOff>
    </xdr:from>
    <xdr:to>
      <xdr:col>6</xdr:col>
      <xdr:colOff>418354</xdr:colOff>
      <xdr:row>13</xdr:row>
      <xdr:rowOff>172350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A73B501-25DB-4B0D-A580-1E16C969FB48}"/>
            </a:ext>
          </a:extLst>
        </xdr:cNvPr>
        <xdr:cNvSpPr txBox="1"/>
      </xdr:nvSpPr>
      <xdr:spPr>
        <a:xfrm>
          <a:off x="4332943" y="2292233"/>
          <a:ext cx="2584823" cy="337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400" b="1">
              <a:latin typeface="Bahnschrift" panose="020B0502040204020203" pitchFamily="34" charset="0"/>
            </a:rPr>
            <a:t>Calificación global del control:</a:t>
          </a:r>
        </a:p>
      </xdr:txBody>
    </xdr:sp>
    <xdr:clientData/>
  </xdr:twoCellAnchor>
  <xdr:twoCellAnchor>
    <xdr:from>
      <xdr:col>4</xdr:col>
      <xdr:colOff>446703</xdr:colOff>
      <xdr:row>14</xdr:row>
      <xdr:rowOff>33068</xdr:rowOff>
    </xdr:from>
    <xdr:to>
      <xdr:col>6</xdr:col>
      <xdr:colOff>281147</xdr:colOff>
      <xdr:row>16</xdr:row>
      <xdr:rowOff>1683</xdr:rowOff>
    </xdr:to>
    <xdr:sp macro="" textlink="'Config S-J'!B31">
      <xdr:nvSpPr>
        <xdr:cNvPr id="23" name="CuadroTexto 22">
          <a:extLst>
            <a:ext uri="{FF2B5EF4-FFF2-40B4-BE49-F238E27FC236}">
              <a16:creationId xmlns:a16="http://schemas.microsoft.com/office/drawing/2014/main" id="{092F2FBF-B20C-4A65-8032-35B78DD8899E}"/>
            </a:ext>
          </a:extLst>
        </xdr:cNvPr>
        <xdr:cNvSpPr txBox="1"/>
      </xdr:nvSpPr>
      <xdr:spPr>
        <a:xfrm>
          <a:off x="4510703" y="2660991"/>
          <a:ext cx="2296290" cy="339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C52BD2-F8D2-4E74-97C4-CD89D7A56A55}" type="TxLink">
            <a:rPr lang="en-US" sz="1400" b="1" i="0" u="none" strike="noStrike">
              <a:solidFill>
                <a:srgbClr val="000000"/>
              </a:solidFill>
              <a:latin typeface="Bahnschrift"/>
              <a:cs typeface="Calibri"/>
            </a:rPr>
            <a:pPr algn="ctr"/>
            <a:t>Satisfactorio</a:t>
          </a:fld>
          <a:endParaRPr lang="es-AR" sz="4000" b="1" i="1">
            <a:solidFill>
              <a:sysClr val="windowText" lastClr="00000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4</xdr:col>
      <xdr:colOff>343092</xdr:colOff>
      <xdr:row>16</xdr:row>
      <xdr:rowOff>29129</xdr:rowOff>
    </xdr:from>
    <xdr:to>
      <xdr:col>6</xdr:col>
      <xdr:colOff>402949</xdr:colOff>
      <xdr:row>20</xdr:row>
      <xdr:rowOff>63500</xdr:rowOff>
    </xdr:to>
    <xdr:sp macro="" textlink="'Config S-J'!B32">
      <xdr:nvSpPr>
        <xdr:cNvPr id="24" name="CuadroTexto 23">
          <a:extLst>
            <a:ext uri="{FF2B5EF4-FFF2-40B4-BE49-F238E27FC236}">
              <a16:creationId xmlns:a16="http://schemas.microsoft.com/office/drawing/2014/main" id="{2D792429-5AB2-4F00-A126-CAF4A752E235}"/>
            </a:ext>
          </a:extLst>
        </xdr:cNvPr>
        <xdr:cNvSpPr txBox="1"/>
      </xdr:nvSpPr>
      <xdr:spPr>
        <a:xfrm>
          <a:off x="4411061" y="2993785"/>
          <a:ext cx="2520482" cy="764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5031251-02AC-445C-B413-751385EAF2FC}" type="TxLink">
            <a:rPr lang="en-US" sz="1200" b="0" i="0" u="none" strike="noStrike">
              <a:solidFill>
                <a:srgbClr val="000000"/>
              </a:solidFill>
              <a:latin typeface="Bahnschrift"/>
              <a:cs typeface="Calibri"/>
            </a:rPr>
            <a:pPr algn="ctr"/>
            <a:t>No existen desvíos, o si existen estos son escasos y no significativos.</a:t>
          </a:fld>
          <a:endParaRPr lang="es-AR" sz="1200" b="0" i="1">
            <a:solidFill>
              <a:sysClr val="windowText" lastClr="00000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636118</xdr:colOff>
      <xdr:row>11</xdr:row>
      <xdr:rowOff>0</xdr:rowOff>
    </xdr:from>
    <xdr:to>
      <xdr:col>6</xdr:col>
      <xdr:colOff>585412</xdr:colOff>
      <xdr:row>20</xdr:row>
      <xdr:rowOff>81314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E285978C-169E-44F1-9EBA-0CBB9BF2197C}"/>
            </a:ext>
          </a:extLst>
        </xdr:cNvPr>
        <xdr:cNvSpPr/>
      </xdr:nvSpPr>
      <xdr:spPr>
        <a:xfrm>
          <a:off x="964824" y="2084294"/>
          <a:ext cx="6120000" cy="1762196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623162</xdr:colOff>
      <xdr:row>16</xdr:row>
      <xdr:rowOff>85021</xdr:rowOff>
    </xdr:from>
    <xdr:to>
      <xdr:col>2</xdr:col>
      <xdr:colOff>1034819</xdr:colOff>
      <xdr:row>18</xdr:row>
      <xdr:rowOff>628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BC79EF8-00D5-43F4-B42A-B12D85BF3198}"/>
            </a:ext>
          </a:extLst>
        </xdr:cNvPr>
        <xdr:cNvSpPr txBox="1"/>
      </xdr:nvSpPr>
      <xdr:spPr>
        <a:xfrm>
          <a:off x="2135256" y="3049677"/>
          <a:ext cx="411657" cy="280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0%</a:t>
          </a:r>
        </a:p>
      </xdr:txBody>
    </xdr:sp>
    <xdr:clientData/>
  </xdr:twoCellAnchor>
  <xdr:twoCellAnchor>
    <xdr:from>
      <xdr:col>2</xdr:col>
      <xdr:colOff>1007383</xdr:colOff>
      <xdr:row>12</xdr:row>
      <xdr:rowOff>41664</xdr:rowOff>
    </xdr:from>
    <xdr:to>
      <xdr:col>3</xdr:col>
      <xdr:colOff>449611</xdr:colOff>
      <xdr:row>13</xdr:row>
      <xdr:rowOff>112926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7C407B49-EE61-4370-9485-B1730CC43BFF}"/>
            </a:ext>
          </a:extLst>
        </xdr:cNvPr>
        <xdr:cNvSpPr txBox="1"/>
      </xdr:nvSpPr>
      <xdr:spPr>
        <a:xfrm>
          <a:off x="2512487" y="2293827"/>
          <a:ext cx="527660" cy="255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35%</a:t>
          </a:r>
        </a:p>
      </xdr:txBody>
    </xdr:sp>
    <xdr:clientData/>
  </xdr:twoCellAnchor>
  <xdr:twoCellAnchor>
    <xdr:from>
      <xdr:col>3</xdr:col>
      <xdr:colOff>848558</xdr:colOff>
      <xdr:row>12</xdr:row>
      <xdr:rowOff>42367</xdr:rowOff>
    </xdr:from>
    <xdr:to>
      <xdr:col>3</xdr:col>
      <xdr:colOff>1282577</xdr:colOff>
      <xdr:row>13</xdr:row>
      <xdr:rowOff>120976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340F914-6206-4C4E-B11F-2138EAF07DAF}"/>
            </a:ext>
          </a:extLst>
        </xdr:cNvPr>
        <xdr:cNvSpPr txBox="1"/>
      </xdr:nvSpPr>
      <xdr:spPr>
        <a:xfrm>
          <a:off x="3439094" y="2294530"/>
          <a:ext cx="434019" cy="263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65%</a:t>
          </a:r>
        </a:p>
      </xdr:txBody>
    </xdr:sp>
    <xdr:clientData/>
  </xdr:twoCellAnchor>
  <xdr:twoCellAnchor>
    <xdr:from>
      <xdr:col>3</xdr:col>
      <xdr:colOff>1174676</xdr:colOff>
      <xdr:row>13</xdr:row>
      <xdr:rowOff>158805</xdr:rowOff>
    </xdr:from>
    <xdr:to>
      <xdr:col>4</xdr:col>
      <xdr:colOff>170104</xdr:colOff>
      <xdr:row>15</xdr:row>
      <xdr:rowOff>1351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BB6A8D43-EBC0-4E6F-991D-47417CDAFF6F}"/>
            </a:ext>
          </a:extLst>
        </xdr:cNvPr>
        <xdr:cNvSpPr txBox="1"/>
      </xdr:nvSpPr>
      <xdr:spPr>
        <a:xfrm>
          <a:off x="3765212" y="2595535"/>
          <a:ext cx="463179" cy="211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82%</a:t>
          </a:r>
        </a:p>
      </xdr:txBody>
    </xdr:sp>
    <xdr:clientData/>
  </xdr:twoCellAnchor>
  <xdr:twoCellAnchor>
    <xdr:from>
      <xdr:col>3</xdr:col>
      <xdr:colOff>1300722</xdr:colOff>
      <xdr:row>16</xdr:row>
      <xdr:rowOff>88158</xdr:rowOff>
    </xdr:from>
    <xdr:to>
      <xdr:col>4</xdr:col>
      <xdr:colOff>340382</xdr:colOff>
      <xdr:row>18</xdr:row>
      <xdr:rowOff>3765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5DC4B7C-0FC1-4D2C-9891-356A84161824}"/>
            </a:ext>
          </a:extLst>
        </xdr:cNvPr>
        <xdr:cNvSpPr txBox="1"/>
      </xdr:nvSpPr>
      <xdr:spPr>
        <a:xfrm flipH="1">
          <a:off x="3891258" y="3078591"/>
          <a:ext cx="507411" cy="284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100%</a:t>
          </a:r>
        </a:p>
      </xdr:txBody>
    </xdr:sp>
    <xdr:clientData/>
  </xdr:twoCellAnchor>
  <xdr:twoCellAnchor>
    <xdr:from>
      <xdr:col>3</xdr:col>
      <xdr:colOff>1271673</xdr:colOff>
      <xdr:row>15</xdr:row>
      <xdr:rowOff>69274</xdr:rowOff>
    </xdr:from>
    <xdr:to>
      <xdr:col>4</xdr:col>
      <xdr:colOff>242013</xdr:colOff>
      <xdr:row>16</xdr:row>
      <xdr:rowOff>98743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22BA5E07-A515-4417-955D-33C678F052C6}"/>
            </a:ext>
          </a:extLst>
        </xdr:cNvPr>
        <xdr:cNvSpPr txBox="1"/>
      </xdr:nvSpPr>
      <xdr:spPr>
        <a:xfrm>
          <a:off x="3862209" y="2875139"/>
          <a:ext cx="438091" cy="214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900" b="1">
              <a:latin typeface="Bahnschrift" panose="020B0502040204020203" pitchFamily="34" charset="0"/>
            </a:rPr>
            <a:t>94%</a:t>
          </a:r>
        </a:p>
      </xdr:txBody>
    </xdr:sp>
    <xdr:clientData/>
  </xdr:twoCellAnchor>
  <xdr:twoCellAnchor>
    <xdr:from>
      <xdr:col>5</xdr:col>
      <xdr:colOff>428402</xdr:colOff>
      <xdr:row>4</xdr:row>
      <xdr:rowOff>16172</xdr:rowOff>
    </xdr:from>
    <xdr:to>
      <xdr:col>6</xdr:col>
      <xdr:colOff>819115</xdr:colOff>
      <xdr:row>9</xdr:row>
      <xdr:rowOff>111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2548DE45-2FFC-6573-D52D-40332FC3EE7B}"/>
            </a:ext>
          </a:extLst>
        </xdr:cNvPr>
        <xdr:cNvGrpSpPr/>
      </xdr:nvGrpSpPr>
      <xdr:grpSpPr>
        <a:xfrm>
          <a:off x="6150873" y="793113"/>
          <a:ext cx="1615889" cy="917763"/>
          <a:chOff x="5695167" y="793113"/>
          <a:chExt cx="1623360" cy="915148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DA59527B-EA72-4515-929C-CFD6166A7D15}"/>
              </a:ext>
            </a:extLst>
          </xdr:cNvPr>
          <xdr:cNvGrpSpPr/>
        </xdr:nvGrpSpPr>
        <xdr:grpSpPr>
          <a:xfrm>
            <a:off x="5695167" y="793113"/>
            <a:ext cx="1623360" cy="915148"/>
            <a:chOff x="6764704" y="715629"/>
            <a:chExt cx="1618941" cy="900000"/>
          </a:xfrm>
        </xdr:grpSpPr>
        <xdr:sp macro="" textlink="'Config S-J'!D42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602735B2-1D5D-C813-A0D7-F8FD86A86367}"/>
                </a:ext>
              </a:extLst>
            </xdr:cNvPr>
            <xdr:cNvSpPr/>
          </xdr:nvSpPr>
          <xdr:spPr>
            <a:xfrm>
              <a:off x="6764704" y="715629"/>
              <a:ext cx="1618941" cy="900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b"/>
            <a:lstStyle/>
            <a:p>
              <a:pPr algn="r"/>
              <a:fld id="{5ED5BA8C-CB94-4671-BFD3-FEA01C6E1E1E}" type="TxLink">
                <a:rPr lang="en-US" sz="1700" b="1" i="0" u="none" strike="noStrike">
                  <a:solidFill>
                    <a:srgbClr val="000000"/>
                  </a:solidFill>
                  <a:latin typeface="Bahnschrift"/>
                </a:rPr>
                <a:pPr algn="r"/>
                <a:t>03/02/2026</a:t>
              </a:fld>
              <a:endParaRPr lang="es-AR" sz="1100" b="1">
                <a:solidFill>
                  <a:sysClr val="windowText" lastClr="000000"/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720EEC88-F333-4136-B7E1-144267F38628}"/>
                </a:ext>
              </a:extLst>
            </xdr:cNvPr>
            <xdr:cNvSpPr txBox="1"/>
          </xdr:nvSpPr>
          <xdr:spPr>
            <a:xfrm>
              <a:off x="7231498" y="718492"/>
              <a:ext cx="1077904" cy="524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r"/>
              <a:r>
                <a:rPr lang="es-AR" sz="1100" b="1">
                  <a:latin typeface="Bahnschrift" panose="020B0502040204020203" pitchFamily="34" charset="0"/>
                </a:rPr>
                <a:t>Fecha</a:t>
              </a:r>
              <a:r>
                <a:rPr lang="es-AR" sz="1100" b="1" baseline="0">
                  <a:latin typeface="Bahnschrift" panose="020B0502040204020203" pitchFamily="34" charset="0"/>
                </a:rPr>
                <a:t> de realización</a:t>
              </a:r>
              <a:endParaRPr lang="es-AR" sz="1100" b="1"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D92785EB-D9AD-455F-9D2A-872BF147E3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916707" y="859120"/>
            <a:ext cx="373529" cy="43538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963448</xdr:colOff>
      <xdr:row>17</xdr:row>
      <xdr:rowOff>10104</xdr:rowOff>
    </xdr:from>
    <xdr:to>
      <xdr:col>3</xdr:col>
      <xdr:colOff>1335690</xdr:colOff>
      <xdr:row>19</xdr:row>
      <xdr:rowOff>62656</xdr:rowOff>
    </xdr:to>
    <xdr:sp macro="" textlink="G36">
      <xdr:nvSpPr>
        <xdr:cNvPr id="4" name="CuadroTexto 3">
          <a:extLst>
            <a:ext uri="{FF2B5EF4-FFF2-40B4-BE49-F238E27FC236}">
              <a16:creationId xmlns:a16="http://schemas.microsoft.com/office/drawing/2014/main" id="{8CA5A9EA-6D45-8EA2-C4FD-AE68071D4CA6}"/>
            </a:ext>
          </a:extLst>
        </xdr:cNvPr>
        <xdr:cNvSpPr txBox="1"/>
      </xdr:nvSpPr>
      <xdr:spPr>
        <a:xfrm>
          <a:off x="2477679" y="3194873"/>
          <a:ext cx="1456626" cy="423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CD27CD5-3A5B-4D87-925E-0BD847F03E4C}" type="TxLink">
            <a:rPr lang="en-US" sz="1600" b="1" i="0" u="none" strike="noStrike">
              <a:solidFill>
                <a:srgbClr val="000000"/>
              </a:solidFill>
              <a:latin typeface="Bahnschrift"/>
            </a:rPr>
            <a:pPr algn="ctr"/>
            <a:t>98,16%</a:t>
          </a:fld>
          <a:endParaRPr lang="es-AR" sz="1100"/>
        </a:p>
      </xdr:txBody>
    </xdr:sp>
    <xdr:clientData/>
  </xdr:twoCellAnchor>
  <xdr:twoCellAnchor editAs="oneCell">
    <xdr:from>
      <xdr:col>5</xdr:col>
      <xdr:colOff>287248</xdr:colOff>
      <xdr:row>1</xdr:row>
      <xdr:rowOff>44080</xdr:rowOff>
    </xdr:from>
    <xdr:to>
      <xdr:col>6</xdr:col>
      <xdr:colOff>453570</xdr:colOff>
      <xdr:row>2</xdr:row>
      <xdr:rowOff>54429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B6BC0B4-D4A3-39E5-8485-ED72B91A7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0391" y="134794"/>
          <a:ext cx="1390965" cy="318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1361649</xdr:colOff>
      <xdr:row>5</xdr:row>
      <xdr:rowOff>18593</xdr:rowOff>
    </xdr:from>
    <xdr:to>
      <xdr:col>3</xdr:col>
      <xdr:colOff>2981649</xdr:colOff>
      <xdr:row>13</xdr:row>
      <xdr:rowOff>144474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C9E613-7885-406F-B1BA-9B0837EAD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1328373</xdr:colOff>
      <xdr:row>4</xdr:row>
      <xdr:rowOff>171298</xdr:rowOff>
    </xdr:from>
    <xdr:to>
      <xdr:col>8</xdr:col>
      <xdr:colOff>3526117</xdr:colOff>
      <xdr:row>16</xdr:row>
      <xdr:rowOff>164352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C6A470-7C3E-47B2-ABE8-25C7F8C0B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323850</xdr:colOff>
      <xdr:row>0</xdr:row>
      <xdr:rowOff>0</xdr:rowOff>
    </xdr:from>
    <xdr:ext cx="1238250" cy="361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59850" y="0"/>
          <a:ext cx="1238250" cy="3619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1162050</xdr:colOff>
      <xdr:row>0</xdr:row>
      <xdr:rowOff>0</xdr:rowOff>
    </xdr:from>
    <xdr:ext cx="1238250" cy="361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0"/>
          <a:ext cx="1238250" cy="3619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67AB-2029-463D-A7F4-F4F3A91769F1}">
  <sheetPr filterMode="1"/>
  <dimension ref="A1:L3085"/>
  <sheetViews>
    <sheetView topLeftCell="A107" workbookViewId="0">
      <selection activeCell="J3085" sqref="J3085"/>
    </sheetView>
  </sheetViews>
  <sheetFormatPr baseColWidth="10" defaultRowHeight="13" x14ac:dyDescent="0.3"/>
  <cols>
    <col min="1" max="1" width="17.453125" style="246" bestFit="1" customWidth="1"/>
    <col min="2" max="4" width="10.6328125" style="246" customWidth="1"/>
    <col min="5" max="5" width="41.36328125" style="246" bestFit="1" customWidth="1"/>
    <col min="6" max="6" width="10.6328125" style="246" customWidth="1"/>
    <col min="7" max="7" width="10.6328125" style="255" customWidth="1"/>
    <col min="8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2" ht="13.5" x14ac:dyDescent="0.3">
      <c r="A1" s="249" t="s">
        <v>190</v>
      </c>
    </row>
    <row r="2" spans="1:12" x14ac:dyDescent="0.3">
      <c r="A2" s="405" t="s">
        <v>189</v>
      </c>
    </row>
    <row r="3" spans="1:12" ht="16" x14ac:dyDescent="0.3">
      <c r="F3" s="251" t="s">
        <v>8317</v>
      </c>
    </row>
    <row r="5" spans="1:12" x14ac:dyDescent="0.3">
      <c r="F5" s="248" t="s">
        <v>8316</v>
      </c>
    </row>
    <row r="6" spans="1:12" x14ac:dyDescent="0.3">
      <c r="A6" s="393" t="s">
        <v>120</v>
      </c>
      <c r="B6" s="393" t="s">
        <v>8315</v>
      </c>
      <c r="C6" s="393" t="s">
        <v>8314</v>
      </c>
      <c r="D6" s="393" t="s">
        <v>206</v>
      </c>
      <c r="E6" s="393" t="s">
        <v>39</v>
      </c>
      <c r="F6" s="393" t="s">
        <v>326</v>
      </c>
      <c r="G6" s="404" t="s">
        <v>63</v>
      </c>
      <c r="H6" s="403" t="s">
        <v>292</v>
      </c>
      <c r="I6" s="403" t="s">
        <v>8313</v>
      </c>
      <c r="J6" s="403" t="s">
        <v>8312</v>
      </c>
      <c r="K6" s="393" t="s">
        <v>8311</v>
      </c>
      <c r="L6" s="403" t="s">
        <v>8310</v>
      </c>
    </row>
    <row r="7" spans="1:12" hidden="1" x14ac:dyDescent="0.3">
      <c r="A7" s="397" t="s">
        <v>1972</v>
      </c>
      <c r="C7" s="397" t="s">
        <v>1053</v>
      </c>
      <c r="D7" s="397" t="s">
        <v>7691</v>
      </c>
      <c r="E7" s="397" t="s">
        <v>7690</v>
      </c>
      <c r="F7" s="397" t="s">
        <v>191</v>
      </c>
      <c r="G7" s="396">
        <v>4</v>
      </c>
      <c r="H7" s="395">
        <v>237574.47</v>
      </c>
      <c r="J7" s="394">
        <v>395957.45</v>
      </c>
      <c r="K7" s="393" t="s">
        <v>1033</v>
      </c>
    </row>
    <row r="8" spans="1:12" hidden="1" x14ac:dyDescent="0.3">
      <c r="A8" s="397" t="s">
        <v>1972</v>
      </c>
      <c r="C8" s="397" t="s">
        <v>1053</v>
      </c>
      <c r="D8" s="397" t="s">
        <v>7513</v>
      </c>
      <c r="E8" s="397" t="s">
        <v>7512</v>
      </c>
      <c r="F8" s="397" t="s">
        <v>191</v>
      </c>
      <c r="G8" s="396">
        <v>8</v>
      </c>
      <c r="H8" s="395">
        <v>185124.87600000002</v>
      </c>
      <c r="I8" s="394">
        <v>189753</v>
      </c>
      <c r="J8" s="394">
        <v>308541.46000000002</v>
      </c>
      <c r="K8" s="393" t="s">
        <v>1033</v>
      </c>
    </row>
    <row r="9" spans="1:12" hidden="1" x14ac:dyDescent="0.3">
      <c r="A9" s="397" t="s">
        <v>1972</v>
      </c>
      <c r="C9" s="397" t="s">
        <v>1053</v>
      </c>
      <c r="D9" s="397" t="s">
        <v>6923</v>
      </c>
      <c r="E9" s="397" t="s">
        <v>6922</v>
      </c>
      <c r="F9" s="397" t="s">
        <v>191</v>
      </c>
      <c r="G9" s="396">
        <v>1</v>
      </c>
      <c r="H9" s="395">
        <v>1722644.959</v>
      </c>
      <c r="I9" s="394">
        <v>998419.56</v>
      </c>
      <c r="J9" s="394">
        <v>2460921.37</v>
      </c>
      <c r="K9" s="393" t="s">
        <v>1033</v>
      </c>
    </row>
    <row r="10" spans="1:12" hidden="1" x14ac:dyDescent="0.3">
      <c r="A10" s="397" t="s">
        <v>1972</v>
      </c>
      <c r="C10" s="397" t="s">
        <v>1053</v>
      </c>
      <c r="D10" s="397" t="s">
        <v>5858</v>
      </c>
      <c r="E10" s="397" t="s">
        <v>5857</v>
      </c>
      <c r="F10" s="397" t="s">
        <v>191</v>
      </c>
      <c r="G10" s="396">
        <v>1</v>
      </c>
      <c r="H10" s="395">
        <v>295459.83600000001</v>
      </c>
      <c r="I10" s="394">
        <v>279352.65999999997</v>
      </c>
      <c r="J10" s="394">
        <v>422085.48</v>
      </c>
      <c r="K10" s="393" t="s">
        <v>1033</v>
      </c>
    </row>
    <row r="11" spans="1:12" hidden="1" x14ac:dyDescent="0.3">
      <c r="A11" s="397" t="s">
        <v>1972</v>
      </c>
      <c r="C11" s="397" t="s">
        <v>1053</v>
      </c>
      <c r="D11" s="397" t="s">
        <v>3589</v>
      </c>
      <c r="E11" s="397" t="s">
        <v>3588</v>
      </c>
      <c r="F11" s="397" t="s">
        <v>191</v>
      </c>
      <c r="G11" s="396">
        <v>-1</v>
      </c>
      <c r="H11" s="395">
        <v>318944.01699999999</v>
      </c>
      <c r="J11" s="394">
        <v>455634.31</v>
      </c>
      <c r="K11" s="393" t="s">
        <v>1033</v>
      </c>
    </row>
    <row r="12" spans="1:12" hidden="1" x14ac:dyDescent="0.3">
      <c r="A12" s="397" t="s">
        <v>1972</v>
      </c>
      <c r="C12" s="397" t="s">
        <v>1053</v>
      </c>
      <c r="D12" s="397" t="s">
        <v>3386</v>
      </c>
      <c r="E12" s="397" t="s">
        <v>3385</v>
      </c>
      <c r="F12" s="397" t="s">
        <v>191</v>
      </c>
      <c r="G12" s="396">
        <v>4</v>
      </c>
      <c r="H12" s="395">
        <v>300017.52600000001</v>
      </c>
      <c r="I12" s="394">
        <v>300017.53000000003</v>
      </c>
      <c r="J12" s="394">
        <v>500029.21</v>
      </c>
      <c r="K12" s="393" t="s">
        <v>1033</v>
      </c>
    </row>
    <row r="13" spans="1:12" hidden="1" x14ac:dyDescent="0.3">
      <c r="A13" s="397" t="s">
        <v>1972</v>
      </c>
      <c r="C13" s="397" t="s">
        <v>1053</v>
      </c>
      <c r="D13" s="397" t="s">
        <v>2856</v>
      </c>
      <c r="E13" s="397" t="s">
        <v>2855</v>
      </c>
      <c r="F13" s="397" t="s">
        <v>191</v>
      </c>
      <c r="G13" s="396">
        <v>8</v>
      </c>
      <c r="H13" s="395">
        <v>218082.78600000002</v>
      </c>
      <c r="I13" s="394">
        <v>218082.65</v>
      </c>
      <c r="J13" s="394">
        <v>363471.31</v>
      </c>
      <c r="K13" s="393" t="s">
        <v>1033</v>
      </c>
    </row>
    <row r="14" spans="1:12" hidden="1" x14ac:dyDescent="0.3">
      <c r="A14" s="397" t="s">
        <v>1972</v>
      </c>
      <c r="C14" s="397" t="s">
        <v>1053</v>
      </c>
      <c r="D14" s="397" t="s">
        <v>1971</v>
      </c>
      <c r="E14" s="397" t="s">
        <v>1970</v>
      </c>
      <c r="F14" s="397" t="s">
        <v>191</v>
      </c>
      <c r="G14" s="396">
        <v>12</v>
      </c>
      <c r="H14" s="395">
        <v>217699.17</v>
      </c>
      <c r="I14" s="394">
        <v>217699.17</v>
      </c>
      <c r="J14" s="394">
        <v>362831.95</v>
      </c>
      <c r="K14" s="393" t="s">
        <v>1033</v>
      </c>
    </row>
    <row r="15" spans="1:12" hidden="1" x14ac:dyDescent="0.3">
      <c r="A15" s="397" t="s">
        <v>1529</v>
      </c>
      <c r="C15" s="397" t="s">
        <v>1053</v>
      </c>
      <c r="D15" s="397" t="s">
        <v>4464</v>
      </c>
      <c r="E15" s="397" t="s">
        <v>4463</v>
      </c>
      <c r="F15" s="397" t="s">
        <v>191</v>
      </c>
      <c r="G15" s="396">
        <v>6</v>
      </c>
      <c r="H15" s="395">
        <v>2147820.5630000001</v>
      </c>
      <c r="I15" s="394">
        <v>1622459.73</v>
      </c>
      <c r="J15" s="394">
        <v>3068315.09</v>
      </c>
      <c r="K15" s="393" t="s">
        <v>1033</v>
      </c>
    </row>
    <row r="16" spans="1:12" hidden="1" x14ac:dyDescent="0.3">
      <c r="A16" s="397" t="s">
        <v>1529</v>
      </c>
      <c r="C16" s="397" t="s">
        <v>1053</v>
      </c>
      <c r="D16" s="397" t="s">
        <v>1528</v>
      </c>
      <c r="E16" s="397" t="s">
        <v>1527</v>
      </c>
      <c r="F16" s="397" t="s">
        <v>191</v>
      </c>
      <c r="G16" s="396">
        <v>2</v>
      </c>
      <c r="H16" s="395">
        <v>380219.04899999994</v>
      </c>
      <c r="I16" s="394">
        <v>295767.02</v>
      </c>
      <c r="J16" s="394">
        <v>543170.06999999995</v>
      </c>
      <c r="K16" s="393" t="s">
        <v>1033</v>
      </c>
    </row>
    <row r="17" spans="1:12" hidden="1" x14ac:dyDescent="0.3">
      <c r="A17" s="397" t="s">
        <v>889</v>
      </c>
      <c r="C17" s="397" t="s">
        <v>1053</v>
      </c>
      <c r="D17" s="397" t="s">
        <v>407</v>
      </c>
      <c r="E17" s="397" t="s">
        <v>408</v>
      </c>
      <c r="F17" s="397" t="s">
        <v>191</v>
      </c>
      <c r="G17" s="396">
        <v>102</v>
      </c>
      <c r="H17" s="395">
        <v>24210.893</v>
      </c>
      <c r="I17" s="394">
        <v>23620.38</v>
      </c>
      <c r="J17" s="394">
        <v>34586.99</v>
      </c>
      <c r="K17" s="393" t="s">
        <v>1033</v>
      </c>
    </row>
    <row r="18" spans="1:12" hidden="1" x14ac:dyDescent="0.3">
      <c r="A18" s="397" t="s">
        <v>8032</v>
      </c>
      <c r="C18" s="397" t="s">
        <v>1053</v>
      </c>
      <c r="D18" s="397" t="s">
        <v>409</v>
      </c>
      <c r="E18" s="397" t="s">
        <v>410</v>
      </c>
      <c r="F18" s="397" t="s">
        <v>191</v>
      </c>
      <c r="G18" s="396">
        <v>10</v>
      </c>
      <c r="H18" s="395">
        <v>67921.377999999997</v>
      </c>
      <c r="I18" s="394">
        <v>67921.38</v>
      </c>
      <c r="J18" s="394">
        <v>97030.540000000008</v>
      </c>
      <c r="K18" s="393" t="s">
        <v>1033</v>
      </c>
    </row>
    <row r="19" spans="1:12" hidden="1" x14ac:dyDescent="0.3">
      <c r="A19" s="397" t="s">
        <v>8032</v>
      </c>
      <c r="C19" s="397" t="s">
        <v>1053</v>
      </c>
      <c r="D19" s="397" t="s">
        <v>8031</v>
      </c>
      <c r="E19" s="397" t="s">
        <v>8030</v>
      </c>
      <c r="F19" s="397" t="s">
        <v>191</v>
      </c>
      <c r="G19" s="396">
        <v>4</v>
      </c>
      <c r="H19" s="395">
        <v>70085.008000000002</v>
      </c>
      <c r="I19" s="394">
        <v>68375.62</v>
      </c>
      <c r="J19" s="394">
        <v>100121.44</v>
      </c>
      <c r="K19" s="393" t="s">
        <v>1033</v>
      </c>
    </row>
    <row r="20" spans="1:12" hidden="1" x14ac:dyDescent="0.3">
      <c r="A20" s="397" t="s">
        <v>8035</v>
      </c>
      <c r="C20" s="397" t="s">
        <v>1053</v>
      </c>
      <c r="D20" s="397" t="s">
        <v>8034</v>
      </c>
      <c r="E20" s="397" t="s">
        <v>8033</v>
      </c>
      <c r="F20" s="397" t="s">
        <v>191</v>
      </c>
      <c r="G20" s="396">
        <v>5</v>
      </c>
      <c r="H20" s="395">
        <v>41811.027999999998</v>
      </c>
      <c r="I20" s="394">
        <v>45244.47</v>
      </c>
      <c r="J20" s="394">
        <v>59730.04</v>
      </c>
      <c r="K20" s="393" t="s">
        <v>1033</v>
      </c>
    </row>
    <row r="21" spans="1:12" hidden="1" x14ac:dyDescent="0.3">
      <c r="A21" s="397" t="s">
        <v>876</v>
      </c>
      <c r="C21" s="397" t="s">
        <v>1053</v>
      </c>
      <c r="D21" s="397" t="s">
        <v>443</v>
      </c>
      <c r="E21" s="397" t="s">
        <v>444</v>
      </c>
      <c r="F21" s="397" t="s">
        <v>191</v>
      </c>
      <c r="G21" s="396">
        <v>65</v>
      </c>
      <c r="H21" s="395">
        <v>48363.42</v>
      </c>
      <c r="I21" s="394">
        <v>47508.270000000004</v>
      </c>
      <c r="J21" s="394">
        <v>69090.600000000006</v>
      </c>
      <c r="K21" s="393" t="s">
        <v>1033</v>
      </c>
      <c r="L21" s="395">
        <v>47</v>
      </c>
    </row>
    <row r="22" spans="1:12" hidden="1" x14ac:dyDescent="0.3">
      <c r="A22" s="397" t="s">
        <v>7417</v>
      </c>
      <c r="C22" s="397" t="s">
        <v>1053</v>
      </c>
      <c r="D22" s="397" t="s">
        <v>7416</v>
      </c>
      <c r="E22" s="397" t="s">
        <v>442</v>
      </c>
      <c r="F22" s="397" t="s">
        <v>191</v>
      </c>
      <c r="G22" s="396">
        <v>2</v>
      </c>
      <c r="H22" s="395">
        <v>51882.341</v>
      </c>
      <c r="I22" s="394">
        <v>48739.85</v>
      </c>
      <c r="J22" s="394">
        <v>74117.63</v>
      </c>
      <c r="K22" s="393" t="s">
        <v>1033</v>
      </c>
    </row>
    <row r="23" spans="1:12" hidden="1" x14ac:dyDescent="0.3">
      <c r="A23" s="397" t="s">
        <v>7429</v>
      </c>
      <c r="C23" s="397" t="s">
        <v>1053</v>
      </c>
      <c r="D23" s="397" t="s">
        <v>7428</v>
      </c>
      <c r="E23" s="397" t="s">
        <v>442</v>
      </c>
      <c r="F23" s="397" t="s">
        <v>191</v>
      </c>
      <c r="G23" s="396">
        <v>1</v>
      </c>
      <c r="H23" s="395">
        <v>38517.752</v>
      </c>
      <c r="I23" s="394">
        <v>101.56</v>
      </c>
      <c r="J23" s="394">
        <v>55025.36</v>
      </c>
      <c r="K23" s="393" t="s">
        <v>1033</v>
      </c>
    </row>
    <row r="24" spans="1:12" hidden="1" x14ac:dyDescent="0.3">
      <c r="A24" s="397" t="s">
        <v>7404</v>
      </c>
      <c r="C24" s="397" t="s">
        <v>1053</v>
      </c>
      <c r="D24" s="397" t="s">
        <v>7403</v>
      </c>
      <c r="E24" s="397" t="s">
        <v>442</v>
      </c>
      <c r="F24" s="397" t="s">
        <v>191</v>
      </c>
      <c r="G24" s="396">
        <v>3</v>
      </c>
      <c r="H24" s="395">
        <v>53836.594000000005</v>
      </c>
      <c r="I24" s="394">
        <v>46960.67</v>
      </c>
      <c r="J24" s="394">
        <v>76909.42</v>
      </c>
      <c r="K24" s="393" t="s">
        <v>1033</v>
      </c>
    </row>
    <row r="25" spans="1:12" hidden="1" x14ac:dyDescent="0.3">
      <c r="A25" s="397" t="s">
        <v>3772</v>
      </c>
      <c r="C25" s="397" t="s">
        <v>1053</v>
      </c>
      <c r="D25" s="397" t="s">
        <v>3771</v>
      </c>
      <c r="E25" s="397" t="s">
        <v>667</v>
      </c>
      <c r="F25" s="397" t="s">
        <v>191</v>
      </c>
      <c r="G25" s="396">
        <v>1</v>
      </c>
      <c r="H25" s="395">
        <v>40055.938999999998</v>
      </c>
      <c r="I25" s="394">
        <v>38738.730000000003</v>
      </c>
      <c r="J25" s="394">
        <v>57222.770000000004</v>
      </c>
      <c r="K25" s="393" t="s">
        <v>1033</v>
      </c>
    </row>
    <row r="26" spans="1:12" hidden="1" x14ac:dyDescent="0.3">
      <c r="A26" s="397" t="s">
        <v>7399</v>
      </c>
      <c r="C26" s="397" t="s">
        <v>1053</v>
      </c>
      <c r="D26" s="397" t="s">
        <v>7398</v>
      </c>
      <c r="E26" s="397" t="s">
        <v>442</v>
      </c>
      <c r="F26" s="397" t="s">
        <v>191</v>
      </c>
      <c r="G26" s="396">
        <v>13</v>
      </c>
      <c r="H26" s="395">
        <v>40228.041000000005</v>
      </c>
      <c r="I26" s="394">
        <v>39516.730000000003</v>
      </c>
      <c r="J26" s="394">
        <v>57468.630000000005</v>
      </c>
      <c r="K26" s="393" t="s">
        <v>1033</v>
      </c>
    </row>
    <row r="27" spans="1:12" hidden="1" x14ac:dyDescent="0.3">
      <c r="A27" s="397" t="s">
        <v>875</v>
      </c>
      <c r="C27" s="397" t="s">
        <v>1053</v>
      </c>
      <c r="D27" s="397" t="s">
        <v>446</v>
      </c>
      <c r="E27" s="397" t="s">
        <v>444</v>
      </c>
      <c r="F27" s="397" t="s">
        <v>191</v>
      </c>
      <c r="G27" s="396">
        <v>31</v>
      </c>
      <c r="H27" s="395">
        <v>27769.342999999997</v>
      </c>
      <c r="I27" s="394">
        <v>26905.71</v>
      </c>
      <c r="J27" s="394">
        <v>39670.49</v>
      </c>
      <c r="K27" s="393" t="s">
        <v>1033</v>
      </c>
      <c r="L27" s="395">
        <v>4</v>
      </c>
    </row>
    <row r="28" spans="1:12" s="364" customFormat="1" x14ac:dyDescent="0.3">
      <c r="A28" s="402" t="s">
        <v>7406</v>
      </c>
      <c r="C28" s="402" t="s">
        <v>1053</v>
      </c>
      <c r="D28" s="402" t="s">
        <v>7405</v>
      </c>
      <c r="E28" s="402" t="s">
        <v>442</v>
      </c>
      <c r="F28" s="402" t="s">
        <v>191</v>
      </c>
      <c r="G28" s="401">
        <v>1</v>
      </c>
      <c r="H28" s="400">
        <v>53836.594000000005</v>
      </c>
      <c r="I28" s="399">
        <v>52853.71</v>
      </c>
      <c r="J28" s="399">
        <v>76909.42</v>
      </c>
      <c r="K28" s="398" t="s">
        <v>1033</v>
      </c>
    </row>
    <row r="29" spans="1:12" s="364" customFormat="1" x14ac:dyDescent="0.3">
      <c r="A29" s="402" t="s">
        <v>7412</v>
      </c>
      <c r="C29" s="402" t="s">
        <v>1053</v>
      </c>
      <c r="D29" s="402" t="s">
        <v>7411</v>
      </c>
      <c r="E29" s="402" t="s">
        <v>442</v>
      </c>
      <c r="F29" s="402" t="s">
        <v>191</v>
      </c>
      <c r="G29" s="401">
        <v>3</v>
      </c>
      <c r="H29" s="400">
        <v>45200.042999999998</v>
      </c>
      <c r="I29" s="399">
        <v>24837.31</v>
      </c>
      <c r="J29" s="399">
        <v>64571.49</v>
      </c>
      <c r="K29" s="398" t="s">
        <v>1033</v>
      </c>
    </row>
    <row r="30" spans="1:12" s="364" customFormat="1" x14ac:dyDescent="0.3">
      <c r="A30" s="402" t="s">
        <v>7423</v>
      </c>
      <c r="C30" s="402" t="s">
        <v>1053</v>
      </c>
      <c r="D30" s="402" t="s">
        <v>7422</v>
      </c>
      <c r="E30" s="402" t="s">
        <v>442</v>
      </c>
      <c r="F30" s="402" t="s">
        <v>191</v>
      </c>
      <c r="G30" s="401">
        <v>2</v>
      </c>
      <c r="H30" s="400">
        <v>38517.752</v>
      </c>
      <c r="I30" s="399">
        <v>563.01</v>
      </c>
      <c r="J30" s="399">
        <v>55025.36</v>
      </c>
      <c r="K30" s="398" t="s">
        <v>1033</v>
      </c>
    </row>
    <row r="31" spans="1:12" s="364" customFormat="1" x14ac:dyDescent="0.3">
      <c r="A31" s="402" t="s">
        <v>7401</v>
      </c>
      <c r="C31" s="402" t="s">
        <v>1053</v>
      </c>
      <c r="D31" s="402" t="s">
        <v>7400</v>
      </c>
      <c r="E31" s="402" t="s">
        <v>442</v>
      </c>
      <c r="F31" s="402" t="s">
        <v>191</v>
      </c>
      <c r="G31" s="401">
        <v>1</v>
      </c>
      <c r="H31" s="400">
        <v>44790.284000000007</v>
      </c>
      <c r="I31" s="399">
        <v>42077.35</v>
      </c>
      <c r="J31" s="399">
        <v>63986.12</v>
      </c>
      <c r="K31" s="398" t="s">
        <v>1033</v>
      </c>
    </row>
    <row r="32" spans="1:12" s="364" customFormat="1" x14ac:dyDescent="0.3">
      <c r="A32" s="402" t="s">
        <v>7410</v>
      </c>
      <c r="C32" s="402" t="s">
        <v>1053</v>
      </c>
      <c r="D32" s="402" t="s">
        <v>7409</v>
      </c>
      <c r="E32" s="402" t="s">
        <v>442</v>
      </c>
      <c r="F32" s="402" t="s">
        <v>191</v>
      </c>
      <c r="G32" s="401">
        <v>1</v>
      </c>
      <c r="H32" s="400">
        <v>38328.633000000002</v>
      </c>
      <c r="I32" s="399">
        <v>30803.45</v>
      </c>
      <c r="J32" s="399">
        <v>54755.19</v>
      </c>
      <c r="K32" s="398" t="s">
        <v>1033</v>
      </c>
    </row>
    <row r="33" spans="1:11" s="364" customFormat="1" x14ac:dyDescent="0.3">
      <c r="A33" s="402" t="s">
        <v>7408</v>
      </c>
      <c r="C33" s="402" t="s">
        <v>1053</v>
      </c>
      <c r="D33" s="402" t="s">
        <v>7407</v>
      </c>
      <c r="E33" s="402" t="s">
        <v>442</v>
      </c>
      <c r="F33" s="402" t="s">
        <v>191</v>
      </c>
      <c r="G33" s="401">
        <v>4</v>
      </c>
      <c r="H33" s="400">
        <v>52102.981</v>
      </c>
      <c r="I33" s="399">
        <v>51181.71</v>
      </c>
      <c r="J33" s="399">
        <v>74432.83</v>
      </c>
      <c r="K33" s="398" t="s">
        <v>1033</v>
      </c>
    </row>
    <row r="34" spans="1:11" s="364" customFormat="1" x14ac:dyDescent="0.3">
      <c r="A34" s="402" t="s">
        <v>7389</v>
      </c>
      <c r="C34" s="402" t="s">
        <v>1053</v>
      </c>
      <c r="D34" s="402" t="s">
        <v>7388</v>
      </c>
      <c r="E34" s="402" t="s">
        <v>442</v>
      </c>
      <c r="F34" s="402" t="s">
        <v>191</v>
      </c>
      <c r="G34" s="401">
        <v>2</v>
      </c>
      <c r="H34" s="400">
        <v>35271.166000000005</v>
      </c>
      <c r="I34" s="399">
        <v>33827.699999999997</v>
      </c>
      <c r="J34" s="399">
        <v>50387.380000000005</v>
      </c>
      <c r="K34" s="398" t="s">
        <v>1033</v>
      </c>
    </row>
    <row r="35" spans="1:11" s="364" customFormat="1" x14ac:dyDescent="0.3">
      <c r="A35" s="402" t="s">
        <v>874</v>
      </c>
      <c r="C35" s="402" t="s">
        <v>1053</v>
      </c>
      <c r="D35" s="402" t="s">
        <v>7402</v>
      </c>
      <c r="E35" s="402" t="s">
        <v>442</v>
      </c>
      <c r="F35" s="402" t="s">
        <v>191</v>
      </c>
      <c r="G35" s="401">
        <v>1</v>
      </c>
      <c r="H35" s="400">
        <v>52292.1</v>
      </c>
      <c r="I35" s="399">
        <v>41177.629999999997</v>
      </c>
      <c r="J35" s="399">
        <v>74703</v>
      </c>
      <c r="K35" s="398" t="s">
        <v>1033</v>
      </c>
    </row>
    <row r="36" spans="1:11" s="364" customFormat="1" x14ac:dyDescent="0.3">
      <c r="A36" s="402" t="s">
        <v>3776</v>
      </c>
      <c r="C36" s="402" t="s">
        <v>1053</v>
      </c>
      <c r="D36" s="402" t="s">
        <v>3775</v>
      </c>
      <c r="E36" s="402" t="s">
        <v>667</v>
      </c>
      <c r="F36" s="402" t="s">
        <v>191</v>
      </c>
      <c r="G36" s="401">
        <v>3</v>
      </c>
      <c r="H36" s="400">
        <v>33190.828999999998</v>
      </c>
      <c r="I36" s="399">
        <v>31781.43</v>
      </c>
      <c r="J36" s="399">
        <v>47415.47</v>
      </c>
      <c r="K36" s="398" t="s">
        <v>1033</v>
      </c>
    </row>
    <row r="37" spans="1:11" s="364" customFormat="1" x14ac:dyDescent="0.3">
      <c r="A37" s="402" t="s">
        <v>7415</v>
      </c>
      <c r="C37" s="402" t="s">
        <v>1053</v>
      </c>
      <c r="D37" s="402" t="s">
        <v>7414</v>
      </c>
      <c r="E37" s="402" t="s">
        <v>7413</v>
      </c>
      <c r="F37" s="402" t="s">
        <v>191</v>
      </c>
      <c r="G37" s="401">
        <v>8</v>
      </c>
      <c r="H37" s="400">
        <v>52292.1</v>
      </c>
      <c r="I37" s="399">
        <v>51367.49</v>
      </c>
      <c r="J37" s="399">
        <v>74703</v>
      </c>
      <c r="K37" s="398" t="s">
        <v>1033</v>
      </c>
    </row>
    <row r="38" spans="1:11" s="364" customFormat="1" x14ac:dyDescent="0.3">
      <c r="A38" s="402" t="s">
        <v>7421</v>
      </c>
      <c r="C38" s="402" t="s">
        <v>1053</v>
      </c>
      <c r="D38" s="402" t="s">
        <v>7420</v>
      </c>
      <c r="E38" s="402" t="s">
        <v>442</v>
      </c>
      <c r="F38" s="402" t="s">
        <v>191</v>
      </c>
      <c r="G38" s="401">
        <v>1</v>
      </c>
      <c r="H38" s="400">
        <v>44790.284000000007</v>
      </c>
      <c r="I38" s="399">
        <v>1631.13</v>
      </c>
      <c r="J38" s="399">
        <v>63986.12</v>
      </c>
      <c r="K38" s="398" t="s">
        <v>1033</v>
      </c>
    </row>
    <row r="39" spans="1:11" s="364" customFormat="1" x14ac:dyDescent="0.3">
      <c r="A39" s="402" t="s">
        <v>7425</v>
      </c>
      <c r="C39" s="402" t="s">
        <v>1053</v>
      </c>
      <c r="D39" s="402" t="s">
        <v>7424</v>
      </c>
      <c r="E39" s="402" t="s">
        <v>442</v>
      </c>
      <c r="F39" s="402" t="s">
        <v>191</v>
      </c>
      <c r="G39" s="401">
        <v>7</v>
      </c>
      <c r="H39" s="400">
        <v>27436.492999999999</v>
      </c>
      <c r="I39" s="399">
        <v>26951.360000000001</v>
      </c>
      <c r="J39" s="399">
        <v>39194.99</v>
      </c>
      <c r="K39" s="398" t="s">
        <v>1033</v>
      </c>
    </row>
    <row r="40" spans="1:11" s="364" customFormat="1" x14ac:dyDescent="0.3">
      <c r="A40" s="402" t="s">
        <v>3595</v>
      </c>
      <c r="C40" s="402" t="s">
        <v>1053</v>
      </c>
      <c r="D40" s="402" t="s">
        <v>3594</v>
      </c>
      <c r="E40" s="402" t="s">
        <v>3593</v>
      </c>
      <c r="F40" s="402" t="s">
        <v>191</v>
      </c>
      <c r="G40" s="401">
        <v>2</v>
      </c>
      <c r="H40" s="400">
        <v>33285.392</v>
      </c>
      <c r="I40" s="399">
        <v>1848.74</v>
      </c>
      <c r="J40" s="399">
        <v>47550.559999999998</v>
      </c>
      <c r="K40" s="398" t="s">
        <v>1033</v>
      </c>
    </row>
    <row r="41" spans="1:11" s="364" customFormat="1" x14ac:dyDescent="0.3">
      <c r="A41" s="402" t="s">
        <v>3572</v>
      </c>
      <c r="C41" s="402" t="s">
        <v>1053</v>
      </c>
      <c r="D41" s="402" t="s">
        <v>3571</v>
      </c>
      <c r="E41" s="402" t="s">
        <v>3570</v>
      </c>
      <c r="F41" s="402" t="s">
        <v>191</v>
      </c>
      <c r="G41" s="401">
        <v>1</v>
      </c>
      <c r="H41" s="400">
        <v>1474.1229999999998</v>
      </c>
      <c r="I41" s="399">
        <v>141.07</v>
      </c>
      <c r="J41" s="399">
        <v>2105.89</v>
      </c>
      <c r="K41" s="398" t="s">
        <v>1033</v>
      </c>
    </row>
    <row r="42" spans="1:11" s="364" customFormat="1" x14ac:dyDescent="0.3">
      <c r="A42" s="402" t="s">
        <v>3774</v>
      </c>
      <c r="C42" s="402" t="s">
        <v>1053</v>
      </c>
      <c r="D42" s="402" t="s">
        <v>3773</v>
      </c>
      <c r="E42" s="402" t="s">
        <v>3593</v>
      </c>
      <c r="F42" s="402" t="s">
        <v>191</v>
      </c>
      <c r="G42" s="401">
        <v>1</v>
      </c>
      <c r="H42" s="400">
        <v>68485.634000000005</v>
      </c>
      <c r="I42" s="399">
        <v>42675.270000000004</v>
      </c>
      <c r="J42" s="399">
        <v>97836.62</v>
      </c>
      <c r="K42" s="398" t="s">
        <v>1033</v>
      </c>
    </row>
    <row r="43" spans="1:11" s="364" customFormat="1" x14ac:dyDescent="0.3">
      <c r="A43" s="402" t="s">
        <v>3778</v>
      </c>
      <c r="C43" s="402" t="s">
        <v>1053</v>
      </c>
      <c r="D43" s="402" t="s">
        <v>3777</v>
      </c>
      <c r="E43" s="402" t="s">
        <v>667</v>
      </c>
      <c r="F43" s="402" t="s">
        <v>191</v>
      </c>
      <c r="G43" s="401">
        <v>4</v>
      </c>
      <c r="H43" s="400">
        <v>33285.392</v>
      </c>
      <c r="I43" s="399">
        <v>32673.62</v>
      </c>
      <c r="J43" s="399">
        <v>47550.559999999998</v>
      </c>
      <c r="K43" s="398" t="s">
        <v>1033</v>
      </c>
    </row>
    <row r="44" spans="1:11" s="364" customFormat="1" x14ac:dyDescent="0.3">
      <c r="A44" s="402" t="s">
        <v>3782</v>
      </c>
      <c r="C44" s="402" t="s">
        <v>1053</v>
      </c>
      <c r="D44" s="402" t="s">
        <v>3781</v>
      </c>
      <c r="E44" s="402" t="s">
        <v>667</v>
      </c>
      <c r="F44" s="402" t="s">
        <v>191</v>
      </c>
      <c r="G44" s="401">
        <v>1</v>
      </c>
      <c r="H44" s="400">
        <v>21890.82</v>
      </c>
      <c r="I44" s="399">
        <v>20953.54</v>
      </c>
      <c r="J44" s="399">
        <v>31272.600000000002</v>
      </c>
      <c r="K44" s="398" t="s">
        <v>1033</v>
      </c>
    </row>
    <row r="45" spans="1:11" hidden="1" x14ac:dyDescent="0.3">
      <c r="A45" s="397" t="s">
        <v>665</v>
      </c>
      <c r="C45" s="397" t="s">
        <v>1053</v>
      </c>
      <c r="D45" s="397" t="s">
        <v>7387</v>
      </c>
      <c r="E45" s="397" t="s">
        <v>444</v>
      </c>
      <c r="F45" s="397" t="s">
        <v>191</v>
      </c>
      <c r="G45" s="396">
        <v>44</v>
      </c>
      <c r="H45" s="395">
        <v>27359.583999999999</v>
      </c>
      <c r="I45" s="394">
        <v>26875.81</v>
      </c>
      <c r="J45" s="394">
        <v>39085.120000000003</v>
      </c>
      <c r="K45" s="393" t="s">
        <v>1033</v>
      </c>
    </row>
    <row r="46" spans="1:11" hidden="1" x14ac:dyDescent="0.3">
      <c r="A46" s="397" t="s">
        <v>3597</v>
      </c>
      <c r="C46" s="397" t="s">
        <v>1053</v>
      </c>
      <c r="D46" s="397" t="s">
        <v>3596</v>
      </c>
      <c r="E46" s="397" t="s">
        <v>667</v>
      </c>
      <c r="F46" s="397" t="s">
        <v>191</v>
      </c>
      <c r="G46" s="396">
        <v>1</v>
      </c>
      <c r="H46" s="395">
        <v>29051.246000000003</v>
      </c>
      <c r="I46" s="394">
        <v>7738.78</v>
      </c>
      <c r="J46" s="394">
        <v>41501.78</v>
      </c>
      <c r="K46" s="393" t="s">
        <v>1033</v>
      </c>
    </row>
    <row r="47" spans="1:11" hidden="1" x14ac:dyDescent="0.3">
      <c r="A47" s="397" t="s">
        <v>3770</v>
      </c>
      <c r="C47" s="397" t="s">
        <v>1053</v>
      </c>
      <c r="D47" s="397" t="s">
        <v>3769</v>
      </c>
      <c r="E47" s="397" t="s">
        <v>3768</v>
      </c>
      <c r="F47" s="397" t="s">
        <v>191</v>
      </c>
      <c r="G47" s="396">
        <v>7</v>
      </c>
      <c r="H47" s="395">
        <v>33994.597000000002</v>
      </c>
      <c r="I47" s="394">
        <v>1775.17</v>
      </c>
      <c r="J47" s="394">
        <v>48563.71</v>
      </c>
      <c r="K47" s="393" t="s">
        <v>1033</v>
      </c>
    </row>
    <row r="48" spans="1:11" hidden="1" x14ac:dyDescent="0.3">
      <c r="A48" s="397" t="s">
        <v>7391</v>
      </c>
      <c r="C48" s="397" t="s">
        <v>1053</v>
      </c>
      <c r="D48" s="397" t="s">
        <v>7390</v>
      </c>
      <c r="E48" s="397" t="s">
        <v>442</v>
      </c>
      <c r="F48" s="397" t="s">
        <v>191</v>
      </c>
      <c r="G48" s="396">
        <v>2</v>
      </c>
      <c r="H48" s="395">
        <v>47690.146000000001</v>
      </c>
      <c r="I48" s="394">
        <v>46185.090000000004</v>
      </c>
      <c r="J48" s="394">
        <v>68128.78</v>
      </c>
      <c r="K48" s="393" t="s">
        <v>1033</v>
      </c>
    </row>
    <row r="49" spans="1:12" hidden="1" x14ac:dyDescent="0.3">
      <c r="A49" s="397" t="s">
        <v>3767</v>
      </c>
      <c r="C49" s="397" t="s">
        <v>1053</v>
      </c>
      <c r="D49" s="397" t="s">
        <v>3766</v>
      </c>
      <c r="E49" s="397" t="s">
        <v>3765</v>
      </c>
      <c r="F49" s="397" t="s">
        <v>191</v>
      </c>
      <c r="G49" s="396">
        <v>47</v>
      </c>
      <c r="H49" s="395">
        <v>32647.103999999999</v>
      </c>
      <c r="I49" s="394">
        <v>32069.84</v>
      </c>
      <c r="J49" s="394">
        <v>46638.720000000001</v>
      </c>
      <c r="K49" s="393" t="s">
        <v>1033</v>
      </c>
    </row>
    <row r="50" spans="1:12" hidden="1" x14ac:dyDescent="0.3">
      <c r="A50" s="397" t="s">
        <v>7397</v>
      </c>
      <c r="C50" s="397" t="s">
        <v>1053</v>
      </c>
      <c r="D50" s="397" t="s">
        <v>7396</v>
      </c>
      <c r="E50" s="397" t="s">
        <v>442</v>
      </c>
      <c r="F50" s="397" t="s">
        <v>191</v>
      </c>
      <c r="G50" s="396">
        <v>3</v>
      </c>
      <c r="H50" s="395">
        <v>47154.302999999993</v>
      </c>
      <c r="I50" s="394">
        <v>45214.35</v>
      </c>
      <c r="J50" s="394">
        <v>67363.289999999994</v>
      </c>
      <c r="K50" s="393" t="s">
        <v>1033</v>
      </c>
    </row>
    <row r="51" spans="1:12" hidden="1" x14ac:dyDescent="0.3">
      <c r="A51" s="397" t="s">
        <v>7395</v>
      </c>
      <c r="C51" s="397" t="s">
        <v>1053</v>
      </c>
      <c r="D51" s="397" t="s">
        <v>7394</v>
      </c>
      <c r="E51" s="397" t="s">
        <v>442</v>
      </c>
      <c r="F51" s="397" t="s">
        <v>191</v>
      </c>
      <c r="G51" s="396">
        <v>4</v>
      </c>
      <c r="H51" s="395">
        <v>47343.422000000006</v>
      </c>
      <c r="I51" s="394">
        <v>46506.3</v>
      </c>
      <c r="J51" s="394">
        <v>67633.460000000006</v>
      </c>
      <c r="K51" s="393" t="s">
        <v>1033</v>
      </c>
    </row>
    <row r="52" spans="1:12" hidden="1" x14ac:dyDescent="0.3">
      <c r="A52" s="397" t="s">
        <v>7393</v>
      </c>
      <c r="C52" s="397" t="s">
        <v>1053</v>
      </c>
      <c r="D52" s="397" t="s">
        <v>7392</v>
      </c>
      <c r="E52" s="397" t="s">
        <v>442</v>
      </c>
      <c r="F52" s="397" t="s">
        <v>191</v>
      </c>
      <c r="G52" s="396">
        <v>13</v>
      </c>
      <c r="H52" s="395">
        <v>25345.754000000001</v>
      </c>
      <c r="I52" s="394">
        <v>24927.16</v>
      </c>
      <c r="J52" s="394">
        <v>36208.22</v>
      </c>
      <c r="K52" s="393" t="s">
        <v>1033</v>
      </c>
    </row>
    <row r="53" spans="1:12" hidden="1" x14ac:dyDescent="0.3">
      <c r="A53" s="397" t="s">
        <v>7419</v>
      </c>
      <c r="C53" s="397" t="s">
        <v>1053</v>
      </c>
      <c r="D53" s="397" t="s">
        <v>7418</v>
      </c>
      <c r="E53" s="397" t="s">
        <v>442</v>
      </c>
      <c r="F53" s="397" t="s">
        <v>191</v>
      </c>
      <c r="G53" s="396">
        <v>2</v>
      </c>
      <c r="H53" s="395">
        <v>44790.284000000007</v>
      </c>
      <c r="I53" s="394">
        <v>42077.35</v>
      </c>
      <c r="J53" s="394">
        <v>63986.12</v>
      </c>
      <c r="K53" s="393" t="s">
        <v>1033</v>
      </c>
    </row>
    <row r="54" spans="1:12" hidden="1" x14ac:dyDescent="0.3">
      <c r="A54" s="397" t="s">
        <v>460</v>
      </c>
      <c r="C54" s="397" t="s">
        <v>1053</v>
      </c>
      <c r="D54" s="397" t="s">
        <v>7306</v>
      </c>
      <c r="E54" s="397" t="s">
        <v>7305</v>
      </c>
      <c r="F54" s="397" t="s">
        <v>191</v>
      </c>
      <c r="G54" s="396">
        <v>1</v>
      </c>
      <c r="H54" s="395">
        <v>62817.692000000003</v>
      </c>
      <c r="I54" s="394">
        <v>61679.57</v>
      </c>
      <c r="J54" s="394">
        <v>89739.56</v>
      </c>
      <c r="K54" s="393" t="s">
        <v>1033</v>
      </c>
    </row>
    <row r="55" spans="1:12" hidden="1" x14ac:dyDescent="0.3">
      <c r="A55" s="397" t="s">
        <v>2411</v>
      </c>
      <c r="C55" s="397" t="s">
        <v>1053</v>
      </c>
      <c r="D55" s="397" t="s">
        <v>2410</v>
      </c>
      <c r="E55" s="397" t="s">
        <v>705</v>
      </c>
      <c r="F55" s="397" t="s">
        <v>191</v>
      </c>
      <c r="G55" s="396">
        <v>2</v>
      </c>
      <c r="H55" s="395">
        <v>45614.849000000002</v>
      </c>
      <c r="I55" s="394">
        <v>43736.800000000003</v>
      </c>
      <c r="J55" s="394">
        <v>65164.07</v>
      </c>
      <c r="K55" s="393" t="s">
        <v>1033</v>
      </c>
    </row>
    <row r="56" spans="1:12" hidden="1" x14ac:dyDescent="0.3">
      <c r="A56" s="397" t="s">
        <v>2403</v>
      </c>
      <c r="C56" s="397" t="s">
        <v>1053</v>
      </c>
      <c r="D56" s="397" t="s">
        <v>2402</v>
      </c>
      <c r="E56" s="397" t="s">
        <v>705</v>
      </c>
      <c r="F56" s="397" t="s">
        <v>191</v>
      </c>
      <c r="G56" s="396">
        <v>44</v>
      </c>
      <c r="H56" s="395">
        <v>11881.246999999999</v>
      </c>
      <c r="I56" s="394">
        <v>11671.16</v>
      </c>
      <c r="J56" s="394">
        <v>16973.21</v>
      </c>
      <c r="K56" s="393" t="s">
        <v>1033</v>
      </c>
    </row>
    <row r="57" spans="1:12" hidden="1" x14ac:dyDescent="0.3">
      <c r="A57" s="397" t="s">
        <v>2406</v>
      </c>
      <c r="C57" s="397" t="s">
        <v>1053</v>
      </c>
      <c r="D57" s="397" t="s">
        <v>2405</v>
      </c>
      <c r="E57" s="397" t="s">
        <v>358</v>
      </c>
      <c r="F57" s="397" t="s">
        <v>191</v>
      </c>
      <c r="G57" s="396">
        <v>50</v>
      </c>
      <c r="H57" s="395">
        <v>10365.754000000001</v>
      </c>
      <c r="I57" s="394">
        <v>10182.459999999999</v>
      </c>
      <c r="J57" s="394">
        <v>14808.220000000001</v>
      </c>
      <c r="K57" s="393" t="s">
        <v>1033</v>
      </c>
      <c r="L57" s="395">
        <v>4</v>
      </c>
    </row>
    <row r="58" spans="1:12" hidden="1" x14ac:dyDescent="0.3">
      <c r="A58" s="397" t="s">
        <v>2404</v>
      </c>
      <c r="C58" s="397" t="s">
        <v>1053</v>
      </c>
      <c r="D58" s="397" t="s">
        <v>707</v>
      </c>
      <c r="E58" s="397" t="s">
        <v>705</v>
      </c>
      <c r="F58" s="397" t="s">
        <v>191</v>
      </c>
      <c r="G58" s="396">
        <v>243</v>
      </c>
      <c r="H58" s="395">
        <v>11691.652</v>
      </c>
      <c r="I58" s="394">
        <v>11484.92</v>
      </c>
      <c r="J58" s="394">
        <v>16702.36</v>
      </c>
      <c r="K58" s="393" t="s">
        <v>1033</v>
      </c>
      <c r="L58" s="395">
        <v>210</v>
      </c>
    </row>
    <row r="59" spans="1:12" hidden="1" x14ac:dyDescent="0.3">
      <c r="A59" s="397" t="s">
        <v>4436</v>
      </c>
      <c r="C59" s="397" t="s">
        <v>1053</v>
      </c>
      <c r="D59" s="397" t="s">
        <v>4435</v>
      </c>
      <c r="E59" s="397" t="s">
        <v>4434</v>
      </c>
      <c r="F59" s="397" t="s">
        <v>191</v>
      </c>
      <c r="G59" s="396">
        <v>1</v>
      </c>
      <c r="H59" s="395">
        <v>157558.56200000001</v>
      </c>
      <c r="I59" s="394">
        <v>130957.33</v>
      </c>
      <c r="J59" s="394">
        <v>225083.66</v>
      </c>
      <c r="K59" s="393" t="s">
        <v>1033</v>
      </c>
    </row>
    <row r="60" spans="1:12" hidden="1" x14ac:dyDescent="0.3">
      <c r="A60" s="397" t="s">
        <v>4441</v>
      </c>
      <c r="C60" s="397" t="s">
        <v>1053</v>
      </c>
      <c r="D60" s="397" t="s">
        <v>4440</v>
      </c>
      <c r="E60" s="397" t="s">
        <v>4437</v>
      </c>
      <c r="F60" s="397" t="s">
        <v>191</v>
      </c>
      <c r="G60" s="396">
        <v>3</v>
      </c>
      <c r="H60" s="395">
        <v>74895.527000000002</v>
      </c>
      <c r="I60" s="394">
        <v>48134.82</v>
      </c>
      <c r="J60" s="394">
        <v>106993.61</v>
      </c>
      <c r="K60" s="393" t="s">
        <v>1033</v>
      </c>
    </row>
    <row r="61" spans="1:12" hidden="1" x14ac:dyDescent="0.3">
      <c r="A61" s="397" t="s">
        <v>7323</v>
      </c>
      <c r="C61" s="397" t="s">
        <v>1053</v>
      </c>
      <c r="D61" s="397" t="s">
        <v>7322</v>
      </c>
      <c r="E61" s="397" t="s">
        <v>7321</v>
      </c>
      <c r="F61" s="397" t="s">
        <v>191</v>
      </c>
      <c r="G61" s="396">
        <v>5</v>
      </c>
      <c r="H61" s="395">
        <v>122708.355</v>
      </c>
      <c r="I61" s="394">
        <v>98338.1</v>
      </c>
      <c r="J61" s="394">
        <v>175297.65</v>
      </c>
      <c r="K61" s="393" t="s">
        <v>1033</v>
      </c>
    </row>
    <row r="62" spans="1:12" s="364" customFormat="1" x14ac:dyDescent="0.3">
      <c r="A62" s="402" t="s">
        <v>706</v>
      </c>
      <c r="C62" s="402" t="s">
        <v>1053</v>
      </c>
      <c r="D62" s="402" t="s">
        <v>361</v>
      </c>
      <c r="E62" s="402" t="s">
        <v>362</v>
      </c>
      <c r="F62" s="402" t="s">
        <v>191</v>
      </c>
      <c r="G62" s="401">
        <v>25</v>
      </c>
      <c r="H62" s="400">
        <v>17820.383000000002</v>
      </c>
      <c r="I62" s="399">
        <v>17505.27</v>
      </c>
      <c r="J62" s="399">
        <v>25457.690000000002</v>
      </c>
      <c r="K62" s="398" t="s">
        <v>1033</v>
      </c>
      <c r="L62" s="400">
        <v>9</v>
      </c>
    </row>
    <row r="63" spans="1:12" s="364" customFormat="1" x14ac:dyDescent="0.3">
      <c r="A63" s="402" t="s">
        <v>4439</v>
      </c>
      <c r="C63" s="402" t="s">
        <v>1053</v>
      </c>
      <c r="D63" s="402" t="s">
        <v>4438</v>
      </c>
      <c r="E63" s="402" t="s">
        <v>4437</v>
      </c>
      <c r="F63" s="402" t="s">
        <v>191</v>
      </c>
      <c r="G63" s="401">
        <v>4</v>
      </c>
      <c r="H63" s="400">
        <v>74895.527000000002</v>
      </c>
      <c r="I63" s="399">
        <v>70685.14</v>
      </c>
      <c r="J63" s="399">
        <v>106993.61</v>
      </c>
      <c r="K63" s="398" t="s">
        <v>1033</v>
      </c>
    </row>
    <row r="64" spans="1:12" s="364" customFormat="1" x14ac:dyDescent="0.3">
      <c r="A64" s="402" t="s">
        <v>447</v>
      </c>
      <c r="C64" s="402" t="s">
        <v>1053</v>
      </c>
      <c r="D64" s="402" t="s">
        <v>4448</v>
      </c>
      <c r="E64" s="402" t="s">
        <v>4447</v>
      </c>
      <c r="F64" s="402" t="s">
        <v>191</v>
      </c>
      <c r="G64" s="401">
        <v>1</v>
      </c>
      <c r="H64" s="400">
        <v>111168.84800000001</v>
      </c>
      <c r="I64" s="399">
        <v>5723.25</v>
      </c>
      <c r="J64" s="399">
        <v>158812.64000000001</v>
      </c>
      <c r="K64" s="398" t="s">
        <v>1033</v>
      </c>
    </row>
    <row r="65" spans="1:12" s="364" customFormat="1" x14ac:dyDescent="0.3">
      <c r="A65" s="402" t="s">
        <v>4446</v>
      </c>
      <c r="C65" s="402" t="s">
        <v>1053</v>
      </c>
      <c r="D65" s="402" t="s">
        <v>4445</v>
      </c>
      <c r="E65" s="402" t="s">
        <v>4437</v>
      </c>
      <c r="F65" s="402" t="s">
        <v>191</v>
      </c>
      <c r="G65" s="401">
        <v>2</v>
      </c>
      <c r="H65" s="400">
        <v>124881.96</v>
      </c>
      <c r="I65" s="399">
        <v>122623</v>
      </c>
      <c r="J65" s="399">
        <v>178402.80000000002</v>
      </c>
      <c r="K65" s="398" t="s">
        <v>1033</v>
      </c>
      <c r="L65" s="400">
        <v>1</v>
      </c>
    </row>
    <row r="66" spans="1:12" s="364" customFormat="1" x14ac:dyDescent="0.3">
      <c r="A66" s="402" t="s">
        <v>4433</v>
      </c>
      <c r="C66" s="402" t="s">
        <v>1053</v>
      </c>
      <c r="D66" s="402" t="s">
        <v>4432</v>
      </c>
      <c r="E66" s="402" t="s">
        <v>4431</v>
      </c>
      <c r="F66" s="402" t="s">
        <v>191</v>
      </c>
      <c r="G66" s="401">
        <v>1</v>
      </c>
      <c r="H66" s="400">
        <v>125922.74099999999</v>
      </c>
      <c r="I66" s="399">
        <v>109859.02</v>
      </c>
      <c r="J66" s="399">
        <v>179889.63</v>
      </c>
      <c r="K66" s="398" t="s">
        <v>1033</v>
      </c>
    </row>
    <row r="67" spans="1:12" s="364" customFormat="1" x14ac:dyDescent="0.3">
      <c r="A67" s="402" t="s">
        <v>4444</v>
      </c>
      <c r="C67" s="402" t="s">
        <v>1053</v>
      </c>
      <c r="D67" s="402" t="s">
        <v>4443</v>
      </c>
      <c r="E67" s="402" t="s">
        <v>4442</v>
      </c>
      <c r="F67" s="402" t="s">
        <v>191</v>
      </c>
      <c r="G67" s="401">
        <v>4</v>
      </c>
      <c r="H67" s="400">
        <v>171821.258</v>
      </c>
      <c r="I67" s="399">
        <v>16630.28</v>
      </c>
      <c r="J67" s="399">
        <v>245458.94</v>
      </c>
      <c r="K67" s="398" t="s">
        <v>1033</v>
      </c>
    </row>
    <row r="68" spans="1:12" s="364" customFormat="1" x14ac:dyDescent="0.3">
      <c r="A68" s="402" t="s">
        <v>7301</v>
      </c>
      <c r="C68" s="402" t="s">
        <v>1053</v>
      </c>
      <c r="D68" s="402" t="s">
        <v>7300</v>
      </c>
      <c r="E68" s="402" t="s">
        <v>456</v>
      </c>
      <c r="F68" s="402" t="s">
        <v>191</v>
      </c>
      <c r="G68" s="401">
        <v>10</v>
      </c>
      <c r="H68" s="400">
        <v>138153.274</v>
      </c>
      <c r="I68" s="399">
        <v>133674.4</v>
      </c>
      <c r="J68" s="399">
        <v>197361.82</v>
      </c>
      <c r="K68" s="398" t="s">
        <v>1033</v>
      </c>
    </row>
    <row r="69" spans="1:12" s="364" customFormat="1" x14ac:dyDescent="0.3">
      <c r="A69" s="402" t="s">
        <v>2409</v>
      </c>
      <c r="C69" s="402" t="s">
        <v>1053</v>
      </c>
      <c r="D69" s="402" t="s">
        <v>2408</v>
      </c>
      <c r="E69" s="402" t="s">
        <v>705</v>
      </c>
      <c r="F69" s="402" t="s">
        <v>191</v>
      </c>
      <c r="G69" s="401">
        <v>3</v>
      </c>
      <c r="H69" s="400">
        <v>45614.849000000002</v>
      </c>
      <c r="I69" s="399">
        <v>42879.22</v>
      </c>
      <c r="J69" s="399">
        <v>65164.07</v>
      </c>
      <c r="K69" s="398" t="s">
        <v>1033</v>
      </c>
    </row>
    <row r="70" spans="1:12" hidden="1" x14ac:dyDescent="0.3">
      <c r="A70" s="397" t="s">
        <v>4430</v>
      </c>
      <c r="C70" s="397" t="s">
        <v>1053</v>
      </c>
      <c r="D70" s="397" t="s">
        <v>4429</v>
      </c>
      <c r="E70" s="397" t="s">
        <v>4428</v>
      </c>
      <c r="F70" s="397" t="s">
        <v>191</v>
      </c>
      <c r="G70" s="396">
        <v>1</v>
      </c>
      <c r="H70" s="395">
        <v>308480.66200000001</v>
      </c>
      <c r="I70" s="394">
        <v>38300.82</v>
      </c>
      <c r="J70" s="394">
        <v>440686.66000000003</v>
      </c>
      <c r="K70" s="393" t="s">
        <v>1033</v>
      </c>
    </row>
    <row r="71" spans="1:12" hidden="1" x14ac:dyDescent="0.3">
      <c r="A71" s="397" t="s">
        <v>2418</v>
      </c>
      <c r="B71" s="397" t="s">
        <v>2417</v>
      </c>
      <c r="C71" s="397" t="s">
        <v>1053</v>
      </c>
      <c r="D71" s="397" t="s">
        <v>2416</v>
      </c>
      <c r="E71" s="397" t="s">
        <v>705</v>
      </c>
      <c r="F71" s="397" t="s">
        <v>191</v>
      </c>
      <c r="G71" s="396">
        <v>90</v>
      </c>
      <c r="H71" s="395">
        <v>18472.132000000001</v>
      </c>
      <c r="I71" s="394">
        <v>18145.509999999998</v>
      </c>
      <c r="J71" s="394">
        <v>26388.760000000002</v>
      </c>
      <c r="K71" s="393" t="s">
        <v>1033</v>
      </c>
    </row>
    <row r="72" spans="1:12" hidden="1" x14ac:dyDescent="0.3">
      <c r="A72" s="397" t="s">
        <v>7320</v>
      </c>
      <c r="C72" s="397" t="s">
        <v>1053</v>
      </c>
      <c r="D72" s="397" t="s">
        <v>7319</v>
      </c>
      <c r="E72" s="397" t="s">
        <v>7318</v>
      </c>
      <c r="F72" s="397" t="s">
        <v>191</v>
      </c>
      <c r="G72" s="396">
        <v>1</v>
      </c>
      <c r="H72" s="395">
        <v>138123.804</v>
      </c>
      <c r="I72" s="394">
        <v>133891.26</v>
      </c>
      <c r="J72" s="394">
        <v>197319.72</v>
      </c>
      <c r="K72" s="393" t="s">
        <v>1033</v>
      </c>
    </row>
    <row r="73" spans="1:12" hidden="1" x14ac:dyDescent="0.3">
      <c r="A73" s="397" t="s">
        <v>7317</v>
      </c>
      <c r="C73" s="397" t="s">
        <v>1053</v>
      </c>
      <c r="D73" s="397" t="s">
        <v>7316</v>
      </c>
      <c r="E73" s="397" t="s">
        <v>7315</v>
      </c>
      <c r="F73" s="397" t="s">
        <v>191</v>
      </c>
      <c r="G73" s="396">
        <v>4</v>
      </c>
      <c r="H73" s="395">
        <v>118413.561</v>
      </c>
      <c r="I73" s="394">
        <v>115889.79000000001</v>
      </c>
      <c r="J73" s="394">
        <v>169162.23</v>
      </c>
      <c r="K73" s="393" t="s">
        <v>1033</v>
      </c>
    </row>
    <row r="74" spans="1:12" hidden="1" x14ac:dyDescent="0.3">
      <c r="A74" s="397" t="s">
        <v>872</v>
      </c>
      <c r="C74" s="397" t="s">
        <v>1053</v>
      </c>
      <c r="D74" s="397" t="s">
        <v>457</v>
      </c>
      <c r="E74" s="397" t="s">
        <v>455</v>
      </c>
      <c r="F74" s="397" t="s">
        <v>191</v>
      </c>
      <c r="G74" s="396">
        <v>36</v>
      </c>
      <c r="H74" s="395">
        <v>50733.55</v>
      </c>
      <c r="I74" s="394">
        <v>47025.11</v>
      </c>
      <c r="J74" s="394">
        <v>72476.5</v>
      </c>
      <c r="K74" s="393" t="s">
        <v>1033</v>
      </c>
      <c r="L74" s="395">
        <v>33</v>
      </c>
    </row>
    <row r="75" spans="1:12" hidden="1" x14ac:dyDescent="0.3">
      <c r="A75" s="397" t="s">
        <v>458</v>
      </c>
      <c r="C75" s="397" t="s">
        <v>1053</v>
      </c>
      <c r="D75" s="397" t="s">
        <v>2407</v>
      </c>
      <c r="E75" s="397" t="s">
        <v>358</v>
      </c>
      <c r="F75" s="397" t="s">
        <v>191</v>
      </c>
      <c r="G75" s="396">
        <v>6</v>
      </c>
      <c r="H75" s="395">
        <v>19748.071</v>
      </c>
      <c r="I75" s="394">
        <v>18551.93</v>
      </c>
      <c r="J75" s="394">
        <v>28211.53</v>
      </c>
      <c r="K75" s="393" t="s">
        <v>1033</v>
      </c>
    </row>
    <row r="76" spans="1:12" hidden="1" x14ac:dyDescent="0.3">
      <c r="A76" s="397" t="s">
        <v>7299</v>
      </c>
      <c r="B76" s="397" t="s">
        <v>7298</v>
      </c>
      <c r="C76" s="397" t="s">
        <v>1053</v>
      </c>
      <c r="D76" s="397" t="s">
        <v>459</v>
      </c>
      <c r="E76" s="397" t="s">
        <v>456</v>
      </c>
      <c r="F76" s="397" t="s">
        <v>191</v>
      </c>
      <c r="G76" s="396">
        <v>45</v>
      </c>
      <c r="H76" s="395">
        <v>55054.852999999988</v>
      </c>
      <c r="I76" s="394">
        <v>53872.43</v>
      </c>
      <c r="J76" s="394">
        <v>78649.789999999994</v>
      </c>
      <c r="K76" s="393" t="s">
        <v>1033</v>
      </c>
    </row>
    <row r="77" spans="1:12" hidden="1" x14ac:dyDescent="0.3">
      <c r="A77" s="397" t="s">
        <v>7297</v>
      </c>
      <c r="B77" s="397" t="s">
        <v>7296</v>
      </c>
      <c r="C77" s="397" t="s">
        <v>1053</v>
      </c>
      <c r="D77" s="397" t="s">
        <v>7295</v>
      </c>
      <c r="E77" s="397" t="s">
        <v>456</v>
      </c>
      <c r="F77" s="397" t="s">
        <v>191</v>
      </c>
      <c r="G77" s="396">
        <v>95</v>
      </c>
      <c r="H77" s="395">
        <v>73542.273000000001</v>
      </c>
      <c r="I77" s="394">
        <v>72241.91</v>
      </c>
      <c r="J77" s="394">
        <v>105060.39</v>
      </c>
      <c r="K77" s="393" t="s">
        <v>1033</v>
      </c>
    </row>
    <row r="78" spans="1:12" hidden="1" x14ac:dyDescent="0.3">
      <c r="A78" s="397" t="s">
        <v>449</v>
      </c>
      <c r="C78" s="397" t="s">
        <v>1053</v>
      </c>
      <c r="D78" s="397" t="s">
        <v>7287</v>
      </c>
      <c r="E78" s="397" t="s">
        <v>455</v>
      </c>
      <c r="F78" s="397" t="s">
        <v>191</v>
      </c>
      <c r="G78" s="396">
        <v>1</v>
      </c>
      <c r="H78" s="395">
        <v>146537.66400000002</v>
      </c>
      <c r="I78" s="394">
        <v>140415.18</v>
      </c>
      <c r="J78" s="394">
        <v>209339.52000000002</v>
      </c>
      <c r="K78" s="393" t="s">
        <v>1033</v>
      </c>
    </row>
    <row r="79" spans="1:12" hidden="1" x14ac:dyDescent="0.3">
      <c r="A79" s="397" t="s">
        <v>449</v>
      </c>
      <c r="C79" s="397" t="s">
        <v>1053</v>
      </c>
      <c r="D79" s="397" t="s">
        <v>464</v>
      </c>
      <c r="E79" s="397" t="s">
        <v>455</v>
      </c>
      <c r="F79" s="397" t="s">
        <v>191</v>
      </c>
      <c r="G79" s="396">
        <v>2</v>
      </c>
      <c r="H79" s="395">
        <v>62817.692000000003</v>
      </c>
      <c r="I79" s="394">
        <v>60166.44</v>
      </c>
      <c r="J79" s="394">
        <v>89739.56</v>
      </c>
      <c r="K79" s="393" t="s">
        <v>1033</v>
      </c>
    </row>
    <row r="80" spans="1:12" hidden="1" x14ac:dyDescent="0.3">
      <c r="A80" s="397" t="s">
        <v>7292</v>
      </c>
      <c r="C80" s="397" t="s">
        <v>1053</v>
      </c>
      <c r="D80" s="397" t="s">
        <v>7291</v>
      </c>
      <c r="E80" s="397" t="s">
        <v>455</v>
      </c>
      <c r="F80" s="397" t="s">
        <v>191</v>
      </c>
      <c r="G80" s="396">
        <v>4</v>
      </c>
      <c r="H80" s="395">
        <v>71141.217000000004</v>
      </c>
      <c r="I80" s="394">
        <v>66802.61</v>
      </c>
      <c r="J80" s="394">
        <v>101630.31</v>
      </c>
      <c r="K80" s="393" t="s">
        <v>1033</v>
      </c>
    </row>
    <row r="81" spans="1:12" hidden="1" x14ac:dyDescent="0.3">
      <c r="A81" s="397" t="s">
        <v>7668</v>
      </c>
      <c r="C81" s="397" t="s">
        <v>1053</v>
      </c>
      <c r="D81" s="397" t="s">
        <v>7667</v>
      </c>
      <c r="E81" s="397" t="s">
        <v>7666</v>
      </c>
      <c r="F81" s="397" t="s">
        <v>191</v>
      </c>
      <c r="G81" s="396">
        <v>3</v>
      </c>
      <c r="H81" s="395">
        <v>58528.477000000006</v>
      </c>
      <c r="I81" s="394">
        <v>57545.270000000004</v>
      </c>
      <c r="J81" s="394">
        <v>83612.11</v>
      </c>
      <c r="K81" s="393" t="s">
        <v>1033</v>
      </c>
    </row>
    <row r="82" spans="1:12" hidden="1" x14ac:dyDescent="0.3">
      <c r="A82" s="397" t="s">
        <v>360</v>
      </c>
      <c r="C82" s="397" t="s">
        <v>1053</v>
      </c>
      <c r="D82" s="397" t="s">
        <v>7294</v>
      </c>
      <c r="E82" s="397" t="s">
        <v>7293</v>
      </c>
      <c r="F82" s="397" t="s">
        <v>191</v>
      </c>
      <c r="G82" s="396">
        <v>5</v>
      </c>
      <c r="H82" s="395">
        <v>73662.834000000003</v>
      </c>
      <c r="I82" s="394">
        <v>72329.38</v>
      </c>
      <c r="J82" s="394">
        <v>105232.62</v>
      </c>
      <c r="K82" s="393" t="s">
        <v>1033</v>
      </c>
    </row>
    <row r="83" spans="1:12" hidden="1" x14ac:dyDescent="0.3">
      <c r="A83" s="397" t="s">
        <v>7314</v>
      </c>
      <c r="C83" s="397" t="s">
        <v>1053</v>
      </c>
      <c r="D83" s="397" t="s">
        <v>7313</v>
      </c>
      <c r="E83" s="397" t="s">
        <v>455</v>
      </c>
      <c r="F83" s="397" t="s">
        <v>191</v>
      </c>
      <c r="G83" s="396">
        <v>3</v>
      </c>
      <c r="H83" s="395">
        <v>67831.589000000007</v>
      </c>
      <c r="I83" s="394">
        <v>51815.41</v>
      </c>
      <c r="J83" s="394">
        <v>96902.27</v>
      </c>
      <c r="K83" s="393" t="s">
        <v>1033</v>
      </c>
    </row>
    <row r="84" spans="1:12" hidden="1" x14ac:dyDescent="0.3">
      <c r="A84" s="397" t="s">
        <v>1892</v>
      </c>
      <c r="C84" s="397" t="s">
        <v>1053</v>
      </c>
      <c r="D84" s="397" t="s">
        <v>1891</v>
      </c>
      <c r="E84" s="397" t="s">
        <v>1888</v>
      </c>
      <c r="F84" s="397" t="s">
        <v>191</v>
      </c>
      <c r="G84" s="396">
        <v>6</v>
      </c>
      <c r="H84" s="395">
        <v>20425.125</v>
      </c>
      <c r="I84" s="394">
        <v>1009.83</v>
      </c>
      <c r="J84" s="394">
        <v>29178.75</v>
      </c>
      <c r="K84" s="393" t="s">
        <v>1033</v>
      </c>
    </row>
    <row r="85" spans="1:12" hidden="1" x14ac:dyDescent="0.3">
      <c r="A85" s="397" t="s">
        <v>1894</v>
      </c>
      <c r="C85" s="397" t="s">
        <v>1053</v>
      </c>
      <c r="D85" s="397" t="s">
        <v>1893</v>
      </c>
      <c r="E85" s="397" t="s">
        <v>1888</v>
      </c>
      <c r="F85" s="397" t="s">
        <v>191</v>
      </c>
      <c r="G85" s="396">
        <v>1</v>
      </c>
      <c r="H85" s="395">
        <v>29565.367999999999</v>
      </c>
      <c r="I85" s="394">
        <v>29047.18</v>
      </c>
      <c r="J85" s="394">
        <v>42236.24</v>
      </c>
      <c r="K85" s="393" t="s">
        <v>1033</v>
      </c>
    </row>
    <row r="86" spans="1:12" hidden="1" x14ac:dyDescent="0.3">
      <c r="A86" s="397" t="s">
        <v>1890</v>
      </c>
      <c r="C86" s="397" t="s">
        <v>1053</v>
      </c>
      <c r="D86" s="397" t="s">
        <v>1889</v>
      </c>
      <c r="E86" s="397" t="s">
        <v>1888</v>
      </c>
      <c r="F86" s="397" t="s">
        <v>191</v>
      </c>
      <c r="G86" s="396">
        <v>3</v>
      </c>
      <c r="H86" s="395">
        <v>15713.446000000002</v>
      </c>
      <c r="I86" s="394">
        <v>802.2</v>
      </c>
      <c r="J86" s="394">
        <v>22447.78</v>
      </c>
      <c r="K86" s="393" t="s">
        <v>1033</v>
      </c>
    </row>
    <row r="87" spans="1:12" hidden="1" x14ac:dyDescent="0.3">
      <c r="A87" s="397" t="s">
        <v>7312</v>
      </c>
      <c r="C87" s="397" t="s">
        <v>1053</v>
      </c>
      <c r="D87" s="397" t="s">
        <v>7311</v>
      </c>
      <c r="E87" s="397" t="s">
        <v>455</v>
      </c>
      <c r="F87" s="397" t="s">
        <v>191</v>
      </c>
      <c r="G87" s="396">
        <v>2</v>
      </c>
      <c r="H87" s="395">
        <v>73035.585000000006</v>
      </c>
      <c r="I87" s="394">
        <v>56673.53</v>
      </c>
      <c r="J87" s="394">
        <v>104336.55</v>
      </c>
      <c r="K87" s="393" t="s">
        <v>1033</v>
      </c>
    </row>
    <row r="88" spans="1:12" hidden="1" x14ac:dyDescent="0.3">
      <c r="A88" s="397" t="s">
        <v>8256</v>
      </c>
      <c r="C88" s="397" t="s">
        <v>1053</v>
      </c>
      <c r="D88" s="397" t="s">
        <v>8255</v>
      </c>
      <c r="E88" s="397" t="s">
        <v>358</v>
      </c>
      <c r="F88" s="397" t="s">
        <v>191</v>
      </c>
      <c r="G88" s="396">
        <v>8</v>
      </c>
      <c r="H88" s="395">
        <v>21011.088</v>
      </c>
      <c r="I88" s="394">
        <v>107.4</v>
      </c>
      <c r="J88" s="394">
        <v>30015.84</v>
      </c>
      <c r="K88" s="393" t="s">
        <v>1033</v>
      </c>
    </row>
    <row r="89" spans="1:12" hidden="1" x14ac:dyDescent="0.3">
      <c r="A89" s="397" t="s">
        <v>873</v>
      </c>
      <c r="C89" s="397" t="s">
        <v>1053</v>
      </c>
      <c r="D89" s="397" t="s">
        <v>453</v>
      </c>
      <c r="E89" s="397" t="s">
        <v>454</v>
      </c>
      <c r="F89" s="397" t="s">
        <v>191</v>
      </c>
      <c r="G89" s="396">
        <v>4</v>
      </c>
      <c r="H89" s="395">
        <v>25599.49</v>
      </c>
      <c r="I89" s="394">
        <v>24714.350000000002</v>
      </c>
      <c r="J89" s="394">
        <v>36570.699999999997</v>
      </c>
      <c r="K89" s="393" t="s">
        <v>1033</v>
      </c>
      <c r="L89" s="395">
        <v>1</v>
      </c>
    </row>
    <row r="90" spans="1:12" hidden="1" x14ac:dyDescent="0.3">
      <c r="A90" s="397" t="s">
        <v>7337</v>
      </c>
      <c r="C90" s="397" t="s">
        <v>1053</v>
      </c>
      <c r="D90" s="397" t="s">
        <v>7336</v>
      </c>
      <c r="E90" s="397" t="s">
        <v>455</v>
      </c>
      <c r="F90" s="397" t="s">
        <v>191</v>
      </c>
      <c r="G90" s="396">
        <v>5</v>
      </c>
      <c r="H90" s="395">
        <v>16589.453999999998</v>
      </c>
      <c r="I90" s="394">
        <v>16198.33</v>
      </c>
      <c r="J90" s="394">
        <v>23699.22</v>
      </c>
      <c r="K90" s="393" t="s">
        <v>1033</v>
      </c>
    </row>
    <row r="91" spans="1:12" hidden="1" x14ac:dyDescent="0.3">
      <c r="A91" s="397" t="s">
        <v>8258</v>
      </c>
      <c r="C91" s="397" t="s">
        <v>1053</v>
      </c>
      <c r="D91" s="397" t="s">
        <v>8257</v>
      </c>
      <c r="E91" s="397" t="s">
        <v>362</v>
      </c>
      <c r="F91" s="397" t="s">
        <v>191</v>
      </c>
      <c r="G91" s="396">
        <v>4</v>
      </c>
      <c r="H91" s="395">
        <v>18994.261999999999</v>
      </c>
      <c r="I91" s="394">
        <v>149.05000000000001</v>
      </c>
      <c r="J91" s="394">
        <v>27134.66</v>
      </c>
      <c r="K91" s="393" t="s">
        <v>1033</v>
      </c>
    </row>
    <row r="92" spans="1:12" hidden="1" x14ac:dyDescent="0.3">
      <c r="A92" s="397" t="s">
        <v>908</v>
      </c>
      <c r="C92" s="397" t="s">
        <v>1053</v>
      </c>
      <c r="D92" s="397" t="s">
        <v>359</v>
      </c>
      <c r="E92" s="397" t="s">
        <v>358</v>
      </c>
      <c r="F92" s="397" t="s">
        <v>191</v>
      </c>
      <c r="G92" s="396">
        <v>9</v>
      </c>
      <c r="H92" s="395">
        <v>16531.746000000003</v>
      </c>
      <c r="I92" s="394">
        <v>16239.43</v>
      </c>
      <c r="J92" s="394">
        <v>23616.78</v>
      </c>
      <c r="K92" s="393" t="s">
        <v>1033</v>
      </c>
    </row>
    <row r="93" spans="1:12" hidden="1" x14ac:dyDescent="0.3">
      <c r="A93" s="397" t="s">
        <v>7288</v>
      </c>
      <c r="C93" s="397" t="s">
        <v>1053</v>
      </c>
      <c r="D93" s="397" t="s">
        <v>463</v>
      </c>
      <c r="E93" s="397" t="s">
        <v>455</v>
      </c>
      <c r="F93" s="397" t="s">
        <v>191</v>
      </c>
      <c r="G93" s="396">
        <v>5</v>
      </c>
      <c r="H93" s="395">
        <v>55507.172000000006</v>
      </c>
      <c r="I93" s="394">
        <v>53157.82</v>
      </c>
      <c r="J93" s="394">
        <v>79295.960000000006</v>
      </c>
      <c r="K93" s="393" t="s">
        <v>1033</v>
      </c>
    </row>
    <row r="94" spans="1:12" hidden="1" x14ac:dyDescent="0.3">
      <c r="A94" s="397" t="s">
        <v>4416</v>
      </c>
      <c r="C94" s="397" t="s">
        <v>1053</v>
      </c>
      <c r="D94" s="397" t="s">
        <v>4415</v>
      </c>
      <c r="E94" s="397" t="s">
        <v>4412</v>
      </c>
      <c r="F94" s="397" t="s">
        <v>191</v>
      </c>
      <c r="G94" s="396">
        <v>1</v>
      </c>
      <c r="H94" s="395">
        <v>33010.096000000005</v>
      </c>
      <c r="I94" s="394">
        <v>32905.839999999997</v>
      </c>
      <c r="J94" s="394">
        <v>47157.279999999999</v>
      </c>
      <c r="K94" s="393" t="s">
        <v>1033</v>
      </c>
    </row>
    <row r="95" spans="1:12" hidden="1" x14ac:dyDescent="0.3">
      <c r="A95" s="397" t="s">
        <v>2420</v>
      </c>
      <c r="C95" s="397" t="s">
        <v>1053</v>
      </c>
      <c r="D95" s="397" t="s">
        <v>2419</v>
      </c>
      <c r="E95" s="397" t="s">
        <v>705</v>
      </c>
      <c r="F95" s="397" t="s">
        <v>191</v>
      </c>
      <c r="G95" s="396">
        <v>33</v>
      </c>
      <c r="H95" s="395">
        <v>18472.132000000001</v>
      </c>
      <c r="I95" s="394">
        <v>18145.509999999998</v>
      </c>
      <c r="J95" s="394">
        <v>26388.760000000002</v>
      </c>
      <c r="K95" s="393" t="s">
        <v>1033</v>
      </c>
    </row>
    <row r="96" spans="1:12" hidden="1" x14ac:dyDescent="0.3">
      <c r="A96" s="397" t="s">
        <v>2413</v>
      </c>
      <c r="C96" s="397" t="s">
        <v>1053</v>
      </c>
      <c r="D96" s="397" t="s">
        <v>2412</v>
      </c>
      <c r="E96" s="397" t="s">
        <v>705</v>
      </c>
      <c r="F96" s="397" t="s">
        <v>191</v>
      </c>
      <c r="G96" s="396">
        <v>21</v>
      </c>
      <c r="H96" s="395">
        <v>21111.006000000001</v>
      </c>
      <c r="I96" s="394">
        <v>20766.21</v>
      </c>
      <c r="J96" s="394">
        <v>30158.58</v>
      </c>
      <c r="K96" s="393" t="s">
        <v>1033</v>
      </c>
    </row>
    <row r="97" spans="1:11" hidden="1" x14ac:dyDescent="0.3">
      <c r="A97" s="397" t="s">
        <v>7290</v>
      </c>
      <c r="C97" s="397" t="s">
        <v>1053</v>
      </c>
      <c r="D97" s="397" t="s">
        <v>7289</v>
      </c>
      <c r="E97" s="397" t="s">
        <v>455</v>
      </c>
      <c r="F97" s="397" t="s">
        <v>191</v>
      </c>
      <c r="G97" s="396">
        <v>2</v>
      </c>
      <c r="H97" s="395">
        <v>48509.670999999995</v>
      </c>
      <c r="I97" s="394">
        <v>46947.71</v>
      </c>
      <c r="J97" s="394">
        <v>69299.53</v>
      </c>
      <c r="K97" s="393" t="s">
        <v>1033</v>
      </c>
    </row>
    <row r="98" spans="1:11" hidden="1" x14ac:dyDescent="0.3">
      <c r="A98" s="397" t="s">
        <v>7308</v>
      </c>
      <c r="C98" s="397" t="s">
        <v>1053</v>
      </c>
      <c r="D98" s="397" t="s">
        <v>7307</v>
      </c>
      <c r="E98" s="397" t="s">
        <v>455</v>
      </c>
      <c r="F98" s="397" t="s">
        <v>191</v>
      </c>
      <c r="G98" s="396">
        <v>1</v>
      </c>
      <c r="H98" s="395">
        <v>67610.949000000008</v>
      </c>
      <c r="I98" s="394">
        <v>141.66</v>
      </c>
      <c r="J98" s="394">
        <v>96587.07</v>
      </c>
      <c r="K98" s="393" t="s">
        <v>1033</v>
      </c>
    </row>
    <row r="99" spans="1:11" hidden="1" x14ac:dyDescent="0.3">
      <c r="A99" s="397" t="s">
        <v>7310</v>
      </c>
      <c r="C99" s="397" t="s">
        <v>1053</v>
      </c>
      <c r="D99" s="397" t="s">
        <v>7309</v>
      </c>
      <c r="E99" s="397" t="s">
        <v>455</v>
      </c>
      <c r="F99" s="397" t="s">
        <v>191</v>
      </c>
      <c r="G99" s="396">
        <v>1</v>
      </c>
      <c r="H99" s="395">
        <v>57504.734000000004</v>
      </c>
      <c r="I99" s="394">
        <v>319.68</v>
      </c>
      <c r="J99" s="394">
        <v>82149.62</v>
      </c>
      <c r="K99" s="393" t="s">
        <v>1033</v>
      </c>
    </row>
    <row r="100" spans="1:11" hidden="1" x14ac:dyDescent="0.3">
      <c r="A100" s="397" t="s">
        <v>7327</v>
      </c>
      <c r="C100" s="397" t="s">
        <v>1053</v>
      </c>
      <c r="D100" s="397" t="s">
        <v>7326</v>
      </c>
      <c r="E100" s="397" t="s">
        <v>455</v>
      </c>
      <c r="F100" s="397" t="s">
        <v>191</v>
      </c>
      <c r="G100" s="396">
        <v>1</v>
      </c>
      <c r="H100" s="395">
        <v>69596.722999999998</v>
      </c>
      <c r="I100" s="394">
        <v>177.26</v>
      </c>
      <c r="J100" s="394">
        <v>99423.89</v>
      </c>
      <c r="K100" s="393" t="s">
        <v>1033</v>
      </c>
    </row>
    <row r="101" spans="1:11" s="364" customFormat="1" x14ac:dyDescent="0.3">
      <c r="A101" s="402" t="s">
        <v>7673</v>
      </c>
      <c r="C101" s="402" t="s">
        <v>1053</v>
      </c>
      <c r="D101" s="402" t="s">
        <v>7672</v>
      </c>
      <c r="E101" s="402" t="s">
        <v>705</v>
      </c>
      <c r="F101" s="402" t="s">
        <v>191</v>
      </c>
      <c r="G101" s="401">
        <v>1</v>
      </c>
      <c r="H101" s="400">
        <v>16094.239</v>
      </c>
      <c r="J101" s="399">
        <v>22991.77</v>
      </c>
      <c r="K101" s="398" t="s">
        <v>1033</v>
      </c>
    </row>
    <row r="102" spans="1:11" s="364" customFormat="1" x14ac:dyDescent="0.3">
      <c r="A102" s="402" t="s">
        <v>2415</v>
      </c>
      <c r="C102" s="402" t="s">
        <v>1053</v>
      </c>
      <c r="D102" s="402" t="s">
        <v>2414</v>
      </c>
      <c r="E102" s="402" t="s">
        <v>705</v>
      </c>
      <c r="F102" s="402" t="s">
        <v>191</v>
      </c>
      <c r="G102" s="401">
        <v>1</v>
      </c>
      <c r="H102" s="400">
        <v>22473.941000000003</v>
      </c>
      <c r="I102" s="399">
        <v>20497.77</v>
      </c>
      <c r="J102" s="399">
        <v>32105.63</v>
      </c>
      <c r="K102" s="398" t="s">
        <v>1033</v>
      </c>
    </row>
    <row r="103" spans="1:11" s="364" customFormat="1" x14ac:dyDescent="0.3">
      <c r="A103" s="402" t="s">
        <v>909</v>
      </c>
      <c r="C103" s="402" t="s">
        <v>1053</v>
      </c>
      <c r="D103" s="402" t="s">
        <v>357</v>
      </c>
      <c r="E103" s="402" t="s">
        <v>358</v>
      </c>
      <c r="F103" s="402" t="s">
        <v>191</v>
      </c>
      <c r="G103" s="401">
        <v>2</v>
      </c>
      <c r="H103" s="400">
        <v>18994.261999999999</v>
      </c>
      <c r="I103" s="399">
        <v>13633.09</v>
      </c>
      <c r="J103" s="399">
        <v>27134.66</v>
      </c>
      <c r="K103" s="398" t="s">
        <v>1033</v>
      </c>
    </row>
    <row r="104" spans="1:11" s="364" customFormat="1" x14ac:dyDescent="0.3">
      <c r="A104" s="402" t="s">
        <v>6679</v>
      </c>
      <c r="C104" s="402" t="s">
        <v>1053</v>
      </c>
      <c r="D104" s="402" t="s">
        <v>539</v>
      </c>
      <c r="E104" s="402" t="s">
        <v>537</v>
      </c>
      <c r="F104" s="402" t="s">
        <v>191</v>
      </c>
      <c r="G104" s="401">
        <v>6</v>
      </c>
      <c r="H104" s="400">
        <v>177088.359</v>
      </c>
      <c r="I104" s="399">
        <v>173927.09</v>
      </c>
      <c r="J104" s="399">
        <v>252983.37</v>
      </c>
      <c r="K104" s="398" t="s">
        <v>1033</v>
      </c>
    </row>
    <row r="105" spans="1:11" s="364" customFormat="1" x14ac:dyDescent="0.3">
      <c r="A105" s="402" t="s">
        <v>855</v>
      </c>
      <c r="C105" s="402" t="s">
        <v>1053</v>
      </c>
      <c r="D105" s="402" t="s">
        <v>529</v>
      </c>
      <c r="E105" s="402" t="s">
        <v>525</v>
      </c>
      <c r="F105" s="402" t="s">
        <v>191</v>
      </c>
      <c r="G105" s="401">
        <v>2</v>
      </c>
      <c r="H105" s="400">
        <v>158682.41899999999</v>
      </c>
      <c r="I105" s="399">
        <v>155846.6</v>
      </c>
      <c r="J105" s="399">
        <v>226689.17</v>
      </c>
      <c r="K105" s="398" t="s">
        <v>1033</v>
      </c>
    </row>
    <row r="106" spans="1:11" s="364" customFormat="1" x14ac:dyDescent="0.3">
      <c r="A106" s="402" t="s">
        <v>8166</v>
      </c>
      <c r="C106" s="402" t="s">
        <v>1053</v>
      </c>
      <c r="D106" s="402" t="s">
        <v>8165</v>
      </c>
      <c r="E106" s="402" t="s">
        <v>8164</v>
      </c>
      <c r="F106" s="402" t="s">
        <v>191</v>
      </c>
      <c r="G106" s="401">
        <v>2</v>
      </c>
      <c r="H106" s="400">
        <v>218024.02300000002</v>
      </c>
      <c r="I106" s="399">
        <v>167133.91</v>
      </c>
      <c r="J106" s="399">
        <v>311462.89</v>
      </c>
      <c r="K106" s="398" t="s">
        <v>1033</v>
      </c>
    </row>
    <row r="107" spans="1:11" s="364" customFormat="1" x14ac:dyDescent="0.3">
      <c r="A107" s="402" t="s">
        <v>8136</v>
      </c>
      <c r="C107" s="402" t="s">
        <v>1053</v>
      </c>
      <c r="D107" s="402" t="s">
        <v>8135</v>
      </c>
      <c r="E107" s="402" t="s">
        <v>1175</v>
      </c>
      <c r="F107" s="402" t="s">
        <v>191</v>
      </c>
      <c r="G107" s="401">
        <v>1</v>
      </c>
      <c r="H107" s="400">
        <v>10466.953000000001</v>
      </c>
      <c r="I107" s="399">
        <v>326.77999999999997</v>
      </c>
      <c r="J107" s="399">
        <v>14952.79</v>
      </c>
      <c r="K107" s="398" t="s">
        <v>1033</v>
      </c>
    </row>
    <row r="108" spans="1:11" s="364" customFormat="1" x14ac:dyDescent="0.3">
      <c r="A108" s="402" t="s">
        <v>8126</v>
      </c>
      <c r="C108" s="402" t="s">
        <v>1053</v>
      </c>
      <c r="D108" s="402" t="s">
        <v>8125</v>
      </c>
      <c r="E108" s="402" t="s">
        <v>1175</v>
      </c>
      <c r="F108" s="402" t="s">
        <v>191</v>
      </c>
      <c r="G108" s="401">
        <v>5</v>
      </c>
      <c r="H108" s="400">
        <v>103307.63800000001</v>
      </c>
      <c r="I108" s="399">
        <v>3587.58</v>
      </c>
      <c r="J108" s="399">
        <v>147582.34</v>
      </c>
      <c r="K108" s="398" t="s">
        <v>1033</v>
      </c>
    </row>
    <row r="109" spans="1:11" s="364" customFormat="1" x14ac:dyDescent="0.3">
      <c r="A109" s="402" t="s">
        <v>8140</v>
      </c>
      <c r="C109" s="402" t="s">
        <v>1053</v>
      </c>
      <c r="D109" s="402" t="s">
        <v>8139</v>
      </c>
      <c r="E109" s="402" t="s">
        <v>1175</v>
      </c>
      <c r="F109" s="402" t="s">
        <v>191</v>
      </c>
      <c r="G109" s="401">
        <v>1</v>
      </c>
      <c r="H109" s="400">
        <v>122621.674</v>
      </c>
      <c r="I109" s="399">
        <v>5327.79</v>
      </c>
      <c r="J109" s="399">
        <v>175173.82</v>
      </c>
      <c r="K109" s="398" t="s">
        <v>1033</v>
      </c>
    </row>
    <row r="110" spans="1:11" s="364" customFormat="1" x14ac:dyDescent="0.3">
      <c r="A110" s="402" t="s">
        <v>8118</v>
      </c>
      <c r="C110" s="402" t="s">
        <v>1053</v>
      </c>
      <c r="D110" s="402" t="s">
        <v>8117</v>
      </c>
      <c r="E110" s="402" t="s">
        <v>1175</v>
      </c>
      <c r="F110" s="402" t="s">
        <v>191</v>
      </c>
      <c r="G110" s="401">
        <v>2</v>
      </c>
      <c r="H110" s="400">
        <v>147086.114</v>
      </c>
      <c r="I110" s="399">
        <v>5664.51</v>
      </c>
      <c r="J110" s="399">
        <v>210123.02000000002</v>
      </c>
      <c r="K110" s="398" t="s">
        <v>1033</v>
      </c>
    </row>
    <row r="111" spans="1:11" hidden="1" x14ac:dyDescent="0.3">
      <c r="A111" s="397" t="s">
        <v>8193</v>
      </c>
      <c r="C111" s="397" t="s">
        <v>1053</v>
      </c>
      <c r="D111" s="397" t="s">
        <v>8192</v>
      </c>
      <c r="E111" s="397" t="s">
        <v>8191</v>
      </c>
      <c r="F111" s="397" t="s">
        <v>191</v>
      </c>
      <c r="G111" s="396">
        <v>4</v>
      </c>
      <c r="H111" s="395">
        <v>159507.117</v>
      </c>
      <c r="I111" s="394">
        <v>156713.87</v>
      </c>
      <c r="J111" s="394">
        <v>227867.31</v>
      </c>
      <c r="K111" s="393" t="s">
        <v>1033</v>
      </c>
    </row>
    <row r="112" spans="1:11" hidden="1" x14ac:dyDescent="0.3">
      <c r="A112" s="397" t="s">
        <v>8128</v>
      </c>
      <c r="C112" s="397" t="s">
        <v>1053</v>
      </c>
      <c r="D112" s="397" t="s">
        <v>8127</v>
      </c>
      <c r="E112" s="397" t="s">
        <v>1175</v>
      </c>
      <c r="F112" s="397" t="s">
        <v>191</v>
      </c>
      <c r="G112" s="396">
        <v>1</v>
      </c>
      <c r="H112" s="395">
        <v>108907.211</v>
      </c>
      <c r="I112" s="394">
        <v>9529.35</v>
      </c>
      <c r="J112" s="394">
        <v>155581.73000000001</v>
      </c>
      <c r="K112" s="393" t="s">
        <v>1033</v>
      </c>
    </row>
    <row r="113" spans="1:12" hidden="1" x14ac:dyDescent="0.3">
      <c r="A113" s="397" t="s">
        <v>8173</v>
      </c>
      <c r="C113" s="397" t="s">
        <v>1053</v>
      </c>
      <c r="D113" s="397" t="s">
        <v>8172</v>
      </c>
      <c r="E113" s="397" t="s">
        <v>1175</v>
      </c>
      <c r="F113" s="397" t="s">
        <v>191</v>
      </c>
      <c r="G113" s="396">
        <v>1</v>
      </c>
      <c r="H113" s="395">
        <v>154482.342</v>
      </c>
      <c r="I113" s="394">
        <v>1962.19</v>
      </c>
      <c r="J113" s="394">
        <v>220689.06</v>
      </c>
      <c r="K113" s="393" t="s">
        <v>1033</v>
      </c>
    </row>
    <row r="114" spans="1:12" hidden="1" x14ac:dyDescent="0.3">
      <c r="A114" s="397" t="s">
        <v>8124</v>
      </c>
      <c r="C114" s="397" t="s">
        <v>1053</v>
      </c>
      <c r="D114" s="397" t="s">
        <v>8123</v>
      </c>
      <c r="E114" s="397" t="s">
        <v>1175</v>
      </c>
      <c r="F114" s="397" t="s">
        <v>191</v>
      </c>
      <c r="G114" s="396">
        <v>5</v>
      </c>
      <c r="H114" s="395">
        <v>103260.353</v>
      </c>
      <c r="I114" s="394">
        <v>101434.53</v>
      </c>
      <c r="J114" s="394">
        <v>147514.79</v>
      </c>
      <c r="K114" s="393" t="s">
        <v>1033</v>
      </c>
      <c r="L114" s="395">
        <v>1</v>
      </c>
    </row>
    <row r="115" spans="1:12" hidden="1" x14ac:dyDescent="0.3">
      <c r="A115" s="397" t="s">
        <v>8144</v>
      </c>
      <c r="C115" s="397" t="s">
        <v>1053</v>
      </c>
      <c r="D115" s="397" t="s">
        <v>392</v>
      </c>
      <c r="E115" s="397" t="s">
        <v>393</v>
      </c>
      <c r="F115" s="397" t="s">
        <v>191</v>
      </c>
      <c r="G115" s="396">
        <v>2</v>
      </c>
      <c r="H115" s="395">
        <v>132024.16500000001</v>
      </c>
      <c r="I115" s="394">
        <v>127802.12000000001</v>
      </c>
      <c r="J115" s="394">
        <v>188605.95</v>
      </c>
      <c r="K115" s="393" t="s">
        <v>1033</v>
      </c>
    </row>
    <row r="116" spans="1:12" hidden="1" x14ac:dyDescent="0.3">
      <c r="A116" s="397" t="s">
        <v>8149</v>
      </c>
      <c r="C116" s="397" t="s">
        <v>1053</v>
      </c>
      <c r="D116" s="397" t="s">
        <v>8148</v>
      </c>
      <c r="E116" s="397" t="s">
        <v>1175</v>
      </c>
      <c r="F116" s="397" t="s">
        <v>191</v>
      </c>
      <c r="G116" s="396">
        <v>1</v>
      </c>
      <c r="H116" s="395">
        <v>189306.86600000001</v>
      </c>
      <c r="I116" s="394">
        <v>145331.51999999999</v>
      </c>
      <c r="J116" s="394">
        <v>270438.38</v>
      </c>
      <c r="K116" s="393" t="s">
        <v>1033</v>
      </c>
    </row>
    <row r="117" spans="1:12" hidden="1" x14ac:dyDescent="0.3">
      <c r="A117" s="397" t="s">
        <v>8116</v>
      </c>
      <c r="C117" s="397" t="s">
        <v>1053</v>
      </c>
      <c r="D117" s="397" t="s">
        <v>397</v>
      </c>
      <c r="E117" s="397" t="s">
        <v>398</v>
      </c>
      <c r="F117" s="397" t="s">
        <v>191</v>
      </c>
      <c r="G117" s="396">
        <v>4</v>
      </c>
      <c r="H117" s="395">
        <v>103654.985</v>
      </c>
      <c r="I117" s="394">
        <v>101845.72</v>
      </c>
      <c r="J117" s="394">
        <v>148078.54999999999</v>
      </c>
      <c r="K117" s="393" t="s">
        <v>1033</v>
      </c>
      <c r="L117" s="395">
        <v>2</v>
      </c>
    </row>
    <row r="118" spans="1:12" hidden="1" x14ac:dyDescent="0.3">
      <c r="A118" s="397" t="s">
        <v>8188</v>
      </c>
      <c r="C118" s="397" t="s">
        <v>1053</v>
      </c>
      <c r="D118" s="397" t="s">
        <v>8187</v>
      </c>
      <c r="E118" s="397" t="s">
        <v>1175</v>
      </c>
      <c r="F118" s="397" t="s">
        <v>191</v>
      </c>
      <c r="G118" s="396">
        <v>2</v>
      </c>
      <c r="H118" s="395">
        <v>204159.84399999998</v>
      </c>
      <c r="I118" s="394">
        <v>178163.09</v>
      </c>
      <c r="J118" s="394">
        <v>291656.92</v>
      </c>
      <c r="K118" s="393" t="s">
        <v>1033</v>
      </c>
    </row>
    <row r="119" spans="1:12" hidden="1" x14ac:dyDescent="0.3">
      <c r="A119" s="397" t="s">
        <v>8180</v>
      </c>
      <c r="C119" s="397" t="s">
        <v>1053</v>
      </c>
      <c r="D119" s="397" t="s">
        <v>8179</v>
      </c>
      <c r="E119" s="397" t="s">
        <v>1175</v>
      </c>
      <c r="F119" s="397" t="s">
        <v>191</v>
      </c>
      <c r="G119" s="396">
        <v>3</v>
      </c>
      <c r="H119" s="395">
        <v>122800.18800000001</v>
      </c>
      <c r="I119" s="394">
        <v>8914.19</v>
      </c>
      <c r="J119" s="394">
        <v>175428.84</v>
      </c>
      <c r="K119" s="393" t="s">
        <v>1033</v>
      </c>
    </row>
    <row r="120" spans="1:12" hidden="1" x14ac:dyDescent="0.3">
      <c r="A120" s="397" t="s">
        <v>8151</v>
      </c>
      <c r="C120" s="397" t="s">
        <v>1053</v>
      </c>
      <c r="D120" s="397" t="s">
        <v>8150</v>
      </c>
      <c r="E120" s="397" t="s">
        <v>1169</v>
      </c>
      <c r="F120" s="397" t="s">
        <v>191</v>
      </c>
      <c r="G120" s="396">
        <v>1</v>
      </c>
      <c r="H120" s="395">
        <v>140109.109</v>
      </c>
      <c r="I120" s="394">
        <v>12215.37</v>
      </c>
      <c r="J120" s="394">
        <v>200155.87</v>
      </c>
      <c r="K120" s="393" t="s">
        <v>1033</v>
      </c>
    </row>
    <row r="121" spans="1:12" hidden="1" x14ac:dyDescent="0.3">
      <c r="A121" s="397" t="s">
        <v>8169</v>
      </c>
      <c r="C121" s="397" t="s">
        <v>1053</v>
      </c>
      <c r="D121" s="397" t="s">
        <v>8168</v>
      </c>
      <c r="E121" s="397" t="s">
        <v>8167</v>
      </c>
      <c r="F121" s="397" t="s">
        <v>191</v>
      </c>
      <c r="G121" s="396">
        <v>2</v>
      </c>
      <c r="H121" s="395">
        <v>189123.73199999999</v>
      </c>
      <c r="I121" s="394">
        <v>145165.95000000001</v>
      </c>
      <c r="J121" s="394">
        <v>270176.76</v>
      </c>
      <c r="K121" s="393" t="s">
        <v>1033</v>
      </c>
    </row>
    <row r="122" spans="1:12" hidden="1" x14ac:dyDescent="0.3">
      <c r="A122" s="397" t="s">
        <v>8204</v>
      </c>
      <c r="C122" s="397" t="s">
        <v>1053</v>
      </c>
      <c r="D122" s="397" t="s">
        <v>379</v>
      </c>
      <c r="E122" s="397" t="s">
        <v>380</v>
      </c>
      <c r="F122" s="397" t="s">
        <v>191</v>
      </c>
      <c r="G122" s="396">
        <v>7</v>
      </c>
      <c r="H122" s="395">
        <v>226797.69</v>
      </c>
      <c r="I122" s="394">
        <v>5284.52</v>
      </c>
      <c r="J122" s="394">
        <v>323996.7</v>
      </c>
      <c r="K122" s="393" t="s">
        <v>1033</v>
      </c>
    </row>
    <row r="123" spans="1:12" hidden="1" x14ac:dyDescent="0.3">
      <c r="A123" s="397" t="s">
        <v>8159</v>
      </c>
      <c r="C123" s="397" t="s">
        <v>1053</v>
      </c>
      <c r="D123" s="397" t="s">
        <v>8158</v>
      </c>
      <c r="E123" s="397" t="s">
        <v>1175</v>
      </c>
      <c r="F123" s="397" t="s">
        <v>191</v>
      </c>
      <c r="G123" s="396">
        <v>3</v>
      </c>
      <c r="H123" s="395">
        <v>180773.39</v>
      </c>
      <c r="I123" s="394">
        <v>6284.5</v>
      </c>
      <c r="J123" s="394">
        <v>258247.7</v>
      </c>
      <c r="K123" s="393" t="s">
        <v>1033</v>
      </c>
    </row>
    <row r="124" spans="1:12" hidden="1" x14ac:dyDescent="0.3">
      <c r="A124" s="397" t="s">
        <v>8157</v>
      </c>
      <c r="C124" s="397" t="s">
        <v>1053</v>
      </c>
      <c r="D124" s="397" t="s">
        <v>8156</v>
      </c>
      <c r="E124" s="397" t="s">
        <v>1175</v>
      </c>
      <c r="F124" s="397" t="s">
        <v>191</v>
      </c>
      <c r="G124" s="396">
        <v>2</v>
      </c>
      <c r="H124" s="395">
        <v>175406.74899999998</v>
      </c>
      <c r="I124" s="394">
        <v>203.56</v>
      </c>
      <c r="J124" s="394">
        <v>250581.07</v>
      </c>
      <c r="K124" s="393" t="s">
        <v>1033</v>
      </c>
    </row>
    <row r="125" spans="1:12" hidden="1" x14ac:dyDescent="0.3">
      <c r="A125" s="397" t="s">
        <v>8155</v>
      </c>
      <c r="C125" s="397" t="s">
        <v>1053</v>
      </c>
      <c r="D125" s="397" t="s">
        <v>8154</v>
      </c>
      <c r="E125" s="397" t="s">
        <v>1175</v>
      </c>
      <c r="F125" s="397" t="s">
        <v>191</v>
      </c>
      <c r="G125" s="396">
        <v>4</v>
      </c>
      <c r="H125" s="395">
        <v>161862.81300000002</v>
      </c>
      <c r="I125" s="394">
        <v>159025.56</v>
      </c>
      <c r="J125" s="394">
        <v>231232.59</v>
      </c>
      <c r="K125" s="393" t="s">
        <v>1033</v>
      </c>
    </row>
    <row r="126" spans="1:12" hidden="1" x14ac:dyDescent="0.3">
      <c r="A126" s="397" t="s">
        <v>8175</v>
      </c>
      <c r="C126" s="397" t="s">
        <v>1053</v>
      </c>
      <c r="D126" s="397" t="s">
        <v>8174</v>
      </c>
      <c r="E126" s="397" t="s">
        <v>1175</v>
      </c>
      <c r="F126" s="397" t="s">
        <v>191</v>
      </c>
      <c r="G126" s="396">
        <v>2</v>
      </c>
      <c r="H126" s="395">
        <v>144679.22699999998</v>
      </c>
      <c r="I126" s="394">
        <v>104.81</v>
      </c>
      <c r="J126" s="394">
        <v>206684.61000000002</v>
      </c>
      <c r="K126" s="393" t="s">
        <v>1033</v>
      </c>
    </row>
    <row r="127" spans="1:12" s="364" customFormat="1" x14ac:dyDescent="0.3">
      <c r="A127" s="402" t="s">
        <v>8122</v>
      </c>
      <c r="C127" s="402" t="s">
        <v>1053</v>
      </c>
      <c r="D127" s="402" t="s">
        <v>8121</v>
      </c>
      <c r="E127" s="402" t="s">
        <v>1175</v>
      </c>
      <c r="F127" s="402" t="s">
        <v>191</v>
      </c>
      <c r="G127" s="401">
        <v>1</v>
      </c>
      <c r="H127" s="400">
        <v>77848.217999999993</v>
      </c>
      <c r="I127" s="399">
        <v>871.88</v>
      </c>
      <c r="J127" s="399">
        <v>111211.74</v>
      </c>
      <c r="K127" s="398" t="s">
        <v>1033</v>
      </c>
    </row>
    <row r="128" spans="1:12" s="364" customFormat="1" x14ac:dyDescent="0.3">
      <c r="A128" s="402" t="s">
        <v>8186</v>
      </c>
      <c r="C128" s="402" t="s">
        <v>1053</v>
      </c>
      <c r="D128" s="402" t="s">
        <v>386</v>
      </c>
      <c r="E128" s="402" t="s">
        <v>387</v>
      </c>
      <c r="F128" s="402" t="s">
        <v>191</v>
      </c>
      <c r="G128" s="401">
        <v>4</v>
      </c>
      <c r="H128" s="400">
        <v>177100.364</v>
      </c>
      <c r="I128" s="399">
        <v>171372.85</v>
      </c>
      <c r="J128" s="399">
        <v>253000.52000000002</v>
      </c>
      <c r="K128" s="398" t="s">
        <v>1033</v>
      </c>
    </row>
    <row r="129" spans="1:12" s="364" customFormat="1" x14ac:dyDescent="0.3">
      <c r="A129" s="402" t="s">
        <v>8120</v>
      </c>
      <c r="C129" s="402" t="s">
        <v>1053</v>
      </c>
      <c r="D129" s="402" t="s">
        <v>8119</v>
      </c>
      <c r="E129" s="402" t="s">
        <v>1175</v>
      </c>
      <c r="F129" s="402" t="s">
        <v>191</v>
      </c>
      <c r="G129" s="401">
        <v>1</v>
      </c>
      <c r="H129" s="400">
        <v>105763.06300000001</v>
      </c>
      <c r="I129" s="399">
        <v>9233.67</v>
      </c>
      <c r="J129" s="399">
        <v>151090.09</v>
      </c>
      <c r="K129" s="398" t="s">
        <v>1033</v>
      </c>
    </row>
    <row r="130" spans="1:12" s="364" customFormat="1" x14ac:dyDescent="0.3">
      <c r="A130" s="402" t="s">
        <v>8195</v>
      </c>
      <c r="C130" s="402" t="s">
        <v>1053</v>
      </c>
      <c r="D130" s="402" t="s">
        <v>8194</v>
      </c>
      <c r="E130" s="402" t="s">
        <v>8145</v>
      </c>
      <c r="F130" s="402" t="s">
        <v>191</v>
      </c>
      <c r="G130" s="401">
        <v>1</v>
      </c>
      <c r="H130" s="400">
        <v>189307.49600000001</v>
      </c>
      <c r="I130" s="399">
        <v>45965.68</v>
      </c>
      <c r="J130" s="399">
        <v>270439.28000000003</v>
      </c>
      <c r="K130" s="398" t="s">
        <v>1033</v>
      </c>
    </row>
    <row r="131" spans="1:12" s="364" customFormat="1" x14ac:dyDescent="0.3">
      <c r="A131" s="402" t="s">
        <v>8131</v>
      </c>
      <c r="C131" s="402" t="s">
        <v>1053</v>
      </c>
      <c r="D131" s="402" t="s">
        <v>8130</v>
      </c>
      <c r="E131" s="402" t="s">
        <v>8129</v>
      </c>
      <c r="F131" s="402" t="s">
        <v>191</v>
      </c>
      <c r="G131" s="401">
        <v>2</v>
      </c>
      <c r="H131" s="400">
        <v>108907.211</v>
      </c>
      <c r="I131" s="399">
        <v>991.14</v>
      </c>
      <c r="J131" s="399">
        <v>155581.73000000001</v>
      </c>
      <c r="K131" s="398" t="s">
        <v>1033</v>
      </c>
    </row>
    <row r="132" spans="1:12" s="364" customFormat="1" x14ac:dyDescent="0.3">
      <c r="A132" s="402" t="s">
        <v>8182</v>
      </c>
      <c r="C132" s="402" t="s">
        <v>1053</v>
      </c>
      <c r="D132" s="402" t="s">
        <v>8181</v>
      </c>
      <c r="E132" s="402" t="s">
        <v>1175</v>
      </c>
      <c r="F132" s="402" t="s">
        <v>191</v>
      </c>
      <c r="G132" s="401">
        <v>9</v>
      </c>
      <c r="H132" s="400">
        <v>226473.03</v>
      </c>
      <c r="I132" s="399">
        <v>222437.63</v>
      </c>
      <c r="J132" s="399">
        <v>323532.90000000002</v>
      </c>
      <c r="K132" s="398" t="s">
        <v>1033</v>
      </c>
    </row>
    <row r="133" spans="1:12" s="364" customFormat="1" x14ac:dyDescent="0.3">
      <c r="A133" s="402" t="s">
        <v>8161</v>
      </c>
      <c r="C133" s="402" t="s">
        <v>1053</v>
      </c>
      <c r="D133" s="402" t="s">
        <v>8160</v>
      </c>
      <c r="E133" s="402" t="s">
        <v>1175</v>
      </c>
      <c r="F133" s="402" t="s">
        <v>191</v>
      </c>
      <c r="G133" s="401">
        <v>1</v>
      </c>
      <c r="H133" s="400">
        <v>157349.43</v>
      </c>
      <c r="I133" s="399">
        <v>130090.59</v>
      </c>
      <c r="J133" s="399">
        <v>224784.9</v>
      </c>
      <c r="K133" s="398" t="s">
        <v>1033</v>
      </c>
    </row>
    <row r="134" spans="1:12" hidden="1" x14ac:dyDescent="0.3">
      <c r="A134" s="397" t="s">
        <v>8171</v>
      </c>
      <c r="C134" s="397" t="s">
        <v>1053</v>
      </c>
      <c r="D134" s="397" t="s">
        <v>8170</v>
      </c>
      <c r="E134" s="397" t="s">
        <v>1175</v>
      </c>
      <c r="F134" s="397" t="s">
        <v>191</v>
      </c>
      <c r="G134" s="396">
        <v>1</v>
      </c>
      <c r="H134" s="395">
        <v>121674.826</v>
      </c>
      <c r="I134" s="394">
        <v>356.81</v>
      </c>
      <c r="J134" s="394">
        <v>173821.18</v>
      </c>
      <c r="K134" s="393" t="s">
        <v>1033</v>
      </c>
    </row>
    <row r="135" spans="1:12" hidden="1" x14ac:dyDescent="0.3">
      <c r="A135" s="397" t="s">
        <v>8178</v>
      </c>
      <c r="C135" s="397" t="s">
        <v>1053</v>
      </c>
      <c r="D135" s="397" t="s">
        <v>8177</v>
      </c>
      <c r="E135" s="397" t="s">
        <v>8176</v>
      </c>
      <c r="F135" s="397" t="s">
        <v>191</v>
      </c>
      <c r="G135" s="396">
        <v>1</v>
      </c>
      <c r="H135" s="395">
        <v>133820.82</v>
      </c>
      <c r="I135" s="394">
        <v>4957.05</v>
      </c>
      <c r="J135" s="394">
        <v>191172.6</v>
      </c>
      <c r="K135" s="393" t="s">
        <v>1033</v>
      </c>
    </row>
    <row r="136" spans="1:12" hidden="1" x14ac:dyDescent="0.3">
      <c r="A136" s="397" t="s">
        <v>8163</v>
      </c>
      <c r="C136" s="397" t="s">
        <v>1053</v>
      </c>
      <c r="D136" s="397" t="s">
        <v>8162</v>
      </c>
      <c r="E136" s="397" t="s">
        <v>1175</v>
      </c>
      <c r="F136" s="397" t="s">
        <v>191</v>
      </c>
      <c r="G136" s="396">
        <v>1</v>
      </c>
      <c r="H136" s="395">
        <v>175406.74899999998</v>
      </c>
      <c r="I136" s="394">
        <v>247.93</v>
      </c>
      <c r="J136" s="394">
        <v>250581.07</v>
      </c>
      <c r="K136" s="393" t="s">
        <v>1033</v>
      </c>
    </row>
    <row r="137" spans="1:12" hidden="1" x14ac:dyDescent="0.3">
      <c r="A137" s="397" t="s">
        <v>8115</v>
      </c>
      <c r="C137" s="397" t="s">
        <v>1053</v>
      </c>
      <c r="D137" s="397" t="s">
        <v>8114</v>
      </c>
      <c r="E137" s="397" t="s">
        <v>8113</v>
      </c>
      <c r="F137" s="397" t="s">
        <v>191</v>
      </c>
      <c r="G137" s="396">
        <v>1</v>
      </c>
      <c r="H137" s="395">
        <v>122018.68699999999</v>
      </c>
      <c r="I137" s="394">
        <v>7906.33</v>
      </c>
      <c r="J137" s="394">
        <v>174312.41</v>
      </c>
      <c r="K137" s="393" t="s">
        <v>1033</v>
      </c>
    </row>
    <row r="138" spans="1:12" hidden="1" x14ac:dyDescent="0.3">
      <c r="A138" s="397" t="s">
        <v>1177</v>
      </c>
      <c r="C138" s="397" t="s">
        <v>1053</v>
      </c>
      <c r="D138" s="397" t="s">
        <v>1176</v>
      </c>
      <c r="E138" s="397" t="s">
        <v>1175</v>
      </c>
      <c r="F138" s="397" t="s">
        <v>191</v>
      </c>
      <c r="G138" s="396">
        <v>1</v>
      </c>
      <c r="H138" s="395">
        <v>201943.77000000002</v>
      </c>
      <c r="I138" s="394">
        <v>641.84</v>
      </c>
      <c r="J138" s="394">
        <v>288491.09999999998</v>
      </c>
      <c r="K138" s="393" t="s">
        <v>1033</v>
      </c>
    </row>
    <row r="139" spans="1:12" hidden="1" x14ac:dyDescent="0.3">
      <c r="A139" s="397" t="s">
        <v>256</v>
      </c>
      <c r="C139" s="397" t="s">
        <v>1053</v>
      </c>
      <c r="D139" s="397" t="s">
        <v>508</v>
      </c>
      <c r="E139" s="397" t="s">
        <v>509</v>
      </c>
      <c r="F139" s="397" t="s">
        <v>191</v>
      </c>
      <c r="G139" s="396">
        <v>17</v>
      </c>
      <c r="H139" s="395">
        <v>251583.815</v>
      </c>
      <c r="I139" s="394">
        <v>247070.57</v>
      </c>
      <c r="J139" s="394">
        <v>359405.45</v>
      </c>
      <c r="K139" s="393" t="s">
        <v>1033</v>
      </c>
      <c r="L139" s="395">
        <v>4</v>
      </c>
    </row>
    <row r="140" spans="1:12" hidden="1" x14ac:dyDescent="0.3">
      <c r="A140" s="397" t="s">
        <v>481</v>
      </c>
      <c r="C140" s="397" t="s">
        <v>1053</v>
      </c>
      <c r="D140" s="397" t="s">
        <v>383</v>
      </c>
      <c r="E140" s="397" t="s">
        <v>384</v>
      </c>
      <c r="F140" s="397" t="s">
        <v>191</v>
      </c>
      <c r="G140" s="396">
        <v>5</v>
      </c>
      <c r="H140" s="395">
        <v>223078.61100000003</v>
      </c>
      <c r="I140" s="394">
        <v>212560.76</v>
      </c>
      <c r="J140" s="394">
        <v>318683.73</v>
      </c>
      <c r="K140" s="393" t="s">
        <v>1033</v>
      </c>
    </row>
    <row r="141" spans="1:12" hidden="1" x14ac:dyDescent="0.3">
      <c r="A141" s="397" t="s">
        <v>8185</v>
      </c>
      <c r="C141" s="397" t="s">
        <v>1053</v>
      </c>
      <c r="D141" s="397" t="s">
        <v>8184</v>
      </c>
      <c r="E141" s="397" t="s">
        <v>8183</v>
      </c>
      <c r="F141" s="397" t="s">
        <v>191</v>
      </c>
      <c r="G141" s="396">
        <v>1</v>
      </c>
      <c r="H141" s="395">
        <v>13733.698999999999</v>
      </c>
      <c r="I141" s="394">
        <v>4607.95</v>
      </c>
      <c r="J141" s="394">
        <v>19619.57</v>
      </c>
      <c r="K141" s="393" t="s">
        <v>1033</v>
      </c>
    </row>
    <row r="142" spans="1:12" hidden="1" x14ac:dyDescent="0.3">
      <c r="A142" s="397" t="s">
        <v>7051</v>
      </c>
      <c r="C142" s="397" t="s">
        <v>1053</v>
      </c>
      <c r="D142" s="397" t="s">
        <v>7050</v>
      </c>
      <c r="E142" s="397" t="s">
        <v>7049</v>
      </c>
      <c r="F142" s="397" t="s">
        <v>191</v>
      </c>
      <c r="G142" s="396">
        <v>1</v>
      </c>
      <c r="H142" s="395">
        <v>529329.598</v>
      </c>
      <c r="I142" s="394">
        <v>18408.96</v>
      </c>
      <c r="J142" s="394">
        <v>756185.14</v>
      </c>
      <c r="K142" s="393" t="s">
        <v>1033</v>
      </c>
    </row>
    <row r="143" spans="1:12" hidden="1" x14ac:dyDescent="0.3">
      <c r="A143" s="397" t="s">
        <v>8198</v>
      </c>
      <c r="C143" s="397" t="s">
        <v>1053</v>
      </c>
      <c r="D143" s="397" t="s">
        <v>8197</v>
      </c>
      <c r="E143" s="397" t="s">
        <v>8196</v>
      </c>
      <c r="F143" s="397" t="s">
        <v>191</v>
      </c>
      <c r="G143" s="396">
        <v>3</v>
      </c>
      <c r="H143" s="395">
        <v>220719.00899999999</v>
      </c>
      <c r="I143" s="394">
        <v>207406.41</v>
      </c>
      <c r="J143" s="394">
        <v>315312.87</v>
      </c>
      <c r="K143" s="393" t="s">
        <v>1033</v>
      </c>
    </row>
    <row r="144" spans="1:12" hidden="1" x14ac:dyDescent="0.3">
      <c r="A144" s="397" t="s">
        <v>1171</v>
      </c>
      <c r="C144" s="397" t="s">
        <v>1053</v>
      </c>
      <c r="D144" s="397" t="s">
        <v>1170</v>
      </c>
      <c r="E144" s="397" t="s">
        <v>1169</v>
      </c>
      <c r="F144" s="397" t="s">
        <v>191</v>
      </c>
      <c r="G144" s="396">
        <v>1</v>
      </c>
      <c r="H144" s="395">
        <v>156772.85400000002</v>
      </c>
      <c r="I144" s="394">
        <v>127706.35</v>
      </c>
      <c r="J144" s="394">
        <v>223961.22</v>
      </c>
      <c r="K144" s="393" t="s">
        <v>1033</v>
      </c>
    </row>
    <row r="145" spans="1:12" hidden="1" x14ac:dyDescent="0.3">
      <c r="A145" s="397" t="s">
        <v>436</v>
      </c>
      <c r="C145" s="397" t="s">
        <v>1053</v>
      </c>
      <c r="D145" s="397" t="s">
        <v>389</v>
      </c>
      <c r="E145" s="397" t="s">
        <v>390</v>
      </c>
      <c r="F145" s="397" t="s">
        <v>191</v>
      </c>
      <c r="G145" s="396">
        <v>20</v>
      </c>
      <c r="H145" s="395">
        <v>202257.90899999999</v>
      </c>
      <c r="I145" s="394">
        <v>200972.59</v>
      </c>
      <c r="J145" s="394">
        <v>288939.87</v>
      </c>
      <c r="K145" s="393" t="s">
        <v>1033</v>
      </c>
      <c r="L145" s="395">
        <v>11</v>
      </c>
    </row>
    <row r="146" spans="1:12" hidden="1" x14ac:dyDescent="0.3">
      <c r="A146" s="397" t="s">
        <v>8153</v>
      </c>
      <c r="C146" s="397" t="s">
        <v>1053</v>
      </c>
      <c r="D146" s="397" t="s">
        <v>8152</v>
      </c>
      <c r="E146" s="397" t="s">
        <v>1169</v>
      </c>
      <c r="F146" s="397" t="s">
        <v>191</v>
      </c>
      <c r="G146" s="396">
        <v>1</v>
      </c>
      <c r="H146" s="395">
        <v>152230.22500000001</v>
      </c>
      <c r="I146" s="394">
        <v>138867.37</v>
      </c>
      <c r="J146" s="394">
        <v>217471.75</v>
      </c>
      <c r="K146" s="393" t="s">
        <v>1033</v>
      </c>
    </row>
    <row r="147" spans="1:12" hidden="1" x14ac:dyDescent="0.3">
      <c r="A147" s="397" t="s">
        <v>8203</v>
      </c>
      <c r="C147" s="397" t="s">
        <v>1053</v>
      </c>
      <c r="D147" s="397" t="s">
        <v>8202</v>
      </c>
      <c r="E147" s="397" t="s">
        <v>1175</v>
      </c>
      <c r="F147" s="397" t="s">
        <v>191</v>
      </c>
      <c r="G147" s="396">
        <v>3</v>
      </c>
      <c r="H147" s="395">
        <v>207932.81600000002</v>
      </c>
      <c r="I147" s="394">
        <v>178755.69</v>
      </c>
      <c r="J147" s="394">
        <v>297046.88</v>
      </c>
      <c r="K147" s="393" t="s">
        <v>1033</v>
      </c>
      <c r="L147" s="395">
        <v>1</v>
      </c>
    </row>
    <row r="148" spans="1:12" hidden="1" x14ac:dyDescent="0.3">
      <c r="A148" s="397" t="s">
        <v>8143</v>
      </c>
      <c r="C148" s="397" t="s">
        <v>1053</v>
      </c>
      <c r="D148" s="397" t="s">
        <v>8142</v>
      </c>
      <c r="E148" s="397" t="s">
        <v>8141</v>
      </c>
      <c r="F148" s="397" t="s">
        <v>191</v>
      </c>
      <c r="G148" s="396">
        <v>3</v>
      </c>
      <c r="H148" s="395">
        <v>106319.395</v>
      </c>
      <c r="I148" s="394">
        <v>99879.67</v>
      </c>
      <c r="J148" s="394">
        <v>151884.85</v>
      </c>
      <c r="K148" s="393" t="s">
        <v>1033</v>
      </c>
    </row>
    <row r="149" spans="1:12" hidden="1" x14ac:dyDescent="0.3">
      <c r="A149" s="397" t="s">
        <v>8138</v>
      </c>
      <c r="C149" s="397" t="s">
        <v>1053</v>
      </c>
      <c r="D149" s="397" t="s">
        <v>8137</v>
      </c>
      <c r="E149" s="397" t="s">
        <v>1175</v>
      </c>
      <c r="F149" s="397" t="s">
        <v>191</v>
      </c>
      <c r="G149" s="396">
        <v>1</v>
      </c>
      <c r="H149" s="395">
        <v>128011.632</v>
      </c>
      <c r="I149" s="394">
        <v>115748.16</v>
      </c>
      <c r="J149" s="394">
        <v>182873.76</v>
      </c>
      <c r="K149" s="393" t="s">
        <v>1033</v>
      </c>
    </row>
    <row r="150" spans="1:12" hidden="1" x14ac:dyDescent="0.3">
      <c r="A150" s="397" t="s">
        <v>8190</v>
      </c>
      <c r="C150" s="397" t="s">
        <v>1053</v>
      </c>
      <c r="D150" s="397" t="s">
        <v>8189</v>
      </c>
      <c r="E150" s="397" t="s">
        <v>1169</v>
      </c>
      <c r="F150" s="397" t="s">
        <v>191</v>
      </c>
      <c r="G150" s="396">
        <v>1</v>
      </c>
      <c r="H150" s="395">
        <v>140109.109</v>
      </c>
      <c r="I150" s="394">
        <v>110714.74</v>
      </c>
      <c r="J150" s="394">
        <v>200155.87</v>
      </c>
      <c r="K150" s="393" t="s">
        <v>1033</v>
      </c>
    </row>
    <row r="151" spans="1:12" hidden="1" x14ac:dyDescent="0.3">
      <c r="A151" s="397" t="s">
        <v>8201</v>
      </c>
      <c r="C151" s="397" t="s">
        <v>1053</v>
      </c>
      <c r="D151" s="397" t="s">
        <v>8200</v>
      </c>
      <c r="E151" s="397" t="s">
        <v>8199</v>
      </c>
      <c r="F151" s="397" t="s">
        <v>191</v>
      </c>
      <c r="G151" s="396">
        <v>3</v>
      </c>
      <c r="H151" s="395">
        <v>232665.88100000002</v>
      </c>
      <c r="I151" s="394">
        <v>1144.42</v>
      </c>
      <c r="J151" s="394">
        <v>332379.83</v>
      </c>
      <c r="K151" s="393" t="s">
        <v>1033</v>
      </c>
    </row>
    <row r="152" spans="1:12" hidden="1" x14ac:dyDescent="0.3">
      <c r="A152" s="397" t="s">
        <v>8134</v>
      </c>
      <c r="C152" s="397" t="s">
        <v>1053</v>
      </c>
      <c r="D152" s="397" t="s">
        <v>8133</v>
      </c>
      <c r="E152" s="397" t="s">
        <v>8132</v>
      </c>
      <c r="F152" s="397" t="s">
        <v>191</v>
      </c>
      <c r="G152" s="396">
        <v>1</v>
      </c>
      <c r="H152" s="395">
        <v>143492.81099999999</v>
      </c>
      <c r="I152" s="394">
        <v>110011.3</v>
      </c>
      <c r="J152" s="394">
        <v>204989.73</v>
      </c>
      <c r="K152" s="393" t="s">
        <v>1033</v>
      </c>
    </row>
    <row r="153" spans="1:12" hidden="1" x14ac:dyDescent="0.3">
      <c r="A153" s="397" t="s">
        <v>8147</v>
      </c>
      <c r="C153" s="397" t="s">
        <v>1053</v>
      </c>
      <c r="D153" s="397" t="s">
        <v>8146</v>
      </c>
      <c r="E153" s="397" t="s">
        <v>8145</v>
      </c>
      <c r="F153" s="397" t="s">
        <v>191</v>
      </c>
      <c r="G153" s="396">
        <v>2</v>
      </c>
      <c r="H153" s="395">
        <v>127108.576</v>
      </c>
      <c r="I153" s="394">
        <v>119409.66</v>
      </c>
      <c r="J153" s="394">
        <v>181583.68</v>
      </c>
      <c r="K153" s="393" t="s">
        <v>1033</v>
      </c>
    </row>
    <row r="154" spans="1:12" hidden="1" x14ac:dyDescent="0.3">
      <c r="A154" s="397" t="s">
        <v>4892</v>
      </c>
      <c r="C154" s="397" t="s">
        <v>1053</v>
      </c>
      <c r="D154" s="397" t="s">
        <v>6681</v>
      </c>
      <c r="E154" s="397" t="s">
        <v>6680</v>
      </c>
      <c r="F154" s="397" t="s">
        <v>191</v>
      </c>
      <c r="G154" s="396">
        <v>11</v>
      </c>
      <c r="H154" s="395">
        <v>164063.557</v>
      </c>
      <c r="I154" s="394">
        <v>161162.63</v>
      </c>
      <c r="J154" s="394">
        <v>234376.51</v>
      </c>
      <c r="K154" s="393" t="s">
        <v>1033</v>
      </c>
    </row>
    <row r="155" spans="1:12" hidden="1" x14ac:dyDescent="0.3">
      <c r="A155" s="397" t="s">
        <v>4892</v>
      </c>
      <c r="C155" s="397" t="s">
        <v>1053</v>
      </c>
      <c r="D155" s="397" t="s">
        <v>4891</v>
      </c>
      <c r="E155" s="397" t="s">
        <v>4890</v>
      </c>
      <c r="F155" s="397" t="s">
        <v>191</v>
      </c>
      <c r="G155" s="396">
        <v>1</v>
      </c>
      <c r="H155" s="395">
        <v>135708.69199999998</v>
      </c>
      <c r="I155" s="394">
        <v>132217.85999999999</v>
      </c>
      <c r="J155" s="394">
        <v>193869.56</v>
      </c>
      <c r="K155" s="393" t="s">
        <v>1033</v>
      </c>
    </row>
    <row r="156" spans="1:12" hidden="1" x14ac:dyDescent="0.3">
      <c r="A156" s="397" t="s">
        <v>6840</v>
      </c>
      <c r="C156" s="397" t="s">
        <v>1053</v>
      </c>
      <c r="D156" s="397" t="s">
        <v>6839</v>
      </c>
      <c r="E156" s="397" t="s">
        <v>6829</v>
      </c>
      <c r="F156" s="397" t="s">
        <v>191</v>
      </c>
      <c r="G156" s="396">
        <v>2</v>
      </c>
      <c r="H156" s="395">
        <v>193565.883</v>
      </c>
      <c r="I156" s="394">
        <v>9631.15</v>
      </c>
      <c r="J156" s="394">
        <v>276522.69</v>
      </c>
      <c r="K156" s="393" t="s">
        <v>1033</v>
      </c>
    </row>
    <row r="157" spans="1:12" hidden="1" x14ac:dyDescent="0.3">
      <c r="A157" s="397" t="s">
        <v>6689</v>
      </c>
      <c r="C157" s="397" t="s">
        <v>1053</v>
      </c>
      <c r="D157" s="397" t="s">
        <v>6688</v>
      </c>
      <c r="E157" s="397" t="s">
        <v>525</v>
      </c>
      <c r="F157" s="397" t="s">
        <v>191</v>
      </c>
      <c r="G157" s="396">
        <v>1</v>
      </c>
      <c r="H157" s="395">
        <v>140612.80100000001</v>
      </c>
      <c r="I157" s="394">
        <v>21731.37</v>
      </c>
      <c r="J157" s="394">
        <v>200875.43</v>
      </c>
      <c r="K157" s="393" t="s">
        <v>1033</v>
      </c>
    </row>
    <row r="158" spans="1:12" hidden="1" x14ac:dyDescent="0.3">
      <c r="A158" s="397" t="s">
        <v>505</v>
      </c>
      <c r="C158" s="397" t="s">
        <v>1053</v>
      </c>
      <c r="D158" s="397" t="s">
        <v>536</v>
      </c>
      <c r="E158" s="397" t="s">
        <v>537</v>
      </c>
      <c r="F158" s="397" t="s">
        <v>191</v>
      </c>
      <c r="G158" s="396">
        <v>4</v>
      </c>
      <c r="H158" s="395">
        <v>165561.71100000001</v>
      </c>
      <c r="I158" s="394">
        <v>158615.09</v>
      </c>
      <c r="J158" s="394">
        <v>236516.73</v>
      </c>
      <c r="K158" s="393" t="s">
        <v>1033</v>
      </c>
      <c r="L158" s="395">
        <v>2</v>
      </c>
    </row>
    <row r="159" spans="1:12" hidden="1" x14ac:dyDescent="0.3">
      <c r="A159" s="397" t="s">
        <v>6674</v>
      </c>
      <c r="C159" s="397" t="s">
        <v>1053</v>
      </c>
      <c r="D159" s="397" t="s">
        <v>6673</v>
      </c>
      <c r="E159" s="397" t="s">
        <v>525</v>
      </c>
      <c r="F159" s="397" t="s">
        <v>191</v>
      </c>
      <c r="G159" s="396">
        <v>2</v>
      </c>
      <c r="H159" s="395">
        <v>180420.989</v>
      </c>
      <c r="I159" s="394">
        <v>7330.26</v>
      </c>
      <c r="J159" s="394">
        <v>257744.27000000002</v>
      </c>
      <c r="K159" s="393" t="s">
        <v>1033</v>
      </c>
    </row>
    <row r="160" spans="1:12" hidden="1" x14ac:dyDescent="0.3">
      <c r="A160" s="397" t="s">
        <v>6834</v>
      </c>
      <c r="C160" s="397" t="s">
        <v>1053</v>
      </c>
      <c r="D160" s="397" t="s">
        <v>6833</v>
      </c>
      <c r="E160" s="397" t="s">
        <v>6832</v>
      </c>
      <c r="F160" s="397" t="s">
        <v>191</v>
      </c>
      <c r="G160" s="396">
        <v>2</v>
      </c>
      <c r="H160" s="395">
        <v>146588.09900000002</v>
      </c>
      <c r="I160" s="394">
        <v>6733.1500000000005</v>
      </c>
      <c r="J160" s="394">
        <v>209411.57</v>
      </c>
      <c r="K160" s="393" t="s">
        <v>1033</v>
      </c>
    </row>
    <row r="161" spans="1:12" hidden="1" x14ac:dyDescent="0.3">
      <c r="A161" s="397" t="s">
        <v>6687</v>
      </c>
      <c r="C161" s="397" t="s">
        <v>1053</v>
      </c>
      <c r="D161" s="397" t="s">
        <v>6686</v>
      </c>
      <c r="E161" s="397" t="s">
        <v>6683</v>
      </c>
      <c r="F161" s="397" t="s">
        <v>191</v>
      </c>
      <c r="G161" s="396">
        <v>2</v>
      </c>
      <c r="H161" s="395">
        <v>131470.98300000001</v>
      </c>
      <c r="I161" s="394">
        <v>20351.52</v>
      </c>
      <c r="J161" s="394">
        <v>187815.69</v>
      </c>
      <c r="K161" s="393" t="s">
        <v>1033</v>
      </c>
    </row>
    <row r="162" spans="1:12" hidden="1" x14ac:dyDescent="0.3">
      <c r="A162" s="397" t="s">
        <v>6831</v>
      </c>
      <c r="C162" s="397" t="s">
        <v>1053</v>
      </c>
      <c r="D162" s="397" t="s">
        <v>6830</v>
      </c>
      <c r="E162" s="397" t="s">
        <v>6829</v>
      </c>
      <c r="F162" s="397" t="s">
        <v>191</v>
      </c>
      <c r="G162" s="396">
        <v>6</v>
      </c>
      <c r="H162" s="395">
        <v>213901.177</v>
      </c>
      <c r="I162" s="394">
        <v>10721.29</v>
      </c>
      <c r="J162" s="394">
        <v>305573.11</v>
      </c>
      <c r="K162" s="393" t="s">
        <v>1033</v>
      </c>
    </row>
    <row r="163" spans="1:12" hidden="1" x14ac:dyDescent="0.3">
      <c r="A163" s="397" t="s">
        <v>650</v>
      </c>
      <c r="C163" s="397" t="s">
        <v>1053</v>
      </c>
      <c r="D163" s="397" t="s">
        <v>6828</v>
      </c>
      <c r="E163" s="397" t="s">
        <v>6827</v>
      </c>
      <c r="F163" s="397" t="s">
        <v>191</v>
      </c>
      <c r="G163" s="396">
        <v>4</v>
      </c>
      <c r="H163" s="395">
        <v>199655.59600000002</v>
      </c>
      <c r="I163" s="394">
        <v>134847.82999999999</v>
      </c>
      <c r="J163" s="394">
        <v>285222.28000000003</v>
      </c>
      <c r="K163" s="393" t="s">
        <v>1033</v>
      </c>
    </row>
    <row r="164" spans="1:12" hidden="1" x14ac:dyDescent="0.3">
      <c r="A164" s="397" t="s">
        <v>6670</v>
      </c>
      <c r="C164" s="397" t="s">
        <v>1053</v>
      </c>
      <c r="D164" s="397" t="s">
        <v>6669</v>
      </c>
      <c r="E164" s="397" t="s">
        <v>525</v>
      </c>
      <c r="F164" s="397" t="s">
        <v>191</v>
      </c>
      <c r="G164" s="396">
        <v>2</v>
      </c>
      <c r="H164" s="395">
        <v>157428.859</v>
      </c>
      <c r="I164" s="394">
        <v>152300.66</v>
      </c>
      <c r="J164" s="394">
        <v>224898.37</v>
      </c>
      <c r="K164" s="393" t="s">
        <v>1033</v>
      </c>
    </row>
    <row r="165" spans="1:12" hidden="1" x14ac:dyDescent="0.3">
      <c r="A165" s="397" t="s">
        <v>6685</v>
      </c>
      <c r="C165" s="397" t="s">
        <v>1053</v>
      </c>
      <c r="D165" s="397" t="s">
        <v>6684</v>
      </c>
      <c r="E165" s="397" t="s">
        <v>6683</v>
      </c>
      <c r="F165" s="397" t="s">
        <v>191</v>
      </c>
      <c r="G165" s="396">
        <v>2</v>
      </c>
      <c r="H165" s="395">
        <v>131470.98300000001</v>
      </c>
      <c r="I165" s="394">
        <v>125977.99</v>
      </c>
      <c r="J165" s="394">
        <v>187815.69</v>
      </c>
      <c r="K165" s="393" t="s">
        <v>1033</v>
      </c>
    </row>
    <row r="166" spans="1:12" hidden="1" x14ac:dyDescent="0.3">
      <c r="A166" s="397" t="s">
        <v>648</v>
      </c>
      <c r="C166" s="397" t="s">
        <v>1053</v>
      </c>
      <c r="D166" s="397" t="s">
        <v>527</v>
      </c>
      <c r="E166" s="397" t="s">
        <v>525</v>
      </c>
      <c r="F166" s="397" t="s">
        <v>191</v>
      </c>
      <c r="G166" s="396">
        <v>4</v>
      </c>
      <c r="H166" s="395">
        <v>158498.97</v>
      </c>
      <c r="I166" s="394">
        <v>153336.32000000001</v>
      </c>
      <c r="J166" s="394">
        <v>226427.1</v>
      </c>
      <c r="K166" s="393" t="s">
        <v>1033</v>
      </c>
      <c r="L166" s="395">
        <v>2</v>
      </c>
    </row>
    <row r="167" spans="1:12" hidden="1" x14ac:dyDescent="0.3">
      <c r="A167" s="397" t="s">
        <v>6225</v>
      </c>
      <c r="C167" s="397" t="s">
        <v>1053</v>
      </c>
      <c r="D167" s="397" t="s">
        <v>6224</v>
      </c>
      <c r="E167" s="397" t="s">
        <v>566</v>
      </c>
      <c r="F167" s="397" t="s">
        <v>191</v>
      </c>
      <c r="G167" s="396">
        <v>3</v>
      </c>
      <c r="H167" s="395">
        <v>80729.677000000011</v>
      </c>
      <c r="I167" s="394">
        <v>79331.649999999994</v>
      </c>
      <c r="J167" s="394">
        <v>115328.11</v>
      </c>
      <c r="K167" s="393" t="s">
        <v>1033</v>
      </c>
    </row>
    <row r="168" spans="1:12" hidden="1" x14ac:dyDescent="0.3">
      <c r="A168" s="397" t="s">
        <v>6202</v>
      </c>
      <c r="C168" s="397" t="s">
        <v>1053</v>
      </c>
      <c r="D168" s="397" t="s">
        <v>6201</v>
      </c>
      <c r="E168" s="397" t="s">
        <v>6200</v>
      </c>
      <c r="F168" s="397" t="s">
        <v>191</v>
      </c>
      <c r="G168" s="396">
        <v>1</v>
      </c>
      <c r="H168" s="395">
        <v>79030.104999999996</v>
      </c>
      <c r="I168" s="394">
        <v>75756.240000000005</v>
      </c>
      <c r="J168" s="394">
        <v>112900.15000000001</v>
      </c>
      <c r="K168" s="393" t="s">
        <v>1033</v>
      </c>
    </row>
    <row r="169" spans="1:12" hidden="1" x14ac:dyDescent="0.3">
      <c r="A169" s="397" t="s">
        <v>6547</v>
      </c>
      <c r="C169" s="397" t="s">
        <v>1053</v>
      </c>
      <c r="D169" s="397" t="s">
        <v>6546</v>
      </c>
      <c r="E169" s="397" t="s">
        <v>6545</v>
      </c>
      <c r="F169" s="397" t="s">
        <v>191</v>
      </c>
      <c r="G169" s="396">
        <v>2</v>
      </c>
      <c r="H169" s="395">
        <v>289251.92100000003</v>
      </c>
      <c r="I169" s="394">
        <v>11912.39</v>
      </c>
      <c r="J169" s="394">
        <v>413217.03</v>
      </c>
      <c r="K169" s="393" t="s">
        <v>1033</v>
      </c>
    </row>
    <row r="170" spans="1:12" hidden="1" x14ac:dyDescent="0.3">
      <c r="A170" s="397" t="s">
        <v>6291</v>
      </c>
      <c r="C170" s="397" t="s">
        <v>1053</v>
      </c>
      <c r="D170" s="397" t="s">
        <v>6290</v>
      </c>
      <c r="E170" s="397" t="s">
        <v>6289</v>
      </c>
      <c r="F170" s="397" t="s">
        <v>191</v>
      </c>
      <c r="G170" s="396">
        <v>2</v>
      </c>
      <c r="H170" s="395">
        <v>126926.394</v>
      </c>
      <c r="I170" s="394">
        <v>87611.97</v>
      </c>
      <c r="J170" s="394">
        <v>181323.42</v>
      </c>
      <c r="K170" s="393" t="s">
        <v>1033</v>
      </c>
    </row>
    <row r="171" spans="1:12" hidden="1" x14ac:dyDescent="0.3">
      <c r="A171" s="397" t="s">
        <v>6254</v>
      </c>
      <c r="C171" s="397" t="s">
        <v>1053</v>
      </c>
      <c r="D171" s="397" t="s">
        <v>6253</v>
      </c>
      <c r="E171" s="397" t="s">
        <v>6252</v>
      </c>
      <c r="F171" s="397" t="s">
        <v>191</v>
      </c>
      <c r="G171" s="396">
        <v>2</v>
      </c>
      <c r="H171" s="395">
        <v>85150.394</v>
      </c>
      <c r="I171" s="394">
        <v>83674.820000000007</v>
      </c>
      <c r="J171" s="394">
        <v>121643.42</v>
      </c>
      <c r="K171" s="393" t="s">
        <v>1033</v>
      </c>
    </row>
    <row r="172" spans="1:12" hidden="1" x14ac:dyDescent="0.3">
      <c r="A172" s="397" t="s">
        <v>6261</v>
      </c>
      <c r="C172" s="397" t="s">
        <v>1053</v>
      </c>
      <c r="D172" s="397" t="s">
        <v>6260</v>
      </c>
      <c r="E172" s="397" t="s">
        <v>6194</v>
      </c>
      <c r="F172" s="397" t="s">
        <v>191</v>
      </c>
      <c r="G172" s="396">
        <v>4</v>
      </c>
      <c r="H172" s="395">
        <v>80019.212</v>
      </c>
      <c r="I172" s="394">
        <v>60839.4</v>
      </c>
      <c r="J172" s="394">
        <v>114313.16</v>
      </c>
      <c r="K172" s="393" t="s">
        <v>1033</v>
      </c>
      <c r="L172" s="395">
        <v>2</v>
      </c>
    </row>
    <row r="173" spans="1:12" hidden="1" x14ac:dyDescent="0.3">
      <c r="A173" s="397" t="s">
        <v>6281</v>
      </c>
      <c r="C173" s="397" t="s">
        <v>1053</v>
      </c>
      <c r="D173" s="397" t="s">
        <v>6280</v>
      </c>
      <c r="E173" s="397" t="s">
        <v>563</v>
      </c>
      <c r="F173" s="397" t="s">
        <v>191</v>
      </c>
      <c r="G173" s="396">
        <v>1</v>
      </c>
      <c r="H173" s="395">
        <v>365672.77600000001</v>
      </c>
      <c r="I173" s="394">
        <v>22204.760000000002</v>
      </c>
      <c r="J173" s="394">
        <v>522389.68</v>
      </c>
      <c r="K173" s="393" t="s">
        <v>1033</v>
      </c>
    </row>
    <row r="174" spans="1:12" hidden="1" x14ac:dyDescent="0.3">
      <c r="A174" s="397" t="s">
        <v>6266</v>
      </c>
      <c r="C174" s="397" t="s">
        <v>1053</v>
      </c>
      <c r="D174" s="397" t="s">
        <v>6265</v>
      </c>
      <c r="E174" s="397" t="s">
        <v>6264</v>
      </c>
      <c r="F174" s="397" t="s">
        <v>191</v>
      </c>
      <c r="G174" s="396">
        <v>1</v>
      </c>
      <c r="H174" s="395">
        <v>147295.72900000002</v>
      </c>
      <c r="I174" s="394">
        <v>101475.19</v>
      </c>
      <c r="J174" s="394">
        <v>210422.47</v>
      </c>
      <c r="K174" s="393" t="s">
        <v>1033</v>
      </c>
    </row>
    <row r="175" spans="1:12" hidden="1" x14ac:dyDescent="0.3">
      <c r="A175" s="397" t="s">
        <v>6238</v>
      </c>
      <c r="C175" s="397" t="s">
        <v>1053</v>
      </c>
      <c r="D175" s="397" t="s">
        <v>6237</v>
      </c>
      <c r="E175" s="397" t="s">
        <v>6197</v>
      </c>
      <c r="F175" s="397" t="s">
        <v>191</v>
      </c>
      <c r="G175" s="396">
        <v>3</v>
      </c>
      <c r="H175" s="395">
        <v>74777.073000000004</v>
      </c>
      <c r="I175" s="394">
        <v>73454.880000000005</v>
      </c>
      <c r="J175" s="394">
        <v>106824.39</v>
      </c>
      <c r="K175" s="393" t="s">
        <v>1033</v>
      </c>
    </row>
    <row r="176" spans="1:12" hidden="1" x14ac:dyDescent="0.3">
      <c r="A176" s="397" t="s">
        <v>6691</v>
      </c>
      <c r="C176" s="397" t="s">
        <v>1053</v>
      </c>
      <c r="D176" s="397" t="s">
        <v>6690</v>
      </c>
      <c r="E176" s="397" t="s">
        <v>6680</v>
      </c>
      <c r="F176" s="397" t="s">
        <v>191</v>
      </c>
      <c r="G176" s="396">
        <v>4</v>
      </c>
      <c r="H176" s="395">
        <v>144159.46300000002</v>
      </c>
      <c r="I176" s="394">
        <v>125767.95</v>
      </c>
      <c r="J176" s="394">
        <v>205942.09</v>
      </c>
      <c r="K176" s="393" t="s">
        <v>1033</v>
      </c>
    </row>
    <row r="177" spans="1:11" hidden="1" x14ac:dyDescent="0.3">
      <c r="A177" s="397" t="s">
        <v>6227</v>
      </c>
      <c r="C177" s="397" t="s">
        <v>1053</v>
      </c>
      <c r="D177" s="397" t="s">
        <v>6226</v>
      </c>
      <c r="E177" s="397" t="s">
        <v>566</v>
      </c>
      <c r="F177" s="397" t="s">
        <v>191</v>
      </c>
      <c r="G177" s="396">
        <v>9</v>
      </c>
      <c r="H177" s="395">
        <v>81061.862000000008</v>
      </c>
      <c r="I177" s="394">
        <v>67069.75</v>
      </c>
      <c r="J177" s="394">
        <v>115802.66</v>
      </c>
      <c r="K177" s="393" t="s">
        <v>1033</v>
      </c>
    </row>
    <row r="178" spans="1:11" hidden="1" x14ac:dyDescent="0.3">
      <c r="A178" s="397" t="s">
        <v>6208</v>
      </c>
      <c r="C178" s="397" t="s">
        <v>1053</v>
      </c>
      <c r="D178" s="397" t="s">
        <v>6207</v>
      </c>
      <c r="E178" s="397" t="s">
        <v>566</v>
      </c>
      <c r="F178" s="397" t="s">
        <v>191</v>
      </c>
      <c r="G178" s="396">
        <v>1</v>
      </c>
      <c r="H178" s="395">
        <v>76676.887000000002</v>
      </c>
      <c r="I178" s="394">
        <v>54560.340000000004</v>
      </c>
      <c r="J178" s="394">
        <v>109538.41</v>
      </c>
      <c r="K178" s="393" t="s">
        <v>1033</v>
      </c>
    </row>
    <row r="179" spans="1:11" hidden="1" x14ac:dyDescent="0.3">
      <c r="A179" s="397" t="s">
        <v>6838</v>
      </c>
      <c r="C179" s="397" t="s">
        <v>1053</v>
      </c>
      <c r="D179" s="397" t="s">
        <v>506</v>
      </c>
      <c r="E179" s="397" t="s">
        <v>507</v>
      </c>
      <c r="F179" s="397" t="s">
        <v>191</v>
      </c>
      <c r="G179" s="396">
        <v>2</v>
      </c>
      <c r="H179" s="395">
        <v>150136.80499999999</v>
      </c>
      <c r="I179" s="394">
        <v>143796.56</v>
      </c>
      <c r="J179" s="394">
        <v>214481.15</v>
      </c>
      <c r="K179" s="393" t="s">
        <v>1033</v>
      </c>
    </row>
    <row r="180" spans="1:11" hidden="1" x14ac:dyDescent="0.3">
      <c r="A180" s="397" t="s">
        <v>6837</v>
      </c>
      <c r="C180" s="397" t="s">
        <v>1053</v>
      </c>
      <c r="D180" s="397" t="s">
        <v>6836</v>
      </c>
      <c r="E180" s="397" t="s">
        <v>6835</v>
      </c>
      <c r="F180" s="397" t="s">
        <v>191</v>
      </c>
      <c r="G180" s="396">
        <v>2</v>
      </c>
      <c r="H180" s="395">
        <v>147404.04699999999</v>
      </c>
      <c r="I180" s="394">
        <v>4403.42</v>
      </c>
      <c r="J180" s="394">
        <v>210577.21</v>
      </c>
      <c r="K180" s="393" t="s">
        <v>1033</v>
      </c>
    </row>
    <row r="181" spans="1:11" hidden="1" x14ac:dyDescent="0.3">
      <c r="A181" s="397" t="s">
        <v>6972</v>
      </c>
      <c r="C181" s="397" t="s">
        <v>1053</v>
      </c>
      <c r="D181" s="397" t="s">
        <v>6971</v>
      </c>
      <c r="E181" s="397" t="s">
        <v>6970</v>
      </c>
      <c r="F181" s="397" t="s">
        <v>191</v>
      </c>
      <c r="G181" s="396">
        <v>1</v>
      </c>
      <c r="H181" s="395">
        <v>256205.79600000003</v>
      </c>
      <c r="I181" s="394">
        <v>544.85</v>
      </c>
      <c r="J181" s="394">
        <v>366008.28</v>
      </c>
      <c r="K181" s="393" t="s">
        <v>1033</v>
      </c>
    </row>
    <row r="182" spans="1:11" hidden="1" x14ac:dyDescent="0.3">
      <c r="A182" s="397" t="s">
        <v>6672</v>
      </c>
      <c r="C182" s="397" t="s">
        <v>1053</v>
      </c>
      <c r="D182" s="397" t="s">
        <v>6671</v>
      </c>
      <c r="E182" s="397" t="s">
        <v>525</v>
      </c>
      <c r="F182" s="397" t="s">
        <v>191</v>
      </c>
      <c r="G182" s="396">
        <v>2</v>
      </c>
      <c r="H182" s="395">
        <v>144159.46300000002</v>
      </c>
      <c r="I182" s="394">
        <v>104813.26000000001</v>
      </c>
      <c r="J182" s="394">
        <v>205942.09</v>
      </c>
      <c r="K182" s="393" t="s">
        <v>1033</v>
      </c>
    </row>
    <row r="183" spans="1:11" hidden="1" x14ac:dyDescent="0.3">
      <c r="A183" s="397" t="s">
        <v>6582</v>
      </c>
      <c r="C183" s="397" t="s">
        <v>1053</v>
      </c>
      <c r="D183" s="397" t="s">
        <v>6581</v>
      </c>
      <c r="E183" s="397" t="s">
        <v>6580</v>
      </c>
      <c r="F183" s="397" t="s">
        <v>191</v>
      </c>
      <c r="G183" s="396">
        <v>1</v>
      </c>
      <c r="H183" s="395">
        <v>589610.098</v>
      </c>
      <c r="I183" s="394">
        <v>522377.7</v>
      </c>
      <c r="J183" s="394">
        <v>842300.14</v>
      </c>
      <c r="K183" s="393" t="s">
        <v>1033</v>
      </c>
    </row>
    <row r="184" spans="1:11" hidden="1" x14ac:dyDescent="0.3">
      <c r="A184" s="397" t="s">
        <v>6295</v>
      </c>
      <c r="C184" s="397" t="s">
        <v>1053</v>
      </c>
      <c r="D184" s="397" t="s">
        <v>6294</v>
      </c>
      <c r="E184" s="397" t="s">
        <v>563</v>
      </c>
      <c r="F184" s="397" t="s">
        <v>191</v>
      </c>
      <c r="G184" s="396">
        <v>1</v>
      </c>
      <c r="H184" s="395">
        <v>261464.924</v>
      </c>
      <c r="I184" s="394">
        <v>252369.01</v>
      </c>
      <c r="J184" s="394">
        <v>373521.32</v>
      </c>
      <c r="K184" s="393" t="s">
        <v>1033</v>
      </c>
    </row>
    <row r="185" spans="1:11" hidden="1" x14ac:dyDescent="0.3">
      <c r="A185" s="397" t="s">
        <v>840</v>
      </c>
      <c r="C185" s="397" t="s">
        <v>1053</v>
      </c>
      <c r="D185" s="397" t="s">
        <v>839</v>
      </c>
      <c r="E185" s="397" t="s">
        <v>252</v>
      </c>
      <c r="F185" s="397" t="s">
        <v>191</v>
      </c>
      <c r="G185" s="396">
        <v>2</v>
      </c>
      <c r="H185" s="395">
        <v>112985.25</v>
      </c>
      <c r="I185" s="394">
        <v>103013.07</v>
      </c>
      <c r="J185" s="394">
        <v>161407.5</v>
      </c>
      <c r="K185" s="393" t="s">
        <v>1033</v>
      </c>
    </row>
    <row r="186" spans="1:11" hidden="1" x14ac:dyDescent="0.3">
      <c r="A186" s="397" t="s">
        <v>6204</v>
      </c>
      <c r="C186" s="397" t="s">
        <v>1053</v>
      </c>
      <c r="D186" s="397" t="s">
        <v>6203</v>
      </c>
      <c r="E186" s="397" t="s">
        <v>6200</v>
      </c>
      <c r="F186" s="397" t="s">
        <v>191</v>
      </c>
      <c r="G186" s="396">
        <v>1</v>
      </c>
      <c r="H186" s="395">
        <v>79030.104999999996</v>
      </c>
      <c r="I186" s="394">
        <v>75756.240000000005</v>
      </c>
      <c r="J186" s="394">
        <v>112900.15000000001</v>
      </c>
      <c r="K186" s="393" t="s">
        <v>1033</v>
      </c>
    </row>
    <row r="187" spans="1:11" hidden="1" x14ac:dyDescent="0.3">
      <c r="A187" s="397" t="s">
        <v>6223</v>
      </c>
      <c r="C187" s="397" t="s">
        <v>1053</v>
      </c>
      <c r="D187" s="397" t="s">
        <v>6222</v>
      </c>
      <c r="E187" s="397" t="s">
        <v>566</v>
      </c>
      <c r="F187" s="397" t="s">
        <v>191</v>
      </c>
      <c r="G187" s="396">
        <v>1</v>
      </c>
      <c r="H187" s="395">
        <v>82429.249000000011</v>
      </c>
      <c r="I187" s="394">
        <v>63840.14</v>
      </c>
      <c r="J187" s="394">
        <v>117756.07</v>
      </c>
      <c r="K187" s="393" t="s">
        <v>1033</v>
      </c>
    </row>
    <row r="188" spans="1:11" hidden="1" x14ac:dyDescent="0.3">
      <c r="A188" s="397" t="s">
        <v>6245</v>
      </c>
      <c r="C188" s="397" t="s">
        <v>1053</v>
      </c>
      <c r="D188" s="397" t="s">
        <v>6244</v>
      </c>
      <c r="E188" s="397" t="s">
        <v>6230</v>
      </c>
      <c r="F188" s="397" t="s">
        <v>191</v>
      </c>
      <c r="G188" s="396">
        <v>3</v>
      </c>
      <c r="H188" s="395">
        <v>89277.971999999994</v>
      </c>
      <c r="I188" s="394">
        <v>87729.41</v>
      </c>
      <c r="J188" s="394">
        <v>127539.96</v>
      </c>
      <c r="K188" s="393" t="s">
        <v>1033</v>
      </c>
    </row>
    <row r="189" spans="1:11" hidden="1" x14ac:dyDescent="0.3">
      <c r="A189" s="397" t="s">
        <v>7813</v>
      </c>
      <c r="C189" s="397" t="s">
        <v>1053</v>
      </c>
      <c r="D189" s="397" t="s">
        <v>7812</v>
      </c>
      <c r="E189" s="397" t="s">
        <v>7811</v>
      </c>
      <c r="F189" s="397" t="s">
        <v>191</v>
      </c>
      <c r="G189" s="396">
        <v>1</v>
      </c>
      <c r="H189" s="395">
        <v>1066248.267</v>
      </c>
      <c r="I189" s="394">
        <v>66457.070000000007</v>
      </c>
      <c r="J189" s="394">
        <v>1523211.81</v>
      </c>
      <c r="K189" s="393" t="s">
        <v>1033</v>
      </c>
    </row>
    <row r="190" spans="1:11" hidden="1" x14ac:dyDescent="0.3">
      <c r="A190" s="397" t="s">
        <v>6297</v>
      </c>
      <c r="C190" s="397" t="s">
        <v>1053</v>
      </c>
      <c r="D190" s="397" t="s">
        <v>6296</v>
      </c>
      <c r="E190" s="397" t="s">
        <v>6292</v>
      </c>
      <c r="F190" s="397" t="s">
        <v>191</v>
      </c>
      <c r="G190" s="396">
        <v>5</v>
      </c>
      <c r="H190" s="395">
        <v>125968.808</v>
      </c>
      <c r="I190" s="394">
        <v>121852.97</v>
      </c>
      <c r="J190" s="394">
        <v>179955.44</v>
      </c>
      <c r="K190" s="393" t="s">
        <v>1033</v>
      </c>
    </row>
    <row r="191" spans="1:11" hidden="1" x14ac:dyDescent="0.3">
      <c r="A191" s="397" t="s">
        <v>6196</v>
      </c>
      <c r="C191" s="397" t="s">
        <v>1053</v>
      </c>
      <c r="D191" s="397" t="s">
        <v>6195</v>
      </c>
      <c r="E191" s="397" t="s">
        <v>6194</v>
      </c>
      <c r="F191" s="397" t="s">
        <v>191</v>
      </c>
      <c r="G191" s="396">
        <v>1</v>
      </c>
      <c r="H191" s="395">
        <v>102486.216</v>
      </c>
      <c r="I191" s="394">
        <v>695.17</v>
      </c>
      <c r="J191" s="394">
        <v>146408.88</v>
      </c>
      <c r="K191" s="393" t="s">
        <v>1033</v>
      </c>
    </row>
    <row r="192" spans="1:11" hidden="1" x14ac:dyDescent="0.3">
      <c r="A192" s="397" t="s">
        <v>6234</v>
      </c>
      <c r="C192" s="397" t="s">
        <v>1053</v>
      </c>
      <c r="D192" s="397" t="s">
        <v>6233</v>
      </c>
      <c r="E192" s="397" t="s">
        <v>6197</v>
      </c>
      <c r="F192" s="397" t="s">
        <v>191</v>
      </c>
      <c r="G192" s="396">
        <v>1</v>
      </c>
      <c r="H192" s="395">
        <v>96371.28899999999</v>
      </c>
      <c r="I192" s="394">
        <v>105.85000000000001</v>
      </c>
      <c r="J192" s="394">
        <v>137673.26999999999</v>
      </c>
      <c r="K192" s="393" t="s">
        <v>1033</v>
      </c>
    </row>
    <row r="193" spans="1:12" hidden="1" x14ac:dyDescent="0.3">
      <c r="A193" s="397" t="s">
        <v>6199</v>
      </c>
      <c r="C193" s="397" t="s">
        <v>1053</v>
      </c>
      <c r="D193" s="397" t="s">
        <v>6198</v>
      </c>
      <c r="E193" s="397" t="s">
        <v>6197</v>
      </c>
      <c r="F193" s="397" t="s">
        <v>191</v>
      </c>
      <c r="G193" s="396">
        <v>1</v>
      </c>
      <c r="H193" s="395">
        <v>96371.28899999999</v>
      </c>
      <c r="I193" s="394">
        <v>105.85000000000001</v>
      </c>
      <c r="J193" s="394">
        <v>137673.26999999999</v>
      </c>
      <c r="K193" s="393" t="s">
        <v>1033</v>
      </c>
    </row>
    <row r="194" spans="1:12" hidden="1" x14ac:dyDescent="0.3">
      <c r="A194" s="397" t="s">
        <v>6232</v>
      </c>
      <c r="C194" s="397" t="s">
        <v>1053</v>
      </c>
      <c r="D194" s="397" t="s">
        <v>6231</v>
      </c>
      <c r="E194" s="397" t="s">
        <v>6230</v>
      </c>
      <c r="F194" s="397" t="s">
        <v>191</v>
      </c>
      <c r="G194" s="396">
        <v>1</v>
      </c>
      <c r="H194" s="395">
        <v>104901.61500000001</v>
      </c>
      <c r="I194" s="394">
        <v>98576.49</v>
      </c>
      <c r="J194" s="394">
        <v>149859.45000000001</v>
      </c>
      <c r="K194" s="393" t="s">
        <v>1033</v>
      </c>
      <c r="L194" s="395">
        <v>1</v>
      </c>
    </row>
    <row r="195" spans="1:12" hidden="1" x14ac:dyDescent="0.3">
      <c r="A195" s="397" t="s">
        <v>543</v>
      </c>
      <c r="C195" s="397" t="s">
        <v>1053</v>
      </c>
      <c r="D195" s="397" t="s">
        <v>6193</v>
      </c>
      <c r="E195" s="397" t="s">
        <v>566</v>
      </c>
      <c r="F195" s="397" t="s">
        <v>191</v>
      </c>
      <c r="G195" s="396">
        <v>1</v>
      </c>
      <c r="H195" s="395">
        <v>97594.273000000016</v>
      </c>
      <c r="I195" s="394">
        <v>68173.72</v>
      </c>
      <c r="J195" s="394">
        <v>139420.39000000001</v>
      </c>
      <c r="K195" s="393" t="s">
        <v>1033</v>
      </c>
    </row>
    <row r="196" spans="1:12" hidden="1" x14ac:dyDescent="0.3">
      <c r="A196" s="397" t="s">
        <v>6221</v>
      </c>
      <c r="C196" s="397" t="s">
        <v>1053</v>
      </c>
      <c r="D196" s="397" t="s">
        <v>6220</v>
      </c>
      <c r="E196" s="397" t="s">
        <v>566</v>
      </c>
      <c r="F196" s="397" t="s">
        <v>191</v>
      </c>
      <c r="G196" s="396">
        <v>1</v>
      </c>
      <c r="H196" s="395">
        <v>82429.249000000011</v>
      </c>
      <c r="I196" s="394">
        <v>79014.570000000007</v>
      </c>
      <c r="J196" s="394">
        <v>117756.07</v>
      </c>
      <c r="K196" s="393" t="s">
        <v>1033</v>
      </c>
    </row>
    <row r="197" spans="1:12" hidden="1" x14ac:dyDescent="0.3">
      <c r="A197" s="397" t="s">
        <v>6236</v>
      </c>
      <c r="C197" s="397" t="s">
        <v>1053</v>
      </c>
      <c r="D197" s="397" t="s">
        <v>6235</v>
      </c>
      <c r="E197" s="397" t="s">
        <v>6197</v>
      </c>
      <c r="F197" s="397" t="s">
        <v>191</v>
      </c>
      <c r="G197" s="396">
        <v>2</v>
      </c>
      <c r="H197" s="395">
        <v>105635.40400000001</v>
      </c>
      <c r="I197" s="394">
        <v>308.31</v>
      </c>
      <c r="J197" s="394">
        <v>150907.72</v>
      </c>
      <c r="K197" s="393" t="s">
        <v>1033</v>
      </c>
    </row>
    <row r="198" spans="1:12" hidden="1" x14ac:dyDescent="0.3">
      <c r="A198" s="397" t="s">
        <v>6247</v>
      </c>
      <c r="C198" s="397" t="s">
        <v>1053</v>
      </c>
      <c r="D198" s="397" t="s">
        <v>6246</v>
      </c>
      <c r="E198" s="397" t="s">
        <v>6194</v>
      </c>
      <c r="F198" s="397" t="s">
        <v>191</v>
      </c>
      <c r="G198" s="396">
        <v>1</v>
      </c>
      <c r="H198" s="395">
        <v>106555.799</v>
      </c>
      <c r="I198" s="394">
        <v>2256.37</v>
      </c>
      <c r="J198" s="394">
        <v>152222.57</v>
      </c>
      <c r="K198" s="393" t="s">
        <v>1033</v>
      </c>
    </row>
    <row r="199" spans="1:12" hidden="1" x14ac:dyDescent="0.3">
      <c r="A199" s="397" t="s">
        <v>6249</v>
      </c>
      <c r="C199" s="397" t="s">
        <v>1053</v>
      </c>
      <c r="D199" s="397" t="s">
        <v>6248</v>
      </c>
      <c r="E199" s="397" t="s">
        <v>6194</v>
      </c>
      <c r="F199" s="397" t="s">
        <v>191</v>
      </c>
      <c r="G199" s="396">
        <v>2</v>
      </c>
      <c r="H199" s="395">
        <v>100405.879</v>
      </c>
      <c r="I199" s="394">
        <v>87657.17</v>
      </c>
      <c r="J199" s="394">
        <v>143436.97</v>
      </c>
      <c r="K199" s="393" t="s">
        <v>1033</v>
      </c>
      <c r="L199" s="395">
        <v>2</v>
      </c>
    </row>
    <row r="200" spans="1:12" hidden="1" x14ac:dyDescent="0.3">
      <c r="A200" s="397" t="s">
        <v>6210</v>
      </c>
      <c r="C200" s="397" t="s">
        <v>1053</v>
      </c>
      <c r="D200" s="397" t="s">
        <v>6209</v>
      </c>
      <c r="E200" s="397" t="s">
        <v>566</v>
      </c>
      <c r="F200" s="397" t="s">
        <v>191</v>
      </c>
      <c r="G200" s="396">
        <v>2</v>
      </c>
      <c r="H200" s="395">
        <v>74540.990999999995</v>
      </c>
      <c r="I200" s="394">
        <v>40917.800000000003</v>
      </c>
      <c r="J200" s="394">
        <v>106487.13</v>
      </c>
      <c r="K200" s="393" t="s">
        <v>1033</v>
      </c>
    </row>
    <row r="201" spans="1:12" hidden="1" x14ac:dyDescent="0.3">
      <c r="A201" s="397" t="s">
        <v>6263</v>
      </c>
      <c r="C201" s="397" t="s">
        <v>1053</v>
      </c>
      <c r="D201" s="397" t="s">
        <v>6262</v>
      </c>
      <c r="E201" s="397" t="s">
        <v>6194</v>
      </c>
      <c r="F201" s="397" t="s">
        <v>191</v>
      </c>
      <c r="G201" s="396">
        <v>5</v>
      </c>
      <c r="H201" s="395">
        <v>84875.21699999999</v>
      </c>
      <c r="I201" s="394">
        <v>83374.48</v>
      </c>
      <c r="J201" s="394">
        <v>121250.31</v>
      </c>
      <c r="K201" s="393" t="s">
        <v>1033</v>
      </c>
    </row>
    <row r="202" spans="1:12" hidden="1" x14ac:dyDescent="0.3">
      <c r="A202" s="397" t="s">
        <v>6283</v>
      </c>
      <c r="C202" s="397" t="s">
        <v>1053</v>
      </c>
      <c r="D202" s="397" t="s">
        <v>6282</v>
      </c>
      <c r="E202" s="397" t="s">
        <v>1468</v>
      </c>
      <c r="F202" s="397" t="s">
        <v>191</v>
      </c>
      <c r="G202" s="396">
        <v>4</v>
      </c>
      <c r="H202" s="395">
        <v>96371.28899999999</v>
      </c>
      <c r="I202" s="394">
        <v>3455.73</v>
      </c>
      <c r="J202" s="394">
        <v>137673.26999999999</v>
      </c>
      <c r="K202" s="393" t="s">
        <v>1033</v>
      </c>
    </row>
    <row r="203" spans="1:12" s="364" customFormat="1" x14ac:dyDescent="0.3">
      <c r="A203" s="402" t="s">
        <v>892</v>
      </c>
      <c r="C203" s="402" t="s">
        <v>1053</v>
      </c>
      <c r="D203" s="402" t="s">
        <v>400</v>
      </c>
      <c r="E203" s="402" t="s">
        <v>401</v>
      </c>
      <c r="F203" s="402" t="s">
        <v>191</v>
      </c>
      <c r="G203" s="401">
        <v>15</v>
      </c>
      <c r="H203" s="400">
        <v>313115.65600000002</v>
      </c>
      <c r="I203" s="399">
        <v>309823.56</v>
      </c>
      <c r="J203" s="399">
        <v>447308.08</v>
      </c>
      <c r="K203" s="398" t="s">
        <v>1033</v>
      </c>
      <c r="L203" s="400">
        <v>7</v>
      </c>
    </row>
    <row r="204" spans="1:12" hidden="1" x14ac:dyDescent="0.3">
      <c r="A204" s="397" t="s">
        <v>6304</v>
      </c>
      <c r="C204" s="397" t="s">
        <v>1053</v>
      </c>
      <c r="D204" s="397" t="s">
        <v>6303</v>
      </c>
      <c r="E204" s="397" t="s">
        <v>6302</v>
      </c>
      <c r="F204" s="397" t="s">
        <v>191</v>
      </c>
      <c r="G204" s="396">
        <v>1</v>
      </c>
      <c r="H204" s="395">
        <v>261107.48300000001</v>
      </c>
      <c r="I204" s="394">
        <v>6703.82</v>
      </c>
      <c r="J204" s="394">
        <v>373010.69</v>
      </c>
      <c r="K204" s="393" t="s">
        <v>1033</v>
      </c>
    </row>
    <row r="205" spans="1:12" hidden="1" x14ac:dyDescent="0.3">
      <c r="A205" s="397" t="s">
        <v>6216</v>
      </c>
      <c r="C205" s="397" t="s">
        <v>1053</v>
      </c>
      <c r="D205" s="397" t="s">
        <v>6215</v>
      </c>
      <c r="E205" s="397" t="s">
        <v>6200</v>
      </c>
      <c r="F205" s="397" t="s">
        <v>191</v>
      </c>
      <c r="G205" s="396">
        <v>1</v>
      </c>
      <c r="H205" s="395">
        <v>74884.243000000002</v>
      </c>
      <c r="I205" s="394">
        <v>56815.12</v>
      </c>
      <c r="J205" s="394">
        <v>106977.49</v>
      </c>
      <c r="K205" s="393" t="s">
        <v>1033</v>
      </c>
    </row>
    <row r="206" spans="1:12" s="364" customFormat="1" x14ac:dyDescent="0.3">
      <c r="A206" s="402" t="s">
        <v>6243</v>
      </c>
      <c r="C206" s="402" t="s">
        <v>1053</v>
      </c>
      <c r="D206" s="402" t="s">
        <v>6242</v>
      </c>
      <c r="E206" s="402" t="s">
        <v>566</v>
      </c>
      <c r="F206" s="402" t="s">
        <v>191</v>
      </c>
      <c r="G206" s="401">
        <v>14</v>
      </c>
      <c r="H206" s="400">
        <v>84663.40400000001</v>
      </c>
      <c r="I206" s="399">
        <v>83192.72</v>
      </c>
      <c r="J206" s="399">
        <v>120947.72</v>
      </c>
      <c r="K206" s="398" t="s">
        <v>1033</v>
      </c>
    </row>
    <row r="207" spans="1:12" hidden="1" x14ac:dyDescent="0.3">
      <c r="A207" s="397" t="s">
        <v>6259</v>
      </c>
      <c r="C207" s="397" t="s">
        <v>1053</v>
      </c>
      <c r="D207" s="397" t="s">
        <v>6258</v>
      </c>
      <c r="E207" s="397" t="s">
        <v>6257</v>
      </c>
      <c r="F207" s="397" t="s">
        <v>191</v>
      </c>
      <c r="G207" s="396">
        <v>4</v>
      </c>
      <c r="H207" s="395">
        <v>80019.212</v>
      </c>
      <c r="I207" s="394">
        <v>60839.4</v>
      </c>
      <c r="J207" s="394">
        <v>114313.16</v>
      </c>
      <c r="K207" s="393" t="s">
        <v>1033</v>
      </c>
    </row>
    <row r="208" spans="1:12" hidden="1" x14ac:dyDescent="0.3">
      <c r="A208" s="397" t="s">
        <v>6206</v>
      </c>
      <c r="C208" s="397" t="s">
        <v>1053</v>
      </c>
      <c r="D208" s="397" t="s">
        <v>6205</v>
      </c>
      <c r="E208" s="397" t="s">
        <v>6200</v>
      </c>
      <c r="F208" s="397" t="s">
        <v>191</v>
      </c>
      <c r="G208" s="396">
        <v>2</v>
      </c>
      <c r="H208" s="395">
        <v>79030.104999999996</v>
      </c>
      <c r="I208" s="394">
        <v>77661.509999999995</v>
      </c>
      <c r="J208" s="394">
        <v>112900.15000000001</v>
      </c>
      <c r="K208" s="393" t="s">
        <v>1033</v>
      </c>
    </row>
    <row r="209" spans="1:12" hidden="1" x14ac:dyDescent="0.3">
      <c r="A209" s="397" t="s">
        <v>6307</v>
      </c>
      <c r="C209" s="397" t="s">
        <v>1053</v>
      </c>
      <c r="D209" s="397" t="s">
        <v>6306</v>
      </c>
      <c r="E209" s="397" t="s">
        <v>6305</v>
      </c>
      <c r="F209" s="397" t="s">
        <v>191</v>
      </c>
      <c r="G209" s="396">
        <v>1</v>
      </c>
      <c r="H209" s="395">
        <v>276547.68400000001</v>
      </c>
      <c r="I209" s="394">
        <v>220258.93</v>
      </c>
      <c r="J209" s="394">
        <v>395068.12</v>
      </c>
      <c r="K209" s="393" t="s">
        <v>1033</v>
      </c>
    </row>
    <row r="210" spans="1:12" hidden="1" x14ac:dyDescent="0.3">
      <c r="A210" s="397" t="s">
        <v>6279</v>
      </c>
      <c r="C210" s="397" t="s">
        <v>1053</v>
      </c>
      <c r="D210" s="397" t="s">
        <v>6278</v>
      </c>
      <c r="E210" s="397" t="s">
        <v>6277</v>
      </c>
      <c r="F210" s="397" t="s">
        <v>191</v>
      </c>
      <c r="G210" s="396">
        <v>1</v>
      </c>
      <c r="H210" s="395">
        <v>276547.68400000001</v>
      </c>
      <c r="I210" s="394">
        <v>220258.93</v>
      </c>
      <c r="J210" s="394">
        <v>395068.12</v>
      </c>
      <c r="K210" s="393" t="s">
        <v>1033</v>
      </c>
    </row>
    <row r="211" spans="1:12" hidden="1" x14ac:dyDescent="0.3">
      <c r="A211" s="397" t="s">
        <v>420</v>
      </c>
      <c r="C211" s="397" t="s">
        <v>1053</v>
      </c>
      <c r="D211" s="397" t="s">
        <v>6293</v>
      </c>
      <c r="E211" s="397" t="s">
        <v>6292</v>
      </c>
      <c r="F211" s="397" t="s">
        <v>191</v>
      </c>
      <c r="G211" s="396">
        <v>2</v>
      </c>
      <c r="H211" s="395">
        <v>114196.30599999998</v>
      </c>
      <c r="I211" s="394">
        <v>112117.05</v>
      </c>
      <c r="J211" s="394">
        <v>163137.57999999999</v>
      </c>
      <c r="K211" s="393" t="s">
        <v>1033</v>
      </c>
    </row>
    <row r="212" spans="1:12" hidden="1" x14ac:dyDescent="0.3">
      <c r="A212" s="397" t="s">
        <v>6271</v>
      </c>
      <c r="C212" s="397" t="s">
        <v>1053</v>
      </c>
      <c r="D212" s="397" t="s">
        <v>6270</v>
      </c>
      <c r="E212" s="397" t="s">
        <v>6269</v>
      </c>
      <c r="F212" s="397" t="s">
        <v>191</v>
      </c>
      <c r="G212" s="396">
        <v>1</v>
      </c>
      <c r="H212" s="395">
        <v>261464.924</v>
      </c>
      <c r="I212" s="394">
        <v>252369.01</v>
      </c>
      <c r="J212" s="394">
        <v>373521.32</v>
      </c>
      <c r="K212" s="393" t="s">
        <v>1033</v>
      </c>
    </row>
    <row r="213" spans="1:12" s="364" customFormat="1" x14ac:dyDescent="0.3">
      <c r="A213" s="402" t="s">
        <v>6229</v>
      </c>
      <c r="C213" s="402" t="s">
        <v>1053</v>
      </c>
      <c r="D213" s="402" t="s">
        <v>6228</v>
      </c>
      <c r="E213" s="402" t="s">
        <v>567</v>
      </c>
      <c r="F213" s="402" t="s">
        <v>191</v>
      </c>
      <c r="G213" s="401">
        <v>12</v>
      </c>
      <c r="H213" s="400">
        <v>83279.035000000003</v>
      </c>
      <c r="I213" s="399">
        <v>80627.44</v>
      </c>
      <c r="J213" s="399">
        <v>118970.05</v>
      </c>
      <c r="K213" s="398" t="s">
        <v>1033</v>
      </c>
      <c r="L213" s="400">
        <v>1</v>
      </c>
    </row>
    <row r="214" spans="1:12" s="364" customFormat="1" x14ac:dyDescent="0.3">
      <c r="A214" s="402" t="s">
        <v>6268</v>
      </c>
      <c r="C214" s="402" t="s">
        <v>1053</v>
      </c>
      <c r="D214" s="402" t="s">
        <v>6267</v>
      </c>
      <c r="E214" s="402" t="s">
        <v>6194</v>
      </c>
      <c r="F214" s="402" t="s">
        <v>191</v>
      </c>
      <c r="G214" s="401">
        <v>1</v>
      </c>
      <c r="H214" s="400">
        <v>184670.87100000001</v>
      </c>
      <c r="I214" s="399">
        <v>7686.63</v>
      </c>
      <c r="J214" s="399">
        <v>263815.53000000003</v>
      </c>
      <c r="K214" s="398" t="s">
        <v>1033</v>
      </c>
    </row>
    <row r="215" spans="1:12" s="364" customFormat="1" x14ac:dyDescent="0.3">
      <c r="A215" s="402" t="s">
        <v>6212</v>
      </c>
      <c r="C215" s="402" t="s">
        <v>1053</v>
      </c>
      <c r="D215" s="402" t="s">
        <v>6211</v>
      </c>
      <c r="E215" s="402" t="s">
        <v>570</v>
      </c>
      <c r="F215" s="402" t="s">
        <v>191</v>
      </c>
      <c r="G215" s="401">
        <v>15</v>
      </c>
      <c r="H215" s="400">
        <v>79030.104999999996</v>
      </c>
      <c r="I215" s="399">
        <v>77661.509999999995</v>
      </c>
      <c r="J215" s="399">
        <v>112900.15000000001</v>
      </c>
      <c r="K215" s="398" t="s">
        <v>1033</v>
      </c>
    </row>
    <row r="216" spans="1:12" s="364" customFormat="1" x14ac:dyDescent="0.3">
      <c r="A216" s="402" t="s">
        <v>2772</v>
      </c>
      <c r="C216" s="402" t="s">
        <v>1053</v>
      </c>
      <c r="D216" s="402" t="s">
        <v>695</v>
      </c>
      <c r="E216" s="402" t="s">
        <v>677</v>
      </c>
      <c r="F216" s="402" t="s">
        <v>191</v>
      </c>
      <c r="G216" s="401">
        <v>6</v>
      </c>
      <c r="H216" s="400">
        <v>112529.2</v>
      </c>
      <c r="I216" s="399">
        <v>107767.52</v>
      </c>
      <c r="J216" s="399">
        <v>160756</v>
      </c>
      <c r="K216" s="398" t="s">
        <v>1033</v>
      </c>
      <c r="L216" s="400">
        <v>4</v>
      </c>
    </row>
    <row r="217" spans="1:12" s="364" customFormat="1" x14ac:dyDescent="0.3">
      <c r="A217" s="402" t="s">
        <v>7164</v>
      </c>
      <c r="C217" s="402" t="s">
        <v>1053</v>
      </c>
      <c r="D217" s="402" t="s">
        <v>7163</v>
      </c>
      <c r="E217" s="402" t="s">
        <v>7162</v>
      </c>
      <c r="F217" s="402" t="s">
        <v>191</v>
      </c>
      <c r="G217" s="401">
        <v>1</v>
      </c>
      <c r="H217" s="400">
        <v>1300706.638</v>
      </c>
      <c r="I217" s="399">
        <v>1274563.92</v>
      </c>
      <c r="J217" s="399">
        <v>1858152.34</v>
      </c>
      <c r="K217" s="398" t="s">
        <v>1033</v>
      </c>
    </row>
    <row r="218" spans="1:12" s="364" customFormat="1" x14ac:dyDescent="0.3">
      <c r="A218" s="402" t="s">
        <v>3806</v>
      </c>
      <c r="C218" s="402" t="s">
        <v>1053</v>
      </c>
      <c r="D218" s="402" t="s">
        <v>3805</v>
      </c>
      <c r="E218" s="402" t="s">
        <v>3804</v>
      </c>
      <c r="F218" s="402" t="s">
        <v>191</v>
      </c>
      <c r="G218" s="401">
        <v>1</v>
      </c>
      <c r="H218" s="400">
        <v>472728.17200000002</v>
      </c>
      <c r="I218" s="399">
        <v>134.74</v>
      </c>
      <c r="J218" s="399">
        <v>675325.96</v>
      </c>
      <c r="K218" s="398" t="s">
        <v>1033</v>
      </c>
    </row>
    <row r="219" spans="1:12" hidden="1" x14ac:dyDescent="0.3">
      <c r="A219" s="397" t="s">
        <v>4042</v>
      </c>
      <c r="C219" s="397" t="s">
        <v>1053</v>
      </c>
      <c r="D219" s="397" t="s">
        <v>4041</v>
      </c>
      <c r="E219" s="397" t="s">
        <v>4035</v>
      </c>
      <c r="F219" s="397" t="s">
        <v>191</v>
      </c>
      <c r="G219" s="396">
        <v>1</v>
      </c>
      <c r="H219" s="395">
        <v>435686.09700000007</v>
      </c>
      <c r="I219" s="394">
        <v>305016.56</v>
      </c>
      <c r="J219" s="394">
        <v>622408.71</v>
      </c>
      <c r="K219" s="393" t="s">
        <v>1033</v>
      </c>
    </row>
    <row r="220" spans="1:12" hidden="1" x14ac:dyDescent="0.3">
      <c r="A220" s="397" t="s">
        <v>3493</v>
      </c>
      <c r="C220" s="397" t="s">
        <v>1053</v>
      </c>
      <c r="D220" s="397" t="s">
        <v>3492</v>
      </c>
      <c r="E220" s="397" t="s">
        <v>3491</v>
      </c>
      <c r="F220" s="397" t="s">
        <v>191</v>
      </c>
      <c r="G220" s="396">
        <v>1</v>
      </c>
      <c r="H220" s="395">
        <v>275238.01899999997</v>
      </c>
      <c r="I220" s="394">
        <v>263659.78000000003</v>
      </c>
      <c r="J220" s="394">
        <v>393197.17</v>
      </c>
      <c r="K220" s="393" t="s">
        <v>1033</v>
      </c>
    </row>
    <row r="221" spans="1:12" hidden="1" x14ac:dyDescent="0.3">
      <c r="A221" s="397" t="s">
        <v>6517</v>
      </c>
      <c r="C221" s="397" t="s">
        <v>1053</v>
      </c>
      <c r="D221" s="397" t="s">
        <v>6516</v>
      </c>
      <c r="E221" s="397" t="s">
        <v>6504</v>
      </c>
      <c r="F221" s="397" t="s">
        <v>191</v>
      </c>
      <c r="G221" s="396">
        <v>1</v>
      </c>
      <c r="H221" s="395">
        <v>52505.900999999998</v>
      </c>
      <c r="I221" s="394">
        <v>2119.04</v>
      </c>
      <c r="J221" s="394">
        <v>75008.429999999993</v>
      </c>
      <c r="K221" s="393" t="s">
        <v>1033</v>
      </c>
    </row>
    <row r="222" spans="1:12" hidden="1" x14ac:dyDescent="0.3">
      <c r="A222" s="397" t="s">
        <v>6509</v>
      </c>
      <c r="C222" s="397" t="s">
        <v>1053</v>
      </c>
      <c r="D222" s="397" t="s">
        <v>6508</v>
      </c>
      <c r="E222" s="397" t="s">
        <v>6507</v>
      </c>
      <c r="F222" s="397" t="s">
        <v>191</v>
      </c>
      <c r="G222" s="396">
        <v>1</v>
      </c>
      <c r="H222" s="395">
        <v>52505.900999999998</v>
      </c>
      <c r="I222" s="394">
        <v>2119.04</v>
      </c>
      <c r="J222" s="394">
        <v>75008.429999999993</v>
      </c>
      <c r="K222" s="393" t="s">
        <v>1033</v>
      </c>
    </row>
    <row r="223" spans="1:12" hidden="1" x14ac:dyDescent="0.3">
      <c r="A223" s="397" t="s">
        <v>848</v>
      </c>
      <c r="C223" s="397" t="s">
        <v>1053</v>
      </c>
      <c r="D223" s="397" t="s">
        <v>847</v>
      </c>
      <c r="E223" s="397" t="s">
        <v>846</v>
      </c>
      <c r="F223" s="397" t="s">
        <v>191</v>
      </c>
      <c r="G223" s="396">
        <v>5</v>
      </c>
      <c r="H223" s="395">
        <v>43910.048000000003</v>
      </c>
      <c r="I223" s="394">
        <v>2176.06</v>
      </c>
      <c r="J223" s="394">
        <v>62728.639999999999</v>
      </c>
      <c r="K223" s="393" t="s">
        <v>1033</v>
      </c>
    </row>
    <row r="224" spans="1:12" hidden="1" x14ac:dyDescent="0.3">
      <c r="A224" s="397" t="s">
        <v>3496</v>
      </c>
      <c r="C224" s="397" t="s">
        <v>1053</v>
      </c>
      <c r="D224" s="397" t="s">
        <v>3495</v>
      </c>
      <c r="E224" s="397" t="s">
        <v>3494</v>
      </c>
      <c r="F224" s="397" t="s">
        <v>191</v>
      </c>
      <c r="G224" s="396">
        <v>1</v>
      </c>
      <c r="H224" s="395">
        <v>275238.01899999997</v>
      </c>
      <c r="I224" s="394">
        <v>3012.9900000000002</v>
      </c>
      <c r="J224" s="394">
        <v>393197.17</v>
      </c>
      <c r="K224" s="393" t="s">
        <v>1033</v>
      </c>
      <c r="L224" s="395">
        <v>1</v>
      </c>
    </row>
    <row r="225" spans="1:12" hidden="1" x14ac:dyDescent="0.3">
      <c r="A225" s="397" t="s">
        <v>3552</v>
      </c>
      <c r="C225" s="397" t="s">
        <v>1053</v>
      </c>
      <c r="D225" s="397" t="s">
        <v>3551</v>
      </c>
      <c r="E225" s="397" t="s">
        <v>3550</v>
      </c>
      <c r="F225" s="397" t="s">
        <v>191</v>
      </c>
      <c r="G225" s="396">
        <v>1</v>
      </c>
      <c r="H225" s="395">
        <v>698359.61300000001</v>
      </c>
      <c r="I225" s="394">
        <v>675992.27</v>
      </c>
      <c r="J225" s="394">
        <v>997656.59</v>
      </c>
      <c r="K225" s="393" t="s">
        <v>1033</v>
      </c>
    </row>
    <row r="226" spans="1:12" hidden="1" x14ac:dyDescent="0.3">
      <c r="A226" s="397" t="s">
        <v>8285</v>
      </c>
      <c r="C226" s="397" t="s">
        <v>1053</v>
      </c>
      <c r="D226" s="397" t="s">
        <v>330</v>
      </c>
      <c r="E226" s="397" t="s">
        <v>331</v>
      </c>
      <c r="F226" s="397" t="s">
        <v>191</v>
      </c>
      <c r="G226" s="396">
        <v>7</v>
      </c>
      <c r="H226" s="395">
        <v>195969.46600000001</v>
      </c>
      <c r="I226" s="394">
        <v>183825.6</v>
      </c>
      <c r="J226" s="394">
        <v>279956.38</v>
      </c>
      <c r="K226" s="393" t="s">
        <v>1033</v>
      </c>
    </row>
    <row r="227" spans="1:12" hidden="1" x14ac:dyDescent="0.3">
      <c r="A227" s="397" t="s">
        <v>3490</v>
      </c>
      <c r="C227" s="397" t="s">
        <v>1053</v>
      </c>
      <c r="D227" s="397" t="s">
        <v>3489</v>
      </c>
      <c r="E227" s="397" t="s">
        <v>3488</v>
      </c>
      <c r="F227" s="397" t="s">
        <v>191</v>
      </c>
      <c r="G227" s="396">
        <v>1</v>
      </c>
      <c r="H227" s="395">
        <v>275238.01899999997</v>
      </c>
      <c r="I227" s="394">
        <v>266296.38</v>
      </c>
      <c r="J227" s="394">
        <v>393197.17</v>
      </c>
      <c r="K227" s="393" t="s">
        <v>1033</v>
      </c>
    </row>
    <row r="228" spans="1:12" hidden="1" x14ac:dyDescent="0.3">
      <c r="A228" s="397" t="s">
        <v>3480</v>
      </c>
      <c r="C228" s="397" t="s">
        <v>1053</v>
      </c>
      <c r="D228" s="397" t="s">
        <v>3479</v>
      </c>
      <c r="E228" s="397" t="s">
        <v>3478</v>
      </c>
      <c r="F228" s="397" t="s">
        <v>191</v>
      </c>
      <c r="G228" s="396">
        <v>1</v>
      </c>
      <c r="H228" s="395">
        <v>628044.228</v>
      </c>
      <c r="I228" s="394">
        <v>22218.82</v>
      </c>
      <c r="J228" s="394">
        <v>897206.04</v>
      </c>
      <c r="K228" s="393" t="s">
        <v>1033</v>
      </c>
    </row>
    <row r="229" spans="1:12" hidden="1" x14ac:dyDescent="0.3">
      <c r="A229" s="397" t="s">
        <v>4045</v>
      </c>
      <c r="C229" s="397" t="s">
        <v>1053</v>
      </c>
      <c r="D229" s="397" t="s">
        <v>651</v>
      </c>
      <c r="E229" s="397" t="s">
        <v>652</v>
      </c>
      <c r="F229" s="397" t="s">
        <v>191</v>
      </c>
      <c r="G229" s="396">
        <v>1</v>
      </c>
      <c r="H229" s="395">
        <v>221674.565</v>
      </c>
      <c r="I229" s="394">
        <v>202122.44</v>
      </c>
      <c r="J229" s="394">
        <v>316677.95</v>
      </c>
      <c r="K229" s="393" t="s">
        <v>1033</v>
      </c>
    </row>
    <row r="230" spans="1:12" hidden="1" x14ac:dyDescent="0.3">
      <c r="A230" s="397" t="s">
        <v>4047</v>
      </c>
      <c r="C230" s="397" t="s">
        <v>1053</v>
      </c>
      <c r="D230" s="397" t="s">
        <v>649</v>
      </c>
      <c r="E230" s="397" t="s">
        <v>4046</v>
      </c>
      <c r="F230" s="397" t="s">
        <v>191</v>
      </c>
      <c r="G230" s="396">
        <v>1</v>
      </c>
      <c r="H230" s="395">
        <v>230786.57699999999</v>
      </c>
      <c r="I230" s="394">
        <v>178663.6</v>
      </c>
      <c r="J230" s="394">
        <v>329695.11</v>
      </c>
      <c r="K230" s="393" t="s">
        <v>1033</v>
      </c>
    </row>
    <row r="231" spans="1:12" hidden="1" x14ac:dyDescent="0.3">
      <c r="A231" s="397" t="s">
        <v>4049</v>
      </c>
      <c r="C231" s="397" t="s">
        <v>1053</v>
      </c>
      <c r="D231" s="397" t="s">
        <v>4048</v>
      </c>
      <c r="E231" s="397" t="s">
        <v>647</v>
      </c>
      <c r="F231" s="397" t="s">
        <v>191</v>
      </c>
      <c r="G231" s="396">
        <v>1</v>
      </c>
      <c r="H231" s="395">
        <v>221674.565</v>
      </c>
      <c r="I231" s="394">
        <v>8541.11</v>
      </c>
      <c r="J231" s="394">
        <v>316677.95</v>
      </c>
      <c r="K231" s="393" t="s">
        <v>1033</v>
      </c>
    </row>
    <row r="232" spans="1:12" hidden="1" x14ac:dyDescent="0.3">
      <c r="A232" s="397" t="s">
        <v>4034</v>
      </c>
      <c r="B232" s="397" t="s">
        <v>1972</v>
      </c>
      <c r="C232" s="397" t="s">
        <v>1053</v>
      </c>
      <c r="D232" s="397" t="s">
        <v>4033</v>
      </c>
      <c r="E232" s="397" t="s">
        <v>4032</v>
      </c>
      <c r="F232" s="397" t="s">
        <v>191</v>
      </c>
      <c r="G232" s="396">
        <v>1</v>
      </c>
      <c r="H232" s="395">
        <v>751701.33499999996</v>
      </c>
      <c r="I232" s="394">
        <v>727222.95000000007</v>
      </c>
      <c r="J232" s="394">
        <v>1073859.05</v>
      </c>
      <c r="K232" s="393" t="s">
        <v>1033</v>
      </c>
    </row>
    <row r="233" spans="1:12" hidden="1" x14ac:dyDescent="0.3">
      <c r="A233" s="397" t="s">
        <v>4037</v>
      </c>
      <c r="C233" s="397" t="s">
        <v>1053</v>
      </c>
      <c r="D233" s="397" t="s">
        <v>4036</v>
      </c>
      <c r="E233" s="397" t="s">
        <v>4035</v>
      </c>
      <c r="F233" s="397" t="s">
        <v>191</v>
      </c>
      <c r="G233" s="396">
        <v>1</v>
      </c>
      <c r="H233" s="395">
        <v>747332.62800000003</v>
      </c>
      <c r="I233" s="394">
        <v>733839.83</v>
      </c>
      <c r="J233" s="394">
        <v>1067618.04</v>
      </c>
      <c r="K233" s="393" t="s">
        <v>1033</v>
      </c>
    </row>
    <row r="234" spans="1:12" hidden="1" x14ac:dyDescent="0.3">
      <c r="A234" s="397" t="s">
        <v>4044</v>
      </c>
      <c r="C234" s="397" t="s">
        <v>1053</v>
      </c>
      <c r="D234" s="397" t="s">
        <v>4043</v>
      </c>
      <c r="E234" s="397" t="s">
        <v>647</v>
      </c>
      <c r="F234" s="397" t="s">
        <v>191</v>
      </c>
      <c r="G234" s="396">
        <v>1</v>
      </c>
      <c r="H234" s="395">
        <v>421324.93900000001</v>
      </c>
      <c r="I234" s="394">
        <v>15218.54</v>
      </c>
      <c r="J234" s="394">
        <v>601892.77</v>
      </c>
      <c r="K234" s="393" t="s">
        <v>1033</v>
      </c>
    </row>
    <row r="235" spans="1:12" hidden="1" x14ac:dyDescent="0.3">
      <c r="A235" s="397" t="s">
        <v>4052</v>
      </c>
      <c r="C235" s="397" t="s">
        <v>1053</v>
      </c>
      <c r="D235" s="397" t="s">
        <v>4051</v>
      </c>
      <c r="E235" s="397" t="s">
        <v>4050</v>
      </c>
      <c r="F235" s="397" t="s">
        <v>191</v>
      </c>
      <c r="G235" s="396">
        <v>1</v>
      </c>
      <c r="H235" s="395">
        <v>257724.467</v>
      </c>
      <c r="I235" s="394">
        <v>203736.57</v>
      </c>
      <c r="J235" s="394">
        <v>368177.81</v>
      </c>
      <c r="K235" s="393" t="s">
        <v>1033</v>
      </c>
    </row>
    <row r="236" spans="1:12" hidden="1" x14ac:dyDescent="0.3">
      <c r="A236" s="397" t="s">
        <v>4040</v>
      </c>
      <c r="C236" s="397" t="s">
        <v>1053</v>
      </c>
      <c r="D236" s="397" t="s">
        <v>4039</v>
      </c>
      <c r="E236" s="397" t="s">
        <v>4038</v>
      </c>
      <c r="F236" s="397" t="s">
        <v>191</v>
      </c>
      <c r="G236" s="396">
        <v>1</v>
      </c>
      <c r="H236" s="395">
        <v>479106.033</v>
      </c>
      <c r="I236" s="394">
        <v>458911.5</v>
      </c>
      <c r="J236" s="394">
        <v>684437.19000000006</v>
      </c>
      <c r="K236" s="393" t="s">
        <v>1033</v>
      </c>
      <c r="L236" s="395">
        <v>2</v>
      </c>
    </row>
    <row r="237" spans="1:12" hidden="1" x14ac:dyDescent="0.3">
      <c r="A237" s="397" t="s">
        <v>4031</v>
      </c>
      <c r="C237" s="397" t="s">
        <v>1053</v>
      </c>
      <c r="D237" s="397" t="s">
        <v>4030</v>
      </c>
      <c r="E237" s="397" t="s">
        <v>4029</v>
      </c>
      <c r="F237" s="397" t="s">
        <v>191</v>
      </c>
      <c r="G237" s="396">
        <v>2</v>
      </c>
      <c r="H237" s="395">
        <v>559421.478</v>
      </c>
      <c r="I237" s="394">
        <v>26380.52</v>
      </c>
      <c r="J237" s="394">
        <v>799173.54</v>
      </c>
      <c r="K237" s="393" t="s">
        <v>1033</v>
      </c>
    </row>
    <row r="238" spans="1:12" hidden="1" x14ac:dyDescent="0.3">
      <c r="A238" s="397" t="s">
        <v>6729</v>
      </c>
      <c r="C238" s="397" t="s">
        <v>1053</v>
      </c>
      <c r="D238" s="397" t="s">
        <v>6728</v>
      </c>
      <c r="E238" s="397" t="s">
        <v>6727</v>
      </c>
      <c r="F238" s="397" t="s">
        <v>191</v>
      </c>
      <c r="G238" s="396">
        <v>3</v>
      </c>
      <c r="H238" s="395">
        <v>433478.36</v>
      </c>
      <c r="I238" s="394">
        <v>400168.98</v>
      </c>
      <c r="J238" s="394">
        <v>619254.80000000005</v>
      </c>
      <c r="K238" s="393" t="s">
        <v>1033</v>
      </c>
    </row>
    <row r="239" spans="1:12" hidden="1" x14ac:dyDescent="0.3">
      <c r="A239" s="397" t="s">
        <v>6647</v>
      </c>
      <c r="C239" s="397" t="s">
        <v>1053</v>
      </c>
      <c r="D239" s="397" t="s">
        <v>6646</v>
      </c>
      <c r="E239" s="397" t="s">
        <v>6645</v>
      </c>
      <c r="F239" s="397" t="s">
        <v>191</v>
      </c>
      <c r="G239" s="396">
        <v>1</v>
      </c>
      <c r="H239" s="395">
        <v>249614.44200000001</v>
      </c>
      <c r="I239" s="394">
        <v>181970.55000000002</v>
      </c>
      <c r="J239" s="394">
        <v>356592.06</v>
      </c>
      <c r="K239" s="393" t="s">
        <v>1033</v>
      </c>
    </row>
    <row r="240" spans="1:12" hidden="1" x14ac:dyDescent="0.3">
      <c r="A240" s="397" t="s">
        <v>2775</v>
      </c>
      <c r="C240" s="397" t="s">
        <v>1053</v>
      </c>
      <c r="D240" s="397" t="s">
        <v>694</v>
      </c>
      <c r="E240" s="397" t="s">
        <v>677</v>
      </c>
      <c r="F240" s="397" t="s">
        <v>191</v>
      </c>
      <c r="G240" s="396">
        <v>3</v>
      </c>
      <c r="H240" s="395">
        <v>163360.337</v>
      </c>
      <c r="I240" s="394">
        <v>158041.16</v>
      </c>
      <c r="J240" s="394">
        <v>233371.91</v>
      </c>
      <c r="K240" s="393" t="s">
        <v>1033</v>
      </c>
    </row>
    <row r="241" spans="1:12" hidden="1" x14ac:dyDescent="0.3">
      <c r="A241" s="397" t="s">
        <v>8251</v>
      </c>
      <c r="C241" s="397" t="s">
        <v>1053</v>
      </c>
      <c r="D241" s="397" t="s">
        <v>8250</v>
      </c>
      <c r="E241" s="397" t="s">
        <v>898</v>
      </c>
      <c r="F241" s="397" t="s">
        <v>191</v>
      </c>
      <c r="G241" s="396">
        <v>2</v>
      </c>
      <c r="H241" s="395">
        <v>100799.04800000001</v>
      </c>
      <c r="I241" s="394">
        <v>4493.04</v>
      </c>
      <c r="J241" s="394">
        <v>143998.64000000001</v>
      </c>
      <c r="K241" s="393" t="s">
        <v>1033</v>
      </c>
      <c r="L241" s="395">
        <v>1</v>
      </c>
    </row>
    <row r="242" spans="1:12" hidden="1" x14ac:dyDescent="0.3">
      <c r="A242" s="397" t="s">
        <v>7645</v>
      </c>
      <c r="C242" s="397" t="s">
        <v>1053</v>
      </c>
      <c r="D242" s="397" t="s">
        <v>7644</v>
      </c>
      <c r="E242" s="397" t="s">
        <v>7643</v>
      </c>
      <c r="F242" s="397" t="s">
        <v>191</v>
      </c>
      <c r="G242" s="396">
        <v>1</v>
      </c>
      <c r="H242" s="395">
        <v>849563.84799999988</v>
      </c>
      <c r="I242" s="394">
        <v>3656.82</v>
      </c>
      <c r="J242" s="394">
        <v>1213662.6399999999</v>
      </c>
      <c r="K242" s="393" t="s">
        <v>1033</v>
      </c>
    </row>
    <row r="243" spans="1:12" hidden="1" x14ac:dyDescent="0.3">
      <c r="A243" s="397" t="s">
        <v>6741</v>
      </c>
      <c r="C243" s="397" t="s">
        <v>1053</v>
      </c>
      <c r="D243" s="397" t="s">
        <v>6740</v>
      </c>
      <c r="E243" s="397" t="s">
        <v>6739</v>
      </c>
      <c r="F243" s="397" t="s">
        <v>191</v>
      </c>
      <c r="G243" s="396">
        <v>1</v>
      </c>
      <c r="H243" s="395">
        <v>537925.45799999998</v>
      </c>
      <c r="I243" s="394">
        <v>272162.13</v>
      </c>
      <c r="J243" s="394">
        <v>768464.94000000006</v>
      </c>
      <c r="K243" s="393" t="s">
        <v>1033</v>
      </c>
    </row>
    <row r="244" spans="1:12" hidden="1" x14ac:dyDescent="0.3">
      <c r="A244" s="397" t="s">
        <v>7283</v>
      </c>
      <c r="C244" s="397" t="s">
        <v>1053</v>
      </c>
      <c r="D244" s="397" t="s">
        <v>7282</v>
      </c>
      <c r="E244" s="397" t="s">
        <v>7281</v>
      </c>
      <c r="F244" s="397" t="s">
        <v>191</v>
      </c>
      <c r="G244" s="396">
        <v>4</v>
      </c>
      <c r="H244" s="395">
        <v>128754.66800000001</v>
      </c>
      <c r="I244" s="394">
        <v>118340.65000000001</v>
      </c>
      <c r="J244" s="394">
        <v>183935.24</v>
      </c>
      <c r="K244" s="393" t="s">
        <v>1033</v>
      </c>
    </row>
    <row r="245" spans="1:12" hidden="1" x14ac:dyDescent="0.3">
      <c r="A245" s="397" t="s">
        <v>7280</v>
      </c>
      <c r="C245" s="397" t="s">
        <v>1053</v>
      </c>
      <c r="D245" s="397" t="s">
        <v>7279</v>
      </c>
      <c r="E245" s="397" t="s">
        <v>7278</v>
      </c>
      <c r="F245" s="397" t="s">
        <v>191</v>
      </c>
      <c r="G245" s="396">
        <v>4</v>
      </c>
      <c r="H245" s="395">
        <v>1047068.1900000001</v>
      </c>
      <c r="I245" s="394">
        <v>3928.4900000000002</v>
      </c>
      <c r="J245" s="394">
        <v>1495811.7</v>
      </c>
      <c r="K245" s="393" t="s">
        <v>1033</v>
      </c>
    </row>
    <row r="246" spans="1:12" hidden="1" x14ac:dyDescent="0.3">
      <c r="A246" s="397" t="s">
        <v>4698</v>
      </c>
      <c r="C246" s="397" t="s">
        <v>1053</v>
      </c>
      <c r="D246" s="397" t="s">
        <v>4697</v>
      </c>
      <c r="E246" s="397" t="s">
        <v>4696</v>
      </c>
      <c r="F246" s="397" t="s">
        <v>191</v>
      </c>
      <c r="G246" s="396">
        <v>1</v>
      </c>
      <c r="H246" s="395">
        <v>421341.69700000004</v>
      </c>
      <c r="I246" s="394">
        <v>538.58000000000004</v>
      </c>
      <c r="J246" s="394">
        <v>601916.71</v>
      </c>
      <c r="K246" s="393" t="s">
        <v>1033</v>
      </c>
    </row>
    <row r="247" spans="1:12" hidden="1" x14ac:dyDescent="0.3">
      <c r="A247" s="397" t="s">
        <v>4688</v>
      </c>
      <c r="C247" s="397" t="s">
        <v>1053</v>
      </c>
      <c r="D247" s="397" t="s">
        <v>4687</v>
      </c>
      <c r="E247" s="397" t="s">
        <v>4686</v>
      </c>
      <c r="F247" s="397" t="s">
        <v>191</v>
      </c>
      <c r="G247" s="396">
        <v>2</v>
      </c>
      <c r="H247" s="395">
        <v>4292.8620000000001</v>
      </c>
      <c r="I247" s="394">
        <v>168.79</v>
      </c>
      <c r="J247" s="394">
        <v>6132.66</v>
      </c>
      <c r="K247" s="393" t="s">
        <v>1033</v>
      </c>
    </row>
    <row r="248" spans="1:12" hidden="1" x14ac:dyDescent="0.3">
      <c r="A248" s="397" t="s">
        <v>4682</v>
      </c>
      <c r="C248" s="397" t="s">
        <v>1053</v>
      </c>
      <c r="D248" s="397" t="s">
        <v>4681</v>
      </c>
      <c r="E248" s="397" t="s">
        <v>4678</v>
      </c>
      <c r="F248" s="397" t="s">
        <v>191</v>
      </c>
      <c r="G248" s="396">
        <v>1</v>
      </c>
      <c r="H248" s="395">
        <v>5448.576</v>
      </c>
      <c r="I248" s="394">
        <v>1130.6300000000001</v>
      </c>
      <c r="J248" s="394">
        <v>7783.68</v>
      </c>
      <c r="K248" s="393" t="s">
        <v>1033</v>
      </c>
    </row>
    <row r="249" spans="1:12" hidden="1" x14ac:dyDescent="0.3">
      <c r="A249" s="397" t="s">
        <v>4672</v>
      </c>
      <c r="C249" s="397" t="s">
        <v>1053</v>
      </c>
      <c r="D249" s="397" t="s">
        <v>4671</v>
      </c>
      <c r="E249" s="397" t="s">
        <v>4670</v>
      </c>
      <c r="F249" s="397" t="s">
        <v>191</v>
      </c>
      <c r="G249" s="396">
        <v>2</v>
      </c>
      <c r="H249" s="395">
        <v>52756.844000000005</v>
      </c>
      <c r="I249" s="394">
        <v>588.58000000000004</v>
      </c>
      <c r="J249" s="394">
        <v>75366.92</v>
      </c>
      <c r="K249" s="393" t="s">
        <v>1033</v>
      </c>
    </row>
    <row r="250" spans="1:12" hidden="1" x14ac:dyDescent="0.3">
      <c r="A250" s="397" t="s">
        <v>7286</v>
      </c>
      <c r="C250" s="397" t="s">
        <v>1053</v>
      </c>
      <c r="D250" s="397" t="s">
        <v>7285</v>
      </c>
      <c r="E250" s="397" t="s">
        <v>7284</v>
      </c>
      <c r="F250" s="397" t="s">
        <v>191</v>
      </c>
      <c r="G250" s="396">
        <v>3</v>
      </c>
      <c r="H250" s="395">
        <v>1094517.2069999999</v>
      </c>
      <c r="I250" s="394">
        <v>835616.58000000007</v>
      </c>
      <c r="J250" s="394">
        <v>1563596.01</v>
      </c>
      <c r="K250" s="393" t="s">
        <v>1033</v>
      </c>
    </row>
    <row r="251" spans="1:12" hidden="1" x14ac:dyDescent="0.3">
      <c r="A251" s="397" t="s">
        <v>7605</v>
      </c>
      <c r="C251" s="397" t="s">
        <v>1053</v>
      </c>
      <c r="D251" s="397" t="s">
        <v>7604</v>
      </c>
      <c r="E251" s="397" t="s">
        <v>7603</v>
      </c>
      <c r="F251" s="397" t="s">
        <v>191</v>
      </c>
      <c r="G251" s="396">
        <v>1</v>
      </c>
      <c r="H251" s="395">
        <v>447819.946</v>
      </c>
      <c r="I251" s="394">
        <v>582.57000000000005</v>
      </c>
      <c r="J251" s="394">
        <v>639742.78</v>
      </c>
      <c r="K251" s="393" t="s">
        <v>1033</v>
      </c>
    </row>
    <row r="252" spans="1:12" hidden="1" x14ac:dyDescent="0.3">
      <c r="A252" s="397" t="s">
        <v>7985</v>
      </c>
      <c r="C252" s="397" t="s">
        <v>1053</v>
      </c>
      <c r="D252" s="397" t="s">
        <v>7984</v>
      </c>
      <c r="E252" s="397" t="s">
        <v>7983</v>
      </c>
      <c r="F252" s="397" t="s">
        <v>191</v>
      </c>
      <c r="G252" s="396">
        <v>1</v>
      </c>
      <c r="H252" s="395">
        <v>1022829.143</v>
      </c>
      <c r="I252" s="394">
        <v>7782.16</v>
      </c>
      <c r="J252" s="394">
        <v>1461184.49</v>
      </c>
      <c r="K252" s="393" t="s">
        <v>1033</v>
      </c>
    </row>
    <row r="253" spans="1:12" hidden="1" x14ac:dyDescent="0.3">
      <c r="A253" s="397" t="s">
        <v>6522</v>
      </c>
      <c r="C253" s="397" t="s">
        <v>1053</v>
      </c>
      <c r="D253" s="397" t="s">
        <v>6521</v>
      </c>
      <c r="E253" s="397" t="s">
        <v>6520</v>
      </c>
      <c r="F253" s="397" t="s">
        <v>191</v>
      </c>
      <c r="G253" s="396">
        <v>2</v>
      </c>
      <c r="H253" s="395">
        <v>43910.048000000003</v>
      </c>
      <c r="I253" s="394">
        <v>36380.46</v>
      </c>
      <c r="J253" s="394">
        <v>62728.639999999999</v>
      </c>
      <c r="K253" s="393" t="s">
        <v>1033</v>
      </c>
    </row>
    <row r="254" spans="1:12" hidden="1" x14ac:dyDescent="0.3">
      <c r="A254" s="397" t="s">
        <v>4685</v>
      </c>
      <c r="C254" s="397" t="s">
        <v>1053</v>
      </c>
      <c r="D254" s="397" t="s">
        <v>4684</v>
      </c>
      <c r="E254" s="397" t="s">
        <v>4683</v>
      </c>
      <c r="F254" s="397" t="s">
        <v>191</v>
      </c>
      <c r="G254" s="396">
        <v>1</v>
      </c>
      <c r="H254" s="395">
        <v>49491.525999999998</v>
      </c>
      <c r="I254" s="394">
        <v>2930.65</v>
      </c>
      <c r="J254" s="394">
        <v>70702.179999999993</v>
      </c>
      <c r="K254" s="393" t="s">
        <v>1033</v>
      </c>
    </row>
    <row r="255" spans="1:12" hidden="1" x14ac:dyDescent="0.3">
      <c r="A255" s="397" t="s">
        <v>6512</v>
      </c>
      <c r="B255" s="397" t="s">
        <v>6511</v>
      </c>
      <c r="C255" s="397" t="s">
        <v>1053</v>
      </c>
      <c r="D255" s="397" t="s">
        <v>6510</v>
      </c>
      <c r="E255" s="397" t="s">
        <v>6504</v>
      </c>
      <c r="F255" s="397" t="s">
        <v>191</v>
      </c>
      <c r="G255" s="396">
        <v>2</v>
      </c>
      <c r="H255" s="395">
        <v>49056.609000000004</v>
      </c>
      <c r="I255" s="394">
        <v>34260.49</v>
      </c>
      <c r="J255" s="394">
        <v>70080.87</v>
      </c>
      <c r="K255" s="393" t="s">
        <v>1033</v>
      </c>
    </row>
    <row r="256" spans="1:12" hidden="1" x14ac:dyDescent="0.3">
      <c r="A256" s="397" t="s">
        <v>4680</v>
      </c>
      <c r="C256" s="397" t="s">
        <v>1053</v>
      </c>
      <c r="D256" s="397" t="s">
        <v>4679</v>
      </c>
      <c r="E256" s="397" t="s">
        <v>4678</v>
      </c>
      <c r="F256" s="397" t="s">
        <v>191</v>
      </c>
      <c r="G256" s="396">
        <v>1</v>
      </c>
      <c r="H256" s="395">
        <v>50664.081999999995</v>
      </c>
      <c r="I256" s="394">
        <v>2930.65</v>
      </c>
      <c r="J256" s="394">
        <v>72377.259999999995</v>
      </c>
      <c r="K256" s="393" t="s">
        <v>1033</v>
      </c>
    </row>
    <row r="257" spans="1:12" hidden="1" x14ac:dyDescent="0.3">
      <c r="A257" s="397" t="s">
        <v>6503</v>
      </c>
      <c r="C257" s="397" t="s">
        <v>1053</v>
      </c>
      <c r="D257" s="397" t="s">
        <v>6502</v>
      </c>
      <c r="E257" s="397" t="s">
        <v>6501</v>
      </c>
      <c r="F257" s="397" t="s">
        <v>191</v>
      </c>
      <c r="G257" s="396">
        <v>1</v>
      </c>
      <c r="H257" s="395">
        <v>48235.347999999998</v>
      </c>
      <c r="I257" s="394">
        <v>46124.07</v>
      </c>
      <c r="J257" s="394">
        <v>68907.64</v>
      </c>
      <c r="K257" s="393" t="s">
        <v>1033</v>
      </c>
    </row>
    <row r="258" spans="1:12" hidden="1" x14ac:dyDescent="0.3">
      <c r="A258" s="397" t="s">
        <v>8226</v>
      </c>
      <c r="C258" s="397" t="s">
        <v>1053</v>
      </c>
      <c r="D258" s="397" t="s">
        <v>8225</v>
      </c>
      <c r="E258" s="397" t="s">
        <v>8224</v>
      </c>
      <c r="F258" s="397" t="s">
        <v>191</v>
      </c>
      <c r="G258" s="396">
        <v>1</v>
      </c>
      <c r="H258" s="395">
        <v>84559.384000000005</v>
      </c>
      <c r="I258" s="394">
        <v>3877.65</v>
      </c>
      <c r="J258" s="394">
        <v>120799.12</v>
      </c>
      <c r="K258" s="393" t="s">
        <v>1033</v>
      </c>
    </row>
    <row r="259" spans="1:12" hidden="1" x14ac:dyDescent="0.3">
      <c r="A259" s="397" t="s">
        <v>6515</v>
      </c>
      <c r="C259" s="397" t="s">
        <v>1053</v>
      </c>
      <c r="D259" s="397" t="s">
        <v>6514</v>
      </c>
      <c r="E259" s="397" t="s">
        <v>6513</v>
      </c>
      <c r="F259" s="397" t="s">
        <v>191</v>
      </c>
      <c r="G259" s="396">
        <v>1</v>
      </c>
      <c r="H259" s="395">
        <v>48235.347999999998</v>
      </c>
      <c r="I259" s="394">
        <v>46124.07</v>
      </c>
      <c r="J259" s="394">
        <v>68907.64</v>
      </c>
      <c r="K259" s="393" t="s">
        <v>1033</v>
      </c>
    </row>
    <row r="260" spans="1:12" hidden="1" x14ac:dyDescent="0.3">
      <c r="A260" s="397" t="s">
        <v>6738</v>
      </c>
      <c r="C260" s="397" t="s">
        <v>1053</v>
      </c>
      <c r="D260" s="397" t="s">
        <v>6737</v>
      </c>
      <c r="E260" s="397" t="s">
        <v>6736</v>
      </c>
      <c r="F260" s="397" t="s">
        <v>191</v>
      </c>
      <c r="G260" s="396">
        <v>1</v>
      </c>
      <c r="H260" s="395">
        <v>597369.66100000008</v>
      </c>
      <c r="I260" s="394">
        <v>4645.29</v>
      </c>
      <c r="J260" s="394">
        <v>853385.23</v>
      </c>
      <c r="K260" s="393" t="s">
        <v>1033</v>
      </c>
    </row>
    <row r="261" spans="1:12" hidden="1" x14ac:dyDescent="0.3">
      <c r="A261" s="397" t="s">
        <v>8096</v>
      </c>
      <c r="C261" s="397" t="s">
        <v>1053</v>
      </c>
      <c r="D261" s="397" t="s">
        <v>8095</v>
      </c>
      <c r="E261" s="397" t="s">
        <v>8094</v>
      </c>
      <c r="F261" s="397" t="s">
        <v>191</v>
      </c>
      <c r="G261" s="396">
        <v>1</v>
      </c>
      <c r="H261" s="395">
        <v>78494.226999999999</v>
      </c>
      <c r="I261" s="394">
        <v>55016.54</v>
      </c>
      <c r="J261" s="394">
        <v>112134.61</v>
      </c>
      <c r="K261" s="393" t="s">
        <v>1033</v>
      </c>
    </row>
    <row r="262" spans="1:12" hidden="1" x14ac:dyDescent="0.3">
      <c r="A262" s="397" t="s">
        <v>4677</v>
      </c>
      <c r="C262" s="397" t="s">
        <v>1053</v>
      </c>
      <c r="D262" s="397" t="s">
        <v>4676</v>
      </c>
      <c r="E262" s="397" t="s">
        <v>4675</v>
      </c>
      <c r="F262" s="397" t="s">
        <v>191</v>
      </c>
      <c r="G262" s="396">
        <v>1</v>
      </c>
      <c r="H262" s="395">
        <v>54677.637000000002</v>
      </c>
      <c r="I262" s="394">
        <v>2430.84</v>
      </c>
      <c r="J262" s="394">
        <v>78110.91</v>
      </c>
      <c r="K262" s="393" t="s">
        <v>1033</v>
      </c>
    </row>
    <row r="263" spans="1:12" hidden="1" x14ac:dyDescent="0.3">
      <c r="A263" s="397" t="s">
        <v>1238</v>
      </c>
      <c r="C263" s="397" t="s">
        <v>1053</v>
      </c>
      <c r="D263" s="397" t="s">
        <v>1237</v>
      </c>
      <c r="E263" s="397" t="s">
        <v>1236</v>
      </c>
      <c r="F263" s="397" t="s">
        <v>191</v>
      </c>
      <c r="G263" s="396">
        <v>1</v>
      </c>
      <c r="H263" s="395">
        <v>1231.3910000000001</v>
      </c>
      <c r="I263" s="394">
        <v>1066.1400000000001</v>
      </c>
      <c r="J263" s="394">
        <v>1759.13</v>
      </c>
      <c r="K263" s="393" t="s">
        <v>1033</v>
      </c>
    </row>
    <row r="264" spans="1:12" hidden="1" x14ac:dyDescent="0.3">
      <c r="A264" s="397" t="s">
        <v>5294</v>
      </c>
      <c r="C264" s="397" t="s">
        <v>1053</v>
      </c>
      <c r="D264" s="397" t="s">
        <v>5293</v>
      </c>
      <c r="E264" s="397" t="s">
        <v>5292</v>
      </c>
      <c r="F264" s="397" t="s">
        <v>191</v>
      </c>
      <c r="G264" s="396">
        <v>2</v>
      </c>
      <c r="H264" s="395">
        <v>70897.876000000004</v>
      </c>
      <c r="I264" s="394">
        <v>39119.199999999997</v>
      </c>
      <c r="J264" s="394">
        <v>101282.68000000001</v>
      </c>
      <c r="K264" s="393" t="s">
        <v>1033</v>
      </c>
    </row>
    <row r="265" spans="1:12" hidden="1" x14ac:dyDescent="0.3">
      <c r="A265" s="397" t="s">
        <v>4070</v>
      </c>
      <c r="C265" s="397" t="s">
        <v>1053</v>
      </c>
      <c r="D265" s="397" t="s">
        <v>4069</v>
      </c>
      <c r="E265" s="397" t="s">
        <v>4068</v>
      </c>
      <c r="F265" s="397" t="s">
        <v>191</v>
      </c>
      <c r="G265" s="396">
        <v>3</v>
      </c>
      <c r="H265" s="395">
        <v>158208.18300000002</v>
      </c>
      <c r="I265" s="394">
        <v>155455.22</v>
      </c>
      <c r="J265" s="394">
        <v>226011.69</v>
      </c>
      <c r="K265" s="393" t="s">
        <v>1033</v>
      </c>
      <c r="L265" s="395">
        <v>1</v>
      </c>
    </row>
    <row r="266" spans="1:12" hidden="1" x14ac:dyDescent="0.3">
      <c r="A266" s="397" t="s">
        <v>1187</v>
      </c>
      <c r="C266" s="397" t="s">
        <v>1053</v>
      </c>
      <c r="D266" s="397" t="s">
        <v>1186</v>
      </c>
      <c r="E266" s="397" t="s">
        <v>1185</v>
      </c>
      <c r="F266" s="397" t="s">
        <v>191</v>
      </c>
      <c r="G266" s="396">
        <v>4</v>
      </c>
      <c r="H266" s="395">
        <v>39319.273000000001</v>
      </c>
      <c r="I266" s="394">
        <v>597.82000000000005</v>
      </c>
      <c r="J266" s="394">
        <v>56170.39</v>
      </c>
      <c r="K266" s="393" t="s">
        <v>1033</v>
      </c>
    </row>
    <row r="267" spans="1:12" hidden="1" x14ac:dyDescent="0.3">
      <c r="A267" s="397" t="s">
        <v>4690</v>
      </c>
      <c r="C267" s="397" t="s">
        <v>1053</v>
      </c>
      <c r="D267" s="397" t="s">
        <v>4689</v>
      </c>
      <c r="E267" s="397" t="s">
        <v>4670</v>
      </c>
      <c r="F267" s="397" t="s">
        <v>191</v>
      </c>
      <c r="G267" s="396">
        <v>1</v>
      </c>
      <c r="H267" s="395">
        <v>46462.43</v>
      </c>
      <c r="I267" s="394">
        <v>329.16</v>
      </c>
      <c r="J267" s="394">
        <v>66374.899999999994</v>
      </c>
      <c r="K267" s="393" t="s">
        <v>1033</v>
      </c>
    </row>
    <row r="268" spans="1:12" hidden="1" x14ac:dyDescent="0.3">
      <c r="A268" s="397" t="s">
        <v>4842</v>
      </c>
      <c r="C268" s="397" t="s">
        <v>1053</v>
      </c>
      <c r="D268" s="397" t="s">
        <v>4841</v>
      </c>
      <c r="E268" s="397" t="s">
        <v>4840</v>
      </c>
      <c r="F268" s="397" t="s">
        <v>191</v>
      </c>
      <c r="G268" s="396">
        <v>1</v>
      </c>
      <c r="H268" s="395">
        <v>470965.36900000001</v>
      </c>
      <c r="I268" s="394">
        <v>8927.3799999999992</v>
      </c>
      <c r="J268" s="394">
        <v>672807.67</v>
      </c>
      <c r="K268" s="393" t="s">
        <v>1033</v>
      </c>
    </row>
    <row r="269" spans="1:12" hidden="1" x14ac:dyDescent="0.3">
      <c r="A269" s="397" t="s">
        <v>4113</v>
      </c>
      <c r="C269" s="397" t="s">
        <v>1053</v>
      </c>
      <c r="D269" s="397" t="s">
        <v>4112</v>
      </c>
      <c r="E269" s="397" t="s">
        <v>4111</v>
      </c>
      <c r="F269" s="397" t="s">
        <v>191</v>
      </c>
      <c r="G269" s="396">
        <v>1</v>
      </c>
      <c r="H269" s="395">
        <v>31369.597000000002</v>
      </c>
      <c r="I269" s="394">
        <v>239.23000000000002</v>
      </c>
      <c r="J269" s="394">
        <v>44813.71</v>
      </c>
      <c r="K269" s="393" t="s">
        <v>1033</v>
      </c>
    </row>
    <row r="270" spans="1:12" hidden="1" x14ac:dyDescent="0.3">
      <c r="A270" s="397" t="s">
        <v>6379</v>
      </c>
      <c r="C270" s="397" t="s">
        <v>1053</v>
      </c>
      <c r="D270" s="397" t="s">
        <v>251</v>
      </c>
      <c r="E270" s="397" t="s">
        <v>250</v>
      </c>
      <c r="F270" s="397" t="s">
        <v>191</v>
      </c>
      <c r="G270" s="396">
        <v>2</v>
      </c>
      <c r="H270" s="395">
        <v>306370.57500000001</v>
      </c>
      <c r="I270" s="394">
        <v>296702.28000000003</v>
      </c>
      <c r="J270" s="394">
        <v>437672.25</v>
      </c>
      <c r="K270" s="393" t="s">
        <v>1033</v>
      </c>
      <c r="L270" s="395">
        <v>2</v>
      </c>
    </row>
    <row r="271" spans="1:12" hidden="1" x14ac:dyDescent="0.3">
      <c r="A271" s="397" t="s">
        <v>6366</v>
      </c>
      <c r="C271" s="397" t="s">
        <v>1053</v>
      </c>
      <c r="D271" s="397" t="s">
        <v>6365</v>
      </c>
      <c r="E271" s="397" t="s">
        <v>6364</v>
      </c>
      <c r="F271" s="397" t="s">
        <v>191</v>
      </c>
      <c r="G271" s="396">
        <v>2</v>
      </c>
      <c r="H271" s="395">
        <v>333011.49</v>
      </c>
      <c r="I271" s="394">
        <v>327340.01</v>
      </c>
      <c r="J271" s="394">
        <v>475730.7</v>
      </c>
      <c r="K271" s="393" t="s">
        <v>1033</v>
      </c>
      <c r="L271" s="395">
        <v>2</v>
      </c>
    </row>
    <row r="272" spans="1:12" hidden="1" x14ac:dyDescent="0.3">
      <c r="A272" s="397" t="s">
        <v>6384</v>
      </c>
      <c r="C272" s="397" t="s">
        <v>1053</v>
      </c>
      <c r="D272" s="397" t="s">
        <v>6383</v>
      </c>
      <c r="E272" s="397" t="s">
        <v>6382</v>
      </c>
      <c r="F272" s="397" t="s">
        <v>191</v>
      </c>
      <c r="G272" s="396">
        <v>1</v>
      </c>
      <c r="H272" s="395">
        <v>392640.815</v>
      </c>
      <c r="I272" s="394">
        <v>15173.87</v>
      </c>
      <c r="J272" s="394">
        <v>560915.44999999995</v>
      </c>
      <c r="K272" s="393" t="s">
        <v>1033</v>
      </c>
    </row>
    <row r="273" spans="1:12" hidden="1" x14ac:dyDescent="0.3">
      <c r="A273" s="397" t="s">
        <v>6374</v>
      </c>
      <c r="C273" s="397" t="s">
        <v>1053</v>
      </c>
      <c r="D273" s="397" t="s">
        <v>6373</v>
      </c>
      <c r="E273" s="397" t="s">
        <v>6359</v>
      </c>
      <c r="F273" s="397" t="s">
        <v>191</v>
      </c>
      <c r="G273" s="396">
        <v>1</v>
      </c>
      <c r="H273" s="395">
        <v>409668.74899999989</v>
      </c>
      <c r="I273" s="394">
        <v>16660.060000000001</v>
      </c>
      <c r="J273" s="394">
        <v>585241.06999999995</v>
      </c>
      <c r="K273" s="393" t="s">
        <v>1033</v>
      </c>
    </row>
    <row r="274" spans="1:12" hidden="1" x14ac:dyDescent="0.3">
      <c r="A274" s="397" t="s">
        <v>6369</v>
      </c>
      <c r="C274" s="397" t="s">
        <v>1053</v>
      </c>
      <c r="D274" s="397" t="s">
        <v>6368</v>
      </c>
      <c r="E274" s="397" t="s">
        <v>6367</v>
      </c>
      <c r="F274" s="397" t="s">
        <v>191</v>
      </c>
      <c r="G274" s="396">
        <v>1</v>
      </c>
      <c r="H274" s="395">
        <v>392640.815</v>
      </c>
      <c r="I274" s="394">
        <v>15173.87</v>
      </c>
      <c r="J274" s="394">
        <v>560915.44999999995</v>
      </c>
      <c r="K274" s="393" t="s">
        <v>1033</v>
      </c>
    </row>
    <row r="275" spans="1:12" hidden="1" x14ac:dyDescent="0.3">
      <c r="A275" s="397" t="s">
        <v>6361</v>
      </c>
      <c r="C275" s="397" t="s">
        <v>1053</v>
      </c>
      <c r="D275" s="397" t="s">
        <v>6360</v>
      </c>
      <c r="E275" s="397" t="s">
        <v>6359</v>
      </c>
      <c r="F275" s="397" t="s">
        <v>191</v>
      </c>
      <c r="G275" s="396">
        <v>1</v>
      </c>
      <c r="H275" s="395">
        <v>365493.429</v>
      </c>
      <c r="I275" s="394">
        <v>13249.04</v>
      </c>
      <c r="J275" s="394">
        <v>522133.47000000003</v>
      </c>
      <c r="K275" s="393" t="s">
        <v>1033</v>
      </c>
    </row>
    <row r="276" spans="1:12" hidden="1" x14ac:dyDescent="0.3">
      <c r="A276" s="397" t="s">
        <v>6381</v>
      </c>
      <c r="C276" s="397" t="s">
        <v>1053</v>
      </c>
      <c r="D276" s="397" t="s">
        <v>6380</v>
      </c>
      <c r="E276" s="397" t="s">
        <v>6359</v>
      </c>
      <c r="F276" s="397" t="s">
        <v>191</v>
      </c>
      <c r="G276" s="396">
        <v>1</v>
      </c>
      <c r="H276" s="395">
        <v>441938.71399999998</v>
      </c>
      <c r="I276" s="394">
        <v>345716.84</v>
      </c>
      <c r="J276" s="394">
        <v>631341.02</v>
      </c>
      <c r="K276" s="393" t="s">
        <v>1033</v>
      </c>
      <c r="L276" s="395">
        <v>1</v>
      </c>
    </row>
    <row r="277" spans="1:12" hidden="1" x14ac:dyDescent="0.3">
      <c r="A277" s="397" t="s">
        <v>6376</v>
      </c>
      <c r="C277" s="397" t="s">
        <v>1053</v>
      </c>
      <c r="D277" s="397" t="s">
        <v>6375</v>
      </c>
      <c r="E277" s="397" t="s">
        <v>6359</v>
      </c>
      <c r="F277" s="397" t="s">
        <v>191</v>
      </c>
      <c r="G277" s="396">
        <v>1</v>
      </c>
      <c r="H277" s="395">
        <v>648844.44099999999</v>
      </c>
      <c r="I277" s="394">
        <v>36180.1</v>
      </c>
      <c r="J277" s="394">
        <v>926920.63</v>
      </c>
      <c r="K277" s="393" t="s">
        <v>1033</v>
      </c>
    </row>
    <row r="278" spans="1:12" hidden="1" x14ac:dyDescent="0.3">
      <c r="A278" s="397" t="s">
        <v>6389</v>
      </c>
      <c r="C278" s="397" t="s">
        <v>1053</v>
      </c>
      <c r="D278" s="397" t="s">
        <v>6388</v>
      </c>
      <c r="E278" s="397" t="s">
        <v>6167</v>
      </c>
      <c r="F278" s="397" t="s">
        <v>191</v>
      </c>
      <c r="G278" s="396">
        <v>1</v>
      </c>
      <c r="H278" s="395">
        <v>331484.96500000003</v>
      </c>
      <c r="I278" s="394">
        <v>17100.740000000002</v>
      </c>
      <c r="J278" s="394">
        <v>473549.95</v>
      </c>
      <c r="K278" s="393" t="s">
        <v>1033</v>
      </c>
    </row>
    <row r="279" spans="1:12" hidden="1" x14ac:dyDescent="0.3">
      <c r="A279" s="397" t="s">
        <v>6174</v>
      </c>
      <c r="C279" s="397" t="s">
        <v>1053</v>
      </c>
      <c r="D279" s="397" t="s">
        <v>6173</v>
      </c>
      <c r="E279" s="397" t="s">
        <v>6172</v>
      </c>
      <c r="F279" s="397" t="s">
        <v>191</v>
      </c>
      <c r="G279" s="396">
        <v>3</v>
      </c>
      <c r="H279" s="395">
        <v>384556.71799999999</v>
      </c>
      <c r="I279" s="394">
        <v>363146.87</v>
      </c>
      <c r="J279" s="394">
        <v>549366.74</v>
      </c>
      <c r="K279" s="393" t="s">
        <v>1033</v>
      </c>
    </row>
    <row r="280" spans="1:12" hidden="1" x14ac:dyDescent="0.3">
      <c r="A280" s="397" t="s">
        <v>6169</v>
      </c>
      <c r="C280" s="397" t="s">
        <v>1053</v>
      </c>
      <c r="D280" s="397" t="s">
        <v>6168</v>
      </c>
      <c r="E280" s="397" t="s">
        <v>6167</v>
      </c>
      <c r="F280" s="397" t="s">
        <v>191</v>
      </c>
      <c r="G280" s="396">
        <v>3</v>
      </c>
      <c r="H280" s="395">
        <v>384556.71799999999</v>
      </c>
      <c r="I280" s="394">
        <v>368594.07</v>
      </c>
      <c r="J280" s="394">
        <v>549366.74</v>
      </c>
      <c r="K280" s="393" t="s">
        <v>1033</v>
      </c>
    </row>
    <row r="281" spans="1:12" hidden="1" x14ac:dyDescent="0.3">
      <c r="A281" s="397" t="s">
        <v>6387</v>
      </c>
      <c r="C281" s="397" t="s">
        <v>1053</v>
      </c>
      <c r="D281" s="397" t="s">
        <v>6386</v>
      </c>
      <c r="E281" s="397" t="s">
        <v>6385</v>
      </c>
      <c r="F281" s="397" t="s">
        <v>191</v>
      </c>
      <c r="G281" s="396">
        <v>1</v>
      </c>
      <c r="H281" s="395">
        <v>491249.31799999997</v>
      </c>
      <c r="I281" s="394">
        <v>464015.53</v>
      </c>
      <c r="J281" s="394">
        <v>701784.74</v>
      </c>
      <c r="K281" s="393" t="s">
        <v>1033</v>
      </c>
    </row>
    <row r="282" spans="1:12" hidden="1" x14ac:dyDescent="0.3">
      <c r="A282" s="397" t="s">
        <v>6372</v>
      </c>
      <c r="C282" s="397" t="s">
        <v>1053</v>
      </c>
      <c r="D282" s="397" t="s">
        <v>6371</v>
      </c>
      <c r="E282" s="397" t="s">
        <v>6370</v>
      </c>
      <c r="F282" s="397" t="s">
        <v>191</v>
      </c>
      <c r="G282" s="396">
        <v>1</v>
      </c>
      <c r="H282" s="395">
        <v>491249.31799999997</v>
      </c>
      <c r="I282" s="394">
        <v>464015.53</v>
      </c>
      <c r="J282" s="394">
        <v>701784.74</v>
      </c>
      <c r="K282" s="393" t="s">
        <v>1033</v>
      </c>
    </row>
    <row r="283" spans="1:12" hidden="1" x14ac:dyDescent="0.3">
      <c r="A283" s="397" t="s">
        <v>6969</v>
      </c>
      <c r="C283" s="397" t="s">
        <v>1053</v>
      </c>
      <c r="D283" s="397" t="s">
        <v>6968</v>
      </c>
      <c r="E283" s="397" t="s">
        <v>6967</v>
      </c>
      <c r="F283" s="397" t="s">
        <v>191</v>
      </c>
      <c r="G283" s="396">
        <v>1</v>
      </c>
      <c r="H283" s="395">
        <v>236817.98</v>
      </c>
      <c r="I283" s="394">
        <v>227893.30000000002</v>
      </c>
      <c r="J283" s="394">
        <v>338311.4</v>
      </c>
      <c r="K283" s="393" t="s">
        <v>1033</v>
      </c>
    </row>
    <row r="284" spans="1:12" hidden="1" x14ac:dyDescent="0.3">
      <c r="A284" s="397" t="s">
        <v>6149</v>
      </c>
      <c r="C284" s="397" t="s">
        <v>1053</v>
      </c>
      <c r="D284" s="397" t="s">
        <v>6148</v>
      </c>
      <c r="E284" s="397" t="s">
        <v>6147</v>
      </c>
      <c r="F284" s="397" t="s">
        <v>191</v>
      </c>
      <c r="G284" s="396">
        <v>1</v>
      </c>
      <c r="H284" s="395">
        <v>291979.429</v>
      </c>
      <c r="I284" s="394">
        <v>146710.69</v>
      </c>
      <c r="J284" s="394">
        <v>417113.47000000003</v>
      </c>
      <c r="K284" s="393" t="s">
        <v>1033</v>
      </c>
    </row>
    <row r="285" spans="1:12" hidden="1" x14ac:dyDescent="0.3">
      <c r="A285" s="397" t="s">
        <v>5484</v>
      </c>
      <c r="C285" s="397" t="s">
        <v>1053</v>
      </c>
      <c r="D285" s="397" t="s">
        <v>5483</v>
      </c>
      <c r="E285" s="397" t="s">
        <v>5477</v>
      </c>
      <c r="F285" s="397" t="s">
        <v>191</v>
      </c>
      <c r="G285" s="396">
        <v>1</v>
      </c>
      <c r="H285" s="395">
        <v>45502.639000000003</v>
      </c>
      <c r="I285" s="394">
        <v>29511.7</v>
      </c>
      <c r="J285" s="394">
        <v>65003.770000000004</v>
      </c>
      <c r="K285" s="393" t="s">
        <v>1033</v>
      </c>
    </row>
    <row r="286" spans="1:12" hidden="1" x14ac:dyDescent="0.3">
      <c r="A286" s="397" t="s">
        <v>5618</v>
      </c>
      <c r="C286" s="397" t="s">
        <v>1053</v>
      </c>
      <c r="D286" s="397" t="s">
        <v>5617</v>
      </c>
      <c r="E286" s="397" t="s">
        <v>5604</v>
      </c>
      <c r="F286" s="397" t="s">
        <v>191</v>
      </c>
      <c r="G286" s="396">
        <v>1</v>
      </c>
      <c r="H286" s="395">
        <v>56812.959000000003</v>
      </c>
      <c r="I286" s="394">
        <v>1619.7</v>
      </c>
      <c r="J286" s="394">
        <v>81161.37</v>
      </c>
      <c r="K286" s="393" t="s">
        <v>1033</v>
      </c>
    </row>
    <row r="287" spans="1:12" hidden="1" x14ac:dyDescent="0.3">
      <c r="A287" s="397" t="s">
        <v>5222</v>
      </c>
      <c r="C287" s="397" t="s">
        <v>1053</v>
      </c>
      <c r="D287" s="397" t="s">
        <v>5221</v>
      </c>
      <c r="E287" s="397" t="s">
        <v>5216</v>
      </c>
      <c r="F287" s="397" t="s">
        <v>191</v>
      </c>
      <c r="G287" s="396">
        <v>1</v>
      </c>
      <c r="H287" s="395">
        <v>41.86</v>
      </c>
      <c r="I287" s="394">
        <v>20.41</v>
      </c>
      <c r="J287" s="394">
        <v>59.800000000000004</v>
      </c>
      <c r="K287" s="393" t="s">
        <v>1033</v>
      </c>
    </row>
    <row r="288" spans="1:12" hidden="1" x14ac:dyDescent="0.3">
      <c r="A288" s="397" t="s">
        <v>4474</v>
      </c>
      <c r="C288" s="397" t="s">
        <v>1053</v>
      </c>
      <c r="D288" s="397" t="s">
        <v>4473</v>
      </c>
      <c r="E288" s="397" t="s">
        <v>4472</v>
      </c>
      <c r="F288" s="397" t="s">
        <v>191</v>
      </c>
      <c r="G288" s="396">
        <v>1</v>
      </c>
      <c r="H288" s="395">
        <v>149668.505</v>
      </c>
      <c r="I288" s="394">
        <v>545.49</v>
      </c>
      <c r="J288" s="394">
        <v>213812.15</v>
      </c>
      <c r="K288" s="393" t="s">
        <v>1033</v>
      </c>
    </row>
    <row r="289" spans="1:12" hidden="1" x14ac:dyDescent="0.3">
      <c r="A289" s="397" t="s">
        <v>6528</v>
      </c>
      <c r="C289" s="397" t="s">
        <v>1053</v>
      </c>
      <c r="D289" s="397" t="s">
        <v>6527</v>
      </c>
      <c r="E289" s="397" t="s">
        <v>6524</v>
      </c>
      <c r="F289" s="397" t="s">
        <v>191</v>
      </c>
      <c r="G289" s="396">
        <v>2</v>
      </c>
      <c r="H289" s="395">
        <v>156081.99600000001</v>
      </c>
      <c r="I289" s="394">
        <v>8261.08</v>
      </c>
      <c r="J289" s="394">
        <v>222974.28</v>
      </c>
      <c r="K289" s="393" t="s">
        <v>1033</v>
      </c>
    </row>
    <row r="290" spans="1:12" hidden="1" x14ac:dyDescent="0.3">
      <c r="A290" s="397" t="s">
        <v>3864</v>
      </c>
      <c r="C290" s="397" t="s">
        <v>1053</v>
      </c>
      <c r="D290" s="397" t="s">
        <v>3863</v>
      </c>
      <c r="E290" s="397" t="s">
        <v>3862</v>
      </c>
      <c r="F290" s="397" t="s">
        <v>191</v>
      </c>
      <c r="G290" s="396">
        <v>1</v>
      </c>
      <c r="H290" s="395">
        <v>14297.591</v>
      </c>
      <c r="I290" s="394">
        <v>24.38</v>
      </c>
      <c r="J290" s="394">
        <v>20425.13</v>
      </c>
      <c r="K290" s="393" t="s">
        <v>1033</v>
      </c>
    </row>
    <row r="291" spans="1:12" hidden="1" x14ac:dyDescent="0.3">
      <c r="A291" s="397" t="s">
        <v>5045</v>
      </c>
      <c r="C291" s="397" t="s">
        <v>1053</v>
      </c>
      <c r="D291" s="397" t="s">
        <v>5044</v>
      </c>
      <c r="E291" s="397" t="s">
        <v>5041</v>
      </c>
      <c r="F291" s="397" t="s">
        <v>191</v>
      </c>
      <c r="G291" s="396">
        <v>2</v>
      </c>
      <c r="H291" s="395">
        <v>19425.147000000001</v>
      </c>
      <c r="I291" s="394">
        <v>10763.76</v>
      </c>
      <c r="J291" s="394">
        <v>27750.21</v>
      </c>
      <c r="K291" s="393" t="s">
        <v>1033</v>
      </c>
    </row>
    <row r="292" spans="1:12" hidden="1" x14ac:dyDescent="0.3">
      <c r="A292" s="397" t="s">
        <v>5288</v>
      </c>
      <c r="C292" s="397" t="s">
        <v>1053</v>
      </c>
      <c r="D292" s="397" t="s">
        <v>5287</v>
      </c>
      <c r="E292" s="397" t="s">
        <v>5286</v>
      </c>
      <c r="F292" s="397" t="s">
        <v>191</v>
      </c>
      <c r="G292" s="396">
        <v>1</v>
      </c>
      <c r="H292" s="395">
        <v>10402.630000000001</v>
      </c>
      <c r="I292" s="394">
        <v>383.55</v>
      </c>
      <c r="J292" s="394">
        <v>14860.9</v>
      </c>
      <c r="K292" s="393" t="s">
        <v>1033</v>
      </c>
    </row>
    <row r="293" spans="1:12" hidden="1" x14ac:dyDescent="0.3">
      <c r="A293" s="397" t="s">
        <v>5185</v>
      </c>
      <c r="C293" s="397" t="s">
        <v>1053</v>
      </c>
      <c r="D293" s="397" t="s">
        <v>5184</v>
      </c>
      <c r="E293" s="397" t="s">
        <v>5183</v>
      </c>
      <c r="F293" s="397" t="s">
        <v>191</v>
      </c>
      <c r="G293" s="396">
        <v>1</v>
      </c>
      <c r="H293" s="395">
        <v>34383.425999999999</v>
      </c>
      <c r="I293" s="394">
        <v>1411.17</v>
      </c>
      <c r="J293" s="394">
        <v>49119.18</v>
      </c>
      <c r="K293" s="393" t="s">
        <v>1033</v>
      </c>
    </row>
    <row r="294" spans="1:12" hidden="1" x14ac:dyDescent="0.3">
      <c r="A294" s="397" t="s">
        <v>6414</v>
      </c>
      <c r="C294" s="397" t="s">
        <v>1053</v>
      </c>
      <c r="D294" s="397" t="s">
        <v>6413</v>
      </c>
      <c r="E294" s="397" t="s">
        <v>6412</v>
      </c>
      <c r="F294" s="397" t="s">
        <v>191</v>
      </c>
      <c r="G294" s="396">
        <v>1</v>
      </c>
      <c r="H294" s="395">
        <v>105011.80900000001</v>
      </c>
      <c r="I294" s="394">
        <v>83813.38</v>
      </c>
      <c r="J294" s="394">
        <v>150016.87</v>
      </c>
      <c r="K294" s="393" t="s">
        <v>1033</v>
      </c>
    </row>
    <row r="295" spans="1:12" hidden="1" x14ac:dyDescent="0.3">
      <c r="A295" s="397" t="s">
        <v>7939</v>
      </c>
      <c r="C295" s="397" t="s">
        <v>1053</v>
      </c>
      <c r="D295" s="397" t="s">
        <v>7938</v>
      </c>
      <c r="E295" s="397" t="s">
        <v>7932</v>
      </c>
      <c r="F295" s="397" t="s">
        <v>191</v>
      </c>
      <c r="G295" s="396">
        <v>4</v>
      </c>
      <c r="H295" s="395">
        <v>57479.548000000003</v>
      </c>
      <c r="I295" s="394">
        <v>55116.78</v>
      </c>
      <c r="J295" s="394">
        <v>82113.64</v>
      </c>
      <c r="K295" s="393" t="s">
        <v>1033</v>
      </c>
      <c r="L295" s="395">
        <v>1</v>
      </c>
    </row>
    <row r="296" spans="1:12" hidden="1" x14ac:dyDescent="0.3">
      <c r="A296" s="397" t="s">
        <v>7936</v>
      </c>
      <c r="C296" s="397" t="s">
        <v>1053</v>
      </c>
      <c r="D296" s="397" t="s">
        <v>7935</v>
      </c>
      <c r="E296" s="397" t="s">
        <v>7932</v>
      </c>
      <c r="F296" s="397" t="s">
        <v>191</v>
      </c>
      <c r="G296" s="396">
        <v>3</v>
      </c>
      <c r="H296" s="395">
        <v>48670.740999999995</v>
      </c>
      <c r="I296" s="394">
        <v>47810.16</v>
      </c>
      <c r="J296" s="394">
        <v>69529.63</v>
      </c>
      <c r="K296" s="393" t="s">
        <v>1033</v>
      </c>
    </row>
    <row r="297" spans="1:12" hidden="1" x14ac:dyDescent="0.3">
      <c r="A297" s="397" t="s">
        <v>7934</v>
      </c>
      <c r="C297" s="397" t="s">
        <v>1053</v>
      </c>
      <c r="D297" s="397" t="s">
        <v>7933</v>
      </c>
      <c r="E297" s="397" t="s">
        <v>7932</v>
      </c>
      <c r="F297" s="397" t="s">
        <v>191</v>
      </c>
      <c r="G297" s="396">
        <v>3</v>
      </c>
      <c r="H297" s="395">
        <v>51554.734000000004</v>
      </c>
      <c r="I297" s="394">
        <v>21043.33</v>
      </c>
      <c r="J297" s="394">
        <v>73649.62</v>
      </c>
      <c r="K297" s="393" t="s">
        <v>1033</v>
      </c>
    </row>
    <row r="298" spans="1:12" hidden="1" x14ac:dyDescent="0.3">
      <c r="A298" s="397" t="s">
        <v>4578</v>
      </c>
      <c r="C298" s="397" t="s">
        <v>1053</v>
      </c>
      <c r="D298" s="397" t="s">
        <v>4577</v>
      </c>
      <c r="E298" s="397" t="s">
        <v>4472</v>
      </c>
      <c r="F298" s="397" t="s">
        <v>191</v>
      </c>
      <c r="G298" s="396">
        <v>3</v>
      </c>
      <c r="H298" s="395">
        <v>146351.69500000001</v>
      </c>
      <c r="I298" s="394">
        <v>134306.56</v>
      </c>
      <c r="J298" s="394">
        <v>209073.85</v>
      </c>
      <c r="K298" s="393" t="s">
        <v>1033</v>
      </c>
    </row>
    <row r="299" spans="1:12" hidden="1" x14ac:dyDescent="0.3">
      <c r="A299" s="397" t="s">
        <v>5090</v>
      </c>
      <c r="C299" s="397" t="s">
        <v>1053</v>
      </c>
      <c r="D299" s="397" t="s">
        <v>5089</v>
      </c>
      <c r="E299" s="397" t="s">
        <v>5088</v>
      </c>
      <c r="F299" s="397" t="s">
        <v>191</v>
      </c>
      <c r="G299" s="396">
        <v>1</v>
      </c>
      <c r="H299" s="395">
        <v>46319.077000000005</v>
      </c>
      <c r="I299" s="394">
        <v>45520.06</v>
      </c>
      <c r="J299" s="394">
        <v>66170.11</v>
      </c>
      <c r="K299" s="393" t="s">
        <v>1033</v>
      </c>
    </row>
    <row r="300" spans="1:12" hidden="1" x14ac:dyDescent="0.3">
      <c r="A300" s="397" t="s">
        <v>6852</v>
      </c>
      <c r="C300" s="397" t="s">
        <v>1053</v>
      </c>
      <c r="D300" s="397" t="s">
        <v>6851</v>
      </c>
      <c r="E300" s="397" t="s">
        <v>6850</v>
      </c>
      <c r="F300" s="397" t="s">
        <v>191</v>
      </c>
      <c r="G300" s="396">
        <v>6</v>
      </c>
      <c r="H300" s="395">
        <v>13249.663</v>
      </c>
      <c r="I300" s="394">
        <v>12558.53</v>
      </c>
      <c r="J300" s="394">
        <v>18928.09</v>
      </c>
      <c r="K300" s="393" t="s">
        <v>1033</v>
      </c>
    </row>
    <row r="301" spans="1:12" hidden="1" x14ac:dyDescent="0.3">
      <c r="A301" s="397" t="s">
        <v>5486</v>
      </c>
      <c r="C301" s="397" t="s">
        <v>1053</v>
      </c>
      <c r="D301" s="397" t="s">
        <v>5485</v>
      </c>
      <c r="E301" s="397" t="s">
        <v>5477</v>
      </c>
      <c r="F301" s="397" t="s">
        <v>191</v>
      </c>
      <c r="G301" s="396">
        <v>1</v>
      </c>
      <c r="H301" s="395">
        <v>43910.048000000003</v>
      </c>
      <c r="I301" s="394">
        <v>2333.77</v>
      </c>
      <c r="J301" s="394">
        <v>62728.639999999999</v>
      </c>
      <c r="K301" s="393" t="s">
        <v>1033</v>
      </c>
    </row>
    <row r="302" spans="1:12" hidden="1" x14ac:dyDescent="0.3">
      <c r="A302" s="397" t="s">
        <v>5297</v>
      </c>
      <c r="C302" s="397" t="s">
        <v>1053</v>
      </c>
      <c r="D302" s="397" t="s">
        <v>5296</v>
      </c>
      <c r="E302" s="397" t="s">
        <v>5295</v>
      </c>
      <c r="F302" s="397" t="s">
        <v>191</v>
      </c>
      <c r="G302" s="396">
        <v>2</v>
      </c>
      <c r="H302" s="395">
        <v>107588.60699999999</v>
      </c>
      <c r="I302" s="394">
        <v>99086.11</v>
      </c>
      <c r="J302" s="394">
        <v>153698.01</v>
      </c>
      <c r="K302" s="393" t="s">
        <v>1033</v>
      </c>
    </row>
    <row r="303" spans="1:12" hidden="1" x14ac:dyDescent="0.3">
      <c r="A303" s="397" t="s">
        <v>4421</v>
      </c>
      <c r="C303" s="397" t="s">
        <v>1053</v>
      </c>
      <c r="D303" s="397" t="s">
        <v>4420</v>
      </c>
      <c r="E303" s="397" t="s">
        <v>4419</v>
      </c>
      <c r="F303" s="397" t="s">
        <v>191</v>
      </c>
      <c r="G303" s="396">
        <v>1</v>
      </c>
      <c r="H303" s="395">
        <v>53381.915999999997</v>
      </c>
      <c r="I303" s="394">
        <v>40464.080000000002</v>
      </c>
      <c r="J303" s="394">
        <v>76259.88</v>
      </c>
      <c r="K303" s="393" t="s">
        <v>1033</v>
      </c>
    </row>
    <row r="304" spans="1:12" hidden="1" x14ac:dyDescent="0.3">
      <c r="A304" s="397" t="s">
        <v>6950</v>
      </c>
      <c r="C304" s="397" t="s">
        <v>1053</v>
      </c>
      <c r="D304" s="397" t="s">
        <v>6949</v>
      </c>
      <c r="E304" s="397" t="s">
        <v>6948</v>
      </c>
      <c r="F304" s="397" t="s">
        <v>191</v>
      </c>
      <c r="G304" s="396">
        <v>1</v>
      </c>
      <c r="H304" s="395">
        <v>15877.701000000001</v>
      </c>
      <c r="I304" s="394">
        <v>15439.93</v>
      </c>
      <c r="J304" s="394">
        <v>22682.43</v>
      </c>
      <c r="K304" s="393" t="s">
        <v>1033</v>
      </c>
    </row>
    <row r="305" spans="1:12" hidden="1" x14ac:dyDescent="0.3">
      <c r="A305" s="397" t="s">
        <v>5488</v>
      </c>
      <c r="C305" s="397" t="s">
        <v>1053</v>
      </c>
      <c r="D305" s="397" t="s">
        <v>5487</v>
      </c>
      <c r="E305" s="397" t="s">
        <v>5477</v>
      </c>
      <c r="F305" s="397" t="s">
        <v>191</v>
      </c>
      <c r="G305" s="396">
        <v>1</v>
      </c>
      <c r="H305" s="395">
        <v>38010.084000000003</v>
      </c>
      <c r="I305" s="394">
        <v>337.97</v>
      </c>
      <c r="J305" s="394">
        <v>54300.12</v>
      </c>
      <c r="K305" s="393" t="s">
        <v>1033</v>
      </c>
    </row>
    <row r="306" spans="1:12" hidden="1" x14ac:dyDescent="0.3">
      <c r="A306" s="397" t="s">
        <v>5482</v>
      </c>
      <c r="C306" s="397" t="s">
        <v>1053</v>
      </c>
      <c r="D306" s="397" t="s">
        <v>5481</v>
      </c>
      <c r="E306" s="397" t="s">
        <v>5480</v>
      </c>
      <c r="F306" s="397" t="s">
        <v>191</v>
      </c>
      <c r="G306" s="396">
        <v>1</v>
      </c>
      <c r="H306" s="395">
        <v>43910.048000000003</v>
      </c>
      <c r="I306" s="394">
        <v>41698.68</v>
      </c>
      <c r="J306" s="394">
        <v>62728.639999999999</v>
      </c>
      <c r="K306" s="393" t="s">
        <v>1033</v>
      </c>
    </row>
    <row r="307" spans="1:12" hidden="1" x14ac:dyDescent="0.3">
      <c r="A307" s="397" t="s">
        <v>5291</v>
      </c>
      <c r="C307" s="397" t="s">
        <v>1053</v>
      </c>
      <c r="D307" s="397" t="s">
        <v>5290</v>
      </c>
      <c r="E307" s="397" t="s">
        <v>5289</v>
      </c>
      <c r="F307" s="397" t="s">
        <v>191</v>
      </c>
      <c r="G307" s="396">
        <v>4</v>
      </c>
      <c r="H307" s="395">
        <v>42486.527999999998</v>
      </c>
      <c r="I307" s="394">
        <v>40742.93</v>
      </c>
      <c r="J307" s="394">
        <v>60695.040000000001</v>
      </c>
      <c r="K307" s="393" t="s">
        <v>1033</v>
      </c>
    </row>
    <row r="308" spans="1:12" hidden="1" x14ac:dyDescent="0.3">
      <c r="A308" s="397" t="s">
        <v>7611</v>
      </c>
      <c r="C308" s="397" t="s">
        <v>1053</v>
      </c>
      <c r="D308" s="397" t="s">
        <v>7610</v>
      </c>
      <c r="E308" s="397" t="s">
        <v>7609</v>
      </c>
      <c r="F308" s="397" t="s">
        <v>191</v>
      </c>
      <c r="G308" s="396">
        <v>1</v>
      </c>
      <c r="H308" s="395">
        <v>128061.84300000001</v>
      </c>
      <c r="I308" s="394">
        <v>5867.49</v>
      </c>
      <c r="J308" s="394">
        <v>182945.49</v>
      </c>
      <c r="K308" s="393" t="s">
        <v>1033</v>
      </c>
    </row>
    <row r="309" spans="1:12" hidden="1" x14ac:dyDescent="0.3">
      <c r="A309" s="397" t="s">
        <v>4480</v>
      </c>
      <c r="C309" s="397" t="s">
        <v>1053</v>
      </c>
      <c r="D309" s="397" t="s">
        <v>4479</v>
      </c>
      <c r="E309" s="397" t="s">
        <v>4478</v>
      </c>
      <c r="F309" s="397" t="s">
        <v>191</v>
      </c>
      <c r="G309" s="396">
        <v>1</v>
      </c>
      <c r="H309" s="395">
        <v>85887.648000000016</v>
      </c>
      <c r="I309" s="394">
        <v>318.12</v>
      </c>
      <c r="J309" s="394">
        <v>122696.64</v>
      </c>
      <c r="K309" s="393" t="s">
        <v>1033</v>
      </c>
    </row>
    <row r="310" spans="1:12" hidden="1" x14ac:dyDescent="0.3">
      <c r="A310" s="397" t="s">
        <v>4489</v>
      </c>
      <c r="C310" s="397" t="s">
        <v>1053</v>
      </c>
      <c r="D310" s="397" t="s">
        <v>4488</v>
      </c>
      <c r="E310" s="397" t="s">
        <v>4487</v>
      </c>
      <c r="F310" s="397" t="s">
        <v>191</v>
      </c>
      <c r="G310" s="396">
        <v>1</v>
      </c>
      <c r="H310" s="395">
        <v>81797.52</v>
      </c>
      <c r="I310" s="394">
        <v>3604.53</v>
      </c>
      <c r="J310" s="394">
        <v>116853.6</v>
      </c>
      <c r="K310" s="393" t="s">
        <v>1033</v>
      </c>
    </row>
    <row r="311" spans="1:12" hidden="1" x14ac:dyDescent="0.3">
      <c r="A311" s="397" t="s">
        <v>4760</v>
      </c>
      <c r="C311" s="397" t="s">
        <v>1053</v>
      </c>
      <c r="D311" s="397" t="s">
        <v>4759</v>
      </c>
      <c r="E311" s="397" t="s">
        <v>4758</v>
      </c>
      <c r="F311" s="397" t="s">
        <v>191</v>
      </c>
      <c r="G311" s="396">
        <v>1</v>
      </c>
      <c r="H311" s="395">
        <v>156837.891</v>
      </c>
      <c r="I311" s="394">
        <v>2163.0700000000002</v>
      </c>
      <c r="J311" s="394">
        <v>224054.13</v>
      </c>
      <c r="K311" s="393" t="s">
        <v>1033</v>
      </c>
    </row>
    <row r="312" spans="1:12" hidden="1" x14ac:dyDescent="0.3">
      <c r="A312" s="397" t="s">
        <v>4757</v>
      </c>
      <c r="C312" s="397" t="s">
        <v>1053</v>
      </c>
      <c r="D312" s="397" t="s">
        <v>4756</v>
      </c>
      <c r="E312" s="397" t="s">
        <v>4755</v>
      </c>
      <c r="F312" s="397" t="s">
        <v>191</v>
      </c>
      <c r="G312" s="396">
        <v>2</v>
      </c>
      <c r="H312" s="395">
        <v>202157.76699999999</v>
      </c>
      <c r="I312" s="394">
        <v>8812.69</v>
      </c>
      <c r="J312" s="394">
        <v>288796.81</v>
      </c>
      <c r="K312" s="393" t="s">
        <v>1033</v>
      </c>
      <c r="L312" s="395">
        <v>-2</v>
      </c>
    </row>
    <row r="313" spans="1:12" hidden="1" x14ac:dyDescent="0.3">
      <c r="A313" s="397" t="s">
        <v>4754</v>
      </c>
      <c r="C313" s="397" t="s">
        <v>1053</v>
      </c>
      <c r="D313" s="397" t="s">
        <v>4753</v>
      </c>
      <c r="E313" s="397" t="s">
        <v>4750</v>
      </c>
      <c r="F313" s="397" t="s">
        <v>191</v>
      </c>
      <c r="G313" s="396">
        <v>1</v>
      </c>
      <c r="H313" s="395">
        <v>661079.027</v>
      </c>
      <c r="I313" s="394">
        <v>37938.57</v>
      </c>
      <c r="J313" s="394">
        <v>944398.61</v>
      </c>
      <c r="K313" s="393" t="s">
        <v>1033</v>
      </c>
    </row>
    <row r="314" spans="1:12" hidden="1" x14ac:dyDescent="0.3">
      <c r="A314" s="397" t="s">
        <v>4482</v>
      </c>
      <c r="C314" s="397" t="s">
        <v>1053</v>
      </c>
      <c r="D314" s="397" t="s">
        <v>4481</v>
      </c>
      <c r="E314" s="397" t="s">
        <v>4478</v>
      </c>
      <c r="F314" s="397" t="s">
        <v>191</v>
      </c>
      <c r="G314" s="396">
        <v>1</v>
      </c>
      <c r="H314" s="395">
        <v>137314.709</v>
      </c>
      <c r="I314" s="394">
        <v>20501.87</v>
      </c>
      <c r="J314" s="394">
        <v>196163.87</v>
      </c>
      <c r="K314" s="393" t="s">
        <v>1033</v>
      </c>
    </row>
    <row r="315" spans="1:12" hidden="1" x14ac:dyDescent="0.3">
      <c r="A315" s="397" t="s">
        <v>4752</v>
      </c>
      <c r="C315" s="397" t="s">
        <v>1053</v>
      </c>
      <c r="D315" s="397" t="s">
        <v>4751</v>
      </c>
      <c r="E315" s="397" t="s">
        <v>4750</v>
      </c>
      <c r="F315" s="397" t="s">
        <v>191</v>
      </c>
      <c r="G315" s="396">
        <v>1</v>
      </c>
      <c r="H315" s="395">
        <v>618952.20799999998</v>
      </c>
      <c r="I315" s="394">
        <v>36070.03</v>
      </c>
      <c r="J315" s="394">
        <v>884217.44000000006</v>
      </c>
      <c r="K315" s="393" t="s">
        <v>1033</v>
      </c>
    </row>
    <row r="316" spans="1:12" hidden="1" x14ac:dyDescent="0.3">
      <c r="A316" s="397" t="s">
        <v>5285</v>
      </c>
      <c r="C316" s="397" t="s">
        <v>1053</v>
      </c>
      <c r="D316" s="397" t="s">
        <v>5284</v>
      </c>
      <c r="E316" s="397" t="s">
        <v>5283</v>
      </c>
      <c r="F316" s="397" t="s">
        <v>191</v>
      </c>
      <c r="G316" s="396">
        <v>1</v>
      </c>
      <c r="H316" s="395">
        <v>178308.508</v>
      </c>
      <c r="I316" s="394">
        <v>169176.53</v>
      </c>
      <c r="J316" s="394">
        <v>254726.44</v>
      </c>
      <c r="K316" s="393" t="s">
        <v>1033</v>
      </c>
    </row>
    <row r="317" spans="1:12" hidden="1" x14ac:dyDescent="0.3">
      <c r="A317" s="397" t="s">
        <v>7152</v>
      </c>
      <c r="C317" s="397" t="s">
        <v>1053</v>
      </c>
      <c r="D317" s="397" t="s">
        <v>7151</v>
      </c>
      <c r="E317" s="397" t="s">
        <v>258</v>
      </c>
      <c r="F317" s="397" t="s">
        <v>191</v>
      </c>
      <c r="G317" s="396">
        <v>1</v>
      </c>
      <c r="H317" s="395">
        <v>151984.196</v>
      </c>
      <c r="I317" s="394">
        <v>145848.81</v>
      </c>
      <c r="J317" s="394">
        <v>217120.28</v>
      </c>
      <c r="K317" s="393" t="s">
        <v>1033</v>
      </c>
    </row>
    <row r="318" spans="1:12" hidden="1" x14ac:dyDescent="0.3">
      <c r="A318" s="397" t="s">
        <v>7154</v>
      </c>
      <c r="C318" s="397" t="s">
        <v>1053</v>
      </c>
      <c r="D318" s="397" t="s">
        <v>7153</v>
      </c>
      <c r="E318" s="397" t="s">
        <v>258</v>
      </c>
      <c r="F318" s="397" t="s">
        <v>191</v>
      </c>
      <c r="G318" s="396">
        <v>1</v>
      </c>
      <c r="H318" s="395">
        <v>170525.565</v>
      </c>
      <c r="I318" s="394">
        <v>165367.65</v>
      </c>
      <c r="J318" s="394">
        <v>243607.95</v>
      </c>
      <c r="K318" s="393" t="s">
        <v>1033</v>
      </c>
    </row>
    <row r="319" spans="1:12" hidden="1" x14ac:dyDescent="0.3">
      <c r="A319" s="397" t="s">
        <v>7150</v>
      </c>
      <c r="C319" s="397" t="s">
        <v>1053</v>
      </c>
      <c r="D319" s="397" t="s">
        <v>7149</v>
      </c>
      <c r="E319" s="397" t="s">
        <v>258</v>
      </c>
      <c r="F319" s="397" t="s">
        <v>191</v>
      </c>
      <c r="G319" s="396">
        <v>1</v>
      </c>
      <c r="H319" s="395">
        <v>170525.565</v>
      </c>
      <c r="I319" s="394">
        <v>169526.64</v>
      </c>
      <c r="J319" s="394">
        <v>243607.95</v>
      </c>
      <c r="K319" s="393" t="s">
        <v>1033</v>
      </c>
    </row>
    <row r="320" spans="1:12" hidden="1" x14ac:dyDescent="0.3">
      <c r="A320" s="397" t="s">
        <v>7113</v>
      </c>
      <c r="C320" s="397" t="s">
        <v>1053</v>
      </c>
      <c r="D320" s="397" t="s">
        <v>7112</v>
      </c>
      <c r="E320" s="397" t="s">
        <v>7109</v>
      </c>
      <c r="F320" s="397" t="s">
        <v>191</v>
      </c>
      <c r="G320" s="396">
        <v>2</v>
      </c>
      <c r="H320" s="395">
        <v>475512.71600000001</v>
      </c>
      <c r="I320" s="394">
        <v>456246.72000000003</v>
      </c>
      <c r="J320" s="394">
        <v>679303.88</v>
      </c>
      <c r="K320" s="393" t="s">
        <v>1033</v>
      </c>
    </row>
    <row r="321" spans="1:11" hidden="1" x14ac:dyDescent="0.3">
      <c r="A321" s="397" t="s">
        <v>7608</v>
      </c>
      <c r="C321" s="397" t="s">
        <v>1053</v>
      </c>
      <c r="D321" s="397" t="s">
        <v>7607</v>
      </c>
      <c r="E321" s="397" t="s">
        <v>7606</v>
      </c>
      <c r="F321" s="397" t="s">
        <v>191</v>
      </c>
      <c r="G321" s="396">
        <v>1</v>
      </c>
      <c r="H321" s="395">
        <v>185755.16399999999</v>
      </c>
      <c r="I321" s="394">
        <v>177939.77</v>
      </c>
      <c r="J321" s="394">
        <v>265364.52</v>
      </c>
      <c r="K321" s="393" t="s">
        <v>1033</v>
      </c>
    </row>
    <row r="322" spans="1:11" hidden="1" x14ac:dyDescent="0.3">
      <c r="A322" s="397" t="s">
        <v>1159</v>
      </c>
      <c r="C322" s="397" t="s">
        <v>1034</v>
      </c>
      <c r="D322" s="397" t="s">
        <v>1158</v>
      </c>
      <c r="E322" s="397" t="s">
        <v>1157</v>
      </c>
      <c r="F322" s="397" t="s">
        <v>416</v>
      </c>
      <c r="G322" s="396">
        <v>1</v>
      </c>
      <c r="H322" s="395">
        <v>54.998999999999995</v>
      </c>
      <c r="I322" s="394">
        <v>55</v>
      </c>
      <c r="J322" s="394">
        <v>87.3</v>
      </c>
      <c r="K322" s="393" t="s">
        <v>1033</v>
      </c>
    </row>
    <row r="323" spans="1:11" hidden="1" x14ac:dyDescent="0.3">
      <c r="A323" s="397" t="s">
        <v>7118</v>
      </c>
      <c r="C323" s="397" t="s">
        <v>1053</v>
      </c>
      <c r="D323" s="397" t="s">
        <v>7117</v>
      </c>
      <c r="E323" s="397" t="s">
        <v>7116</v>
      </c>
      <c r="F323" s="397" t="s">
        <v>191</v>
      </c>
      <c r="G323" s="396">
        <v>1</v>
      </c>
      <c r="H323" s="395">
        <v>137357.79399999999</v>
      </c>
      <c r="I323" s="394">
        <v>135017.49</v>
      </c>
      <c r="J323" s="394">
        <v>196225.42</v>
      </c>
      <c r="K323" s="393" t="s">
        <v>1033</v>
      </c>
    </row>
    <row r="324" spans="1:11" hidden="1" x14ac:dyDescent="0.3">
      <c r="A324" s="397" t="s">
        <v>7115</v>
      </c>
      <c r="C324" s="397" t="s">
        <v>1053</v>
      </c>
      <c r="D324" s="397" t="s">
        <v>7114</v>
      </c>
      <c r="E324" s="397" t="s">
        <v>7109</v>
      </c>
      <c r="F324" s="397" t="s">
        <v>191</v>
      </c>
      <c r="G324" s="396">
        <v>1</v>
      </c>
      <c r="H324" s="395">
        <v>190149.12</v>
      </c>
      <c r="I324" s="394">
        <v>182560.53</v>
      </c>
      <c r="J324" s="394">
        <v>271641.59999999998</v>
      </c>
      <c r="K324" s="393" t="s">
        <v>1033</v>
      </c>
    </row>
    <row r="325" spans="1:11" hidden="1" x14ac:dyDescent="0.3">
      <c r="A325" s="397" t="s">
        <v>7120</v>
      </c>
      <c r="C325" s="397" t="s">
        <v>1053</v>
      </c>
      <c r="D325" s="397" t="s">
        <v>7119</v>
      </c>
      <c r="E325" s="397" t="s">
        <v>7109</v>
      </c>
      <c r="F325" s="397" t="s">
        <v>191</v>
      </c>
      <c r="G325" s="396">
        <v>1</v>
      </c>
      <c r="H325" s="395">
        <v>199803.492</v>
      </c>
      <c r="I325" s="394">
        <v>187064.64</v>
      </c>
      <c r="J325" s="394">
        <v>285433.56</v>
      </c>
      <c r="K325" s="393" t="s">
        <v>1033</v>
      </c>
    </row>
    <row r="326" spans="1:11" hidden="1" x14ac:dyDescent="0.3">
      <c r="A326" s="397" t="s">
        <v>7922</v>
      </c>
      <c r="C326" s="397" t="s">
        <v>1053</v>
      </c>
      <c r="D326" s="397" t="s">
        <v>7921</v>
      </c>
      <c r="E326" s="397" t="s">
        <v>7920</v>
      </c>
      <c r="F326" s="397" t="s">
        <v>191</v>
      </c>
      <c r="G326" s="396">
        <v>1</v>
      </c>
      <c r="H326" s="395">
        <v>224113.94600000003</v>
      </c>
      <c r="I326" s="394">
        <v>195605.02</v>
      </c>
      <c r="J326" s="394">
        <v>320162.78000000003</v>
      </c>
      <c r="K326" s="393" t="s">
        <v>1033</v>
      </c>
    </row>
    <row r="327" spans="1:11" hidden="1" x14ac:dyDescent="0.3">
      <c r="A327" s="397" t="s">
        <v>5479</v>
      </c>
      <c r="C327" s="397" t="s">
        <v>1053</v>
      </c>
      <c r="D327" s="397" t="s">
        <v>5478</v>
      </c>
      <c r="E327" s="397" t="s">
        <v>5477</v>
      </c>
      <c r="F327" s="397" t="s">
        <v>191</v>
      </c>
      <c r="G327" s="396">
        <v>1</v>
      </c>
      <c r="H327" s="395">
        <v>43910.048000000003</v>
      </c>
      <c r="I327" s="394">
        <v>22687.72</v>
      </c>
      <c r="J327" s="394">
        <v>62728.639999999999</v>
      </c>
      <c r="K327" s="393" t="s">
        <v>1033</v>
      </c>
    </row>
    <row r="328" spans="1:11" hidden="1" x14ac:dyDescent="0.3">
      <c r="A328" s="397" t="s">
        <v>5084</v>
      </c>
      <c r="C328" s="397" t="s">
        <v>1053</v>
      </c>
      <c r="D328" s="397" t="s">
        <v>5083</v>
      </c>
      <c r="E328" s="397" t="s">
        <v>5082</v>
      </c>
      <c r="F328" s="397" t="s">
        <v>191</v>
      </c>
      <c r="G328" s="396">
        <v>1</v>
      </c>
      <c r="H328" s="395">
        <v>81882.577000000005</v>
      </c>
      <c r="I328" s="394">
        <v>570.36</v>
      </c>
      <c r="J328" s="394">
        <v>116975.11</v>
      </c>
      <c r="K328" s="393" t="s">
        <v>1033</v>
      </c>
    </row>
    <row r="329" spans="1:11" hidden="1" x14ac:dyDescent="0.3">
      <c r="A329" s="397" t="s">
        <v>6944</v>
      </c>
      <c r="C329" s="397" t="s">
        <v>1053</v>
      </c>
      <c r="D329" s="397" t="s">
        <v>6943</v>
      </c>
      <c r="E329" s="397" t="s">
        <v>6942</v>
      </c>
      <c r="F329" s="397" t="s">
        <v>191</v>
      </c>
      <c r="G329" s="396">
        <v>3</v>
      </c>
      <c r="H329" s="395">
        <v>57269.212</v>
      </c>
      <c r="I329" s="394">
        <v>50757.14</v>
      </c>
      <c r="J329" s="394">
        <v>81813.16</v>
      </c>
      <c r="K329" s="393" t="s">
        <v>1033</v>
      </c>
    </row>
    <row r="330" spans="1:11" hidden="1" x14ac:dyDescent="0.3">
      <c r="A330" s="397" t="s">
        <v>4002</v>
      </c>
      <c r="C330" s="397" t="s">
        <v>1053</v>
      </c>
      <c r="D330" s="397" t="s">
        <v>4001</v>
      </c>
      <c r="E330" s="397" t="s">
        <v>4000</v>
      </c>
      <c r="F330" s="397" t="s">
        <v>191</v>
      </c>
      <c r="G330" s="396">
        <v>1</v>
      </c>
      <c r="H330" s="395">
        <v>170161.152</v>
      </c>
      <c r="I330" s="394">
        <v>106548.49</v>
      </c>
      <c r="J330" s="394">
        <v>243087.36000000002</v>
      </c>
      <c r="K330" s="393" t="s">
        <v>1033</v>
      </c>
    </row>
    <row r="331" spans="1:11" hidden="1" x14ac:dyDescent="0.3">
      <c r="A331" s="397" t="s">
        <v>4968</v>
      </c>
      <c r="C331" s="397" t="s">
        <v>1053</v>
      </c>
      <c r="D331" s="397" t="s">
        <v>4967</v>
      </c>
      <c r="E331" s="397" t="s">
        <v>4966</v>
      </c>
      <c r="F331" s="397" t="s">
        <v>191</v>
      </c>
      <c r="G331" s="396">
        <v>1</v>
      </c>
      <c r="H331" s="395">
        <v>67090.862999999998</v>
      </c>
      <c r="I331" s="394">
        <v>3704.1800000000003</v>
      </c>
      <c r="J331" s="394">
        <v>95844.09</v>
      </c>
      <c r="K331" s="393" t="s">
        <v>1033</v>
      </c>
    </row>
    <row r="332" spans="1:11" hidden="1" x14ac:dyDescent="0.3">
      <c r="A332" s="397" t="s">
        <v>4484</v>
      </c>
      <c r="C332" s="397" t="s">
        <v>1053</v>
      </c>
      <c r="D332" s="397" t="s">
        <v>4483</v>
      </c>
      <c r="E332" s="397" t="s">
        <v>4478</v>
      </c>
      <c r="F332" s="397" t="s">
        <v>191</v>
      </c>
      <c r="G332" s="396">
        <v>1</v>
      </c>
      <c r="H332" s="395">
        <v>85887.648000000016</v>
      </c>
      <c r="I332" s="394">
        <v>3339.32</v>
      </c>
      <c r="J332" s="394">
        <v>122696.64</v>
      </c>
      <c r="K332" s="393" t="s">
        <v>1033</v>
      </c>
    </row>
    <row r="333" spans="1:11" hidden="1" x14ac:dyDescent="0.3">
      <c r="A333" s="397" t="s">
        <v>3923</v>
      </c>
      <c r="C333" s="397" t="s">
        <v>1053</v>
      </c>
      <c r="D333" s="397" t="s">
        <v>3922</v>
      </c>
      <c r="E333" s="397" t="s">
        <v>3921</v>
      </c>
      <c r="F333" s="397" t="s">
        <v>191</v>
      </c>
      <c r="G333" s="396">
        <v>1</v>
      </c>
      <c r="H333" s="395">
        <v>69476.630999999994</v>
      </c>
      <c r="I333" s="394">
        <v>65230.99</v>
      </c>
      <c r="J333" s="394">
        <v>99252.33</v>
      </c>
      <c r="K333" s="393" t="s">
        <v>1033</v>
      </c>
    </row>
    <row r="334" spans="1:11" hidden="1" x14ac:dyDescent="0.3">
      <c r="A334" s="397" t="s">
        <v>6408</v>
      </c>
      <c r="C334" s="397" t="s">
        <v>1053</v>
      </c>
      <c r="D334" s="397" t="s">
        <v>6407</v>
      </c>
      <c r="E334" s="397" t="s">
        <v>6406</v>
      </c>
      <c r="F334" s="397" t="s">
        <v>191</v>
      </c>
      <c r="G334" s="396">
        <v>3</v>
      </c>
      <c r="H334" s="395">
        <v>115359.685</v>
      </c>
      <c r="I334" s="394">
        <v>115033.45</v>
      </c>
      <c r="J334" s="394">
        <v>164799.54999999999</v>
      </c>
      <c r="K334" s="393" t="s">
        <v>1033</v>
      </c>
    </row>
    <row r="335" spans="1:11" hidden="1" x14ac:dyDescent="0.3">
      <c r="A335" s="397" t="s">
        <v>6411</v>
      </c>
      <c r="C335" s="397" t="s">
        <v>1053</v>
      </c>
      <c r="D335" s="397" t="s">
        <v>6410</v>
      </c>
      <c r="E335" s="397" t="s">
        <v>6409</v>
      </c>
      <c r="F335" s="397" t="s">
        <v>191</v>
      </c>
      <c r="G335" s="396">
        <v>3</v>
      </c>
      <c r="H335" s="395">
        <v>115359.685</v>
      </c>
      <c r="I335" s="394">
        <v>115033.45</v>
      </c>
      <c r="J335" s="394">
        <v>164799.54999999999</v>
      </c>
      <c r="K335" s="393" t="s">
        <v>1033</v>
      </c>
    </row>
    <row r="336" spans="1:11" hidden="1" x14ac:dyDescent="0.3">
      <c r="A336" s="397" t="s">
        <v>4774</v>
      </c>
      <c r="C336" s="397" t="s">
        <v>1053</v>
      </c>
      <c r="D336" s="397" t="s">
        <v>4773</v>
      </c>
      <c r="E336" s="397" t="s">
        <v>4770</v>
      </c>
      <c r="F336" s="397" t="s">
        <v>191</v>
      </c>
      <c r="G336" s="396">
        <v>2</v>
      </c>
      <c r="H336" s="395">
        <v>34492.927000000003</v>
      </c>
      <c r="I336" s="394">
        <v>28095.86</v>
      </c>
      <c r="J336" s="394">
        <v>49275.61</v>
      </c>
      <c r="K336" s="393" t="s">
        <v>1033</v>
      </c>
    </row>
    <row r="337" spans="1:12" hidden="1" x14ac:dyDescent="0.3">
      <c r="A337" s="397" t="s">
        <v>6419</v>
      </c>
      <c r="C337" s="397" t="s">
        <v>1053</v>
      </c>
      <c r="D337" s="397" t="s">
        <v>6418</v>
      </c>
      <c r="E337" s="397" t="s">
        <v>6417</v>
      </c>
      <c r="F337" s="397" t="s">
        <v>191</v>
      </c>
      <c r="G337" s="396">
        <v>2</v>
      </c>
      <c r="H337" s="395">
        <v>37832.724999999999</v>
      </c>
      <c r="I337" s="394">
        <v>1786.22</v>
      </c>
      <c r="J337" s="394">
        <v>54046.75</v>
      </c>
      <c r="K337" s="393" t="s">
        <v>1033</v>
      </c>
    </row>
    <row r="338" spans="1:12" hidden="1" x14ac:dyDescent="0.3">
      <c r="A338" s="397" t="s">
        <v>6416</v>
      </c>
      <c r="C338" s="397" t="s">
        <v>1053</v>
      </c>
      <c r="D338" s="397" t="s">
        <v>6415</v>
      </c>
      <c r="E338" s="397" t="s">
        <v>6412</v>
      </c>
      <c r="F338" s="397" t="s">
        <v>191</v>
      </c>
      <c r="G338" s="396">
        <v>1</v>
      </c>
      <c r="H338" s="395">
        <v>114045.67300000001</v>
      </c>
      <c r="I338" s="394">
        <v>439.59000000000003</v>
      </c>
      <c r="J338" s="394">
        <v>162922.39000000001</v>
      </c>
      <c r="K338" s="393" t="s">
        <v>1033</v>
      </c>
    </row>
    <row r="339" spans="1:12" hidden="1" x14ac:dyDescent="0.3">
      <c r="A339" s="397" t="s">
        <v>6405</v>
      </c>
      <c r="C339" s="397" t="s">
        <v>1053</v>
      </c>
      <c r="D339" s="397" t="s">
        <v>6404</v>
      </c>
      <c r="E339" s="397" t="s">
        <v>6403</v>
      </c>
      <c r="F339" s="397" t="s">
        <v>191</v>
      </c>
      <c r="G339" s="396">
        <v>2</v>
      </c>
      <c r="H339" s="395">
        <v>193.851</v>
      </c>
      <c r="I339" s="394">
        <v>150</v>
      </c>
      <c r="J339" s="394">
        <v>276.93</v>
      </c>
      <c r="K339" s="393" t="s">
        <v>1033</v>
      </c>
    </row>
    <row r="340" spans="1:12" hidden="1" x14ac:dyDescent="0.3">
      <c r="A340" s="397" t="s">
        <v>4772</v>
      </c>
      <c r="C340" s="397" t="s">
        <v>1053</v>
      </c>
      <c r="D340" s="397" t="s">
        <v>4771</v>
      </c>
      <c r="E340" s="397" t="s">
        <v>4770</v>
      </c>
      <c r="F340" s="397" t="s">
        <v>191</v>
      </c>
      <c r="G340" s="396">
        <v>2</v>
      </c>
      <c r="H340" s="395">
        <v>34492.927000000003</v>
      </c>
      <c r="I340" s="394">
        <v>28095.86</v>
      </c>
      <c r="J340" s="394">
        <v>49275.61</v>
      </c>
      <c r="K340" s="393" t="s">
        <v>1033</v>
      </c>
    </row>
    <row r="341" spans="1:12" hidden="1" x14ac:dyDescent="0.3">
      <c r="A341" s="397" t="s">
        <v>4975</v>
      </c>
      <c r="C341" s="397" t="s">
        <v>1053</v>
      </c>
      <c r="D341" s="397" t="s">
        <v>4974</v>
      </c>
      <c r="E341" s="397" t="s">
        <v>4946</v>
      </c>
      <c r="F341" s="397" t="s">
        <v>191</v>
      </c>
      <c r="G341" s="396">
        <v>1</v>
      </c>
      <c r="H341" s="395">
        <v>418.096</v>
      </c>
      <c r="I341" s="394">
        <v>528.58000000000004</v>
      </c>
      <c r="J341" s="394">
        <v>597.28</v>
      </c>
      <c r="K341" s="393" t="s">
        <v>1033</v>
      </c>
    </row>
    <row r="342" spans="1:12" hidden="1" x14ac:dyDescent="0.3">
      <c r="A342" s="397" t="s">
        <v>4973</v>
      </c>
      <c r="C342" s="397" t="s">
        <v>1053</v>
      </c>
      <c r="D342" s="397" t="s">
        <v>7468</v>
      </c>
      <c r="E342" s="397" t="s">
        <v>7467</v>
      </c>
      <c r="F342" s="397" t="s">
        <v>191</v>
      </c>
      <c r="G342" s="396">
        <v>4</v>
      </c>
      <c r="H342" s="395">
        <v>56911.813000000002</v>
      </c>
      <c r="I342" s="394">
        <v>52986.080000000002</v>
      </c>
      <c r="J342" s="394">
        <v>81302.59</v>
      </c>
      <c r="K342" s="393" t="s">
        <v>1033</v>
      </c>
    </row>
    <row r="343" spans="1:12" hidden="1" x14ac:dyDescent="0.3">
      <c r="A343" s="397" t="s">
        <v>4973</v>
      </c>
      <c r="C343" s="397" t="s">
        <v>1053</v>
      </c>
      <c r="D343" s="397" t="s">
        <v>4972</v>
      </c>
      <c r="E343" s="397" t="s">
        <v>4971</v>
      </c>
      <c r="F343" s="397" t="s">
        <v>191</v>
      </c>
      <c r="G343" s="396">
        <v>1</v>
      </c>
      <c r="H343" s="395">
        <v>83463.114000000001</v>
      </c>
      <c r="I343" s="394">
        <v>355.62</v>
      </c>
      <c r="J343" s="394">
        <v>119233.02</v>
      </c>
      <c r="K343" s="393" t="s">
        <v>1033</v>
      </c>
    </row>
    <row r="344" spans="1:12" hidden="1" x14ac:dyDescent="0.3">
      <c r="A344" s="397" t="s">
        <v>7481</v>
      </c>
      <c r="C344" s="397" t="s">
        <v>1053</v>
      </c>
      <c r="D344" s="397" t="s">
        <v>7480</v>
      </c>
      <c r="E344" s="397" t="s">
        <v>7479</v>
      </c>
      <c r="F344" s="397" t="s">
        <v>191</v>
      </c>
      <c r="G344" s="396">
        <v>5</v>
      </c>
      <c r="H344" s="395">
        <v>78078.826000000001</v>
      </c>
      <c r="I344" s="394">
        <v>75131.53</v>
      </c>
      <c r="J344" s="394">
        <v>111541.18000000001</v>
      </c>
      <c r="K344" s="393" t="s">
        <v>1033</v>
      </c>
    </row>
    <row r="345" spans="1:12" hidden="1" x14ac:dyDescent="0.3">
      <c r="A345" s="397" t="s">
        <v>7464</v>
      </c>
      <c r="C345" s="397" t="s">
        <v>1053</v>
      </c>
      <c r="D345" s="397" t="s">
        <v>7463</v>
      </c>
      <c r="E345" s="397" t="s">
        <v>7462</v>
      </c>
      <c r="F345" s="397" t="s">
        <v>191</v>
      </c>
      <c r="G345" s="396">
        <v>6</v>
      </c>
      <c r="H345" s="395">
        <v>72862.509999999995</v>
      </c>
      <c r="I345" s="394">
        <v>69501.66</v>
      </c>
      <c r="J345" s="394">
        <v>104089.3</v>
      </c>
      <c r="K345" s="393" t="s">
        <v>1033</v>
      </c>
    </row>
    <row r="346" spans="1:12" hidden="1" x14ac:dyDescent="0.3">
      <c r="A346" s="397" t="s">
        <v>4950</v>
      </c>
      <c r="C346" s="397" t="s">
        <v>1053</v>
      </c>
      <c r="D346" s="397" t="s">
        <v>4949</v>
      </c>
      <c r="E346" s="397" t="s">
        <v>4946</v>
      </c>
      <c r="F346" s="397" t="s">
        <v>191</v>
      </c>
      <c r="G346" s="396">
        <v>1</v>
      </c>
      <c r="H346" s="395">
        <v>67090.862999999998</v>
      </c>
      <c r="I346" s="394">
        <v>1423.24</v>
      </c>
      <c r="J346" s="394">
        <v>95844.09</v>
      </c>
      <c r="K346" s="393" t="s">
        <v>1033</v>
      </c>
    </row>
    <row r="347" spans="1:12" hidden="1" x14ac:dyDescent="0.3">
      <c r="A347" s="397" t="s">
        <v>8240</v>
      </c>
      <c r="C347" s="397" t="s">
        <v>1053</v>
      </c>
      <c r="D347" s="397" t="s">
        <v>8239</v>
      </c>
      <c r="E347" s="397" t="s">
        <v>8236</v>
      </c>
      <c r="F347" s="397" t="s">
        <v>191</v>
      </c>
      <c r="G347" s="396">
        <v>1</v>
      </c>
      <c r="H347" s="395">
        <v>86426.963000000003</v>
      </c>
      <c r="I347" s="394">
        <v>311.86</v>
      </c>
      <c r="J347" s="394">
        <v>123467.09</v>
      </c>
      <c r="K347" s="393" t="s">
        <v>1033</v>
      </c>
    </row>
    <row r="348" spans="1:12" hidden="1" x14ac:dyDescent="0.3">
      <c r="A348" s="397" t="s">
        <v>419</v>
      </c>
      <c r="C348" s="397" t="s">
        <v>1053</v>
      </c>
      <c r="D348" s="397" t="s">
        <v>910</v>
      </c>
      <c r="E348" s="397" t="s">
        <v>356</v>
      </c>
      <c r="F348" s="397" t="s">
        <v>191</v>
      </c>
      <c r="G348" s="396">
        <v>1</v>
      </c>
      <c r="H348" s="395">
        <v>323282.76399999997</v>
      </c>
      <c r="I348" s="394">
        <v>66569.960000000006</v>
      </c>
      <c r="J348" s="394">
        <v>461832.52</v>
      </c>
      <c r="K348" s="393" t="s">
        <v>1033</v>
      </c>
    </row>
    <row r="349" spans="1:12" hidden="1" x14ac:dyDescent="0.3">
      <c r="A349" s="397" t="s">
        <v>8246</v>
      </c>
      <c r="C349" s="397" t="s">
        <v>1053</v>
      </c>
      <c r="D349" s="397" t="s">
        <v>8245</v>
      </c>
      <c r="E349" s="397" t="s">
        <v>8244</v>
      </c>
      <c r="F349" s="397" t="s">
        <v>191</v>
      </c>
      <c r="G349" s="396">
        <v>1</v>
      </c>
      <c r="H349" s="395">
        <v>57552.830999999998</v>
      </c>
      <c r="I349" s="394">
        <v>229.61</v>
      </c>
      <c r="J349" s="394">
        <v>82218.33</v>
      </c>
      <c r="K349" s="393" t="s">
        <v>1033</v>
      </c>
    </row>
    <row r="350" spans="1:12" hidden="1" x14ac:dyDescent="0.3">
      <c r="A350" s="397" t="s">
        <v>8234</v>
      </c>
      <c r="C350" s="397" t="s">
        <v>1053</v>
      </c>
      <c r="D350" s="397" t="s">
        <v>376</v>
      </c>
      <c r="E350" s="397" t="s">
        <v>377</v>
      </c>
      <c r="F350" s="397" t="s">
        <v>191</v>
      </c>
      <c r="G350" s="396">
        <v>3</v>
      </c>
      <c r="H350" s="395">
        <v>139748.98699999999</v>
      </c>
      <c r="I350" s="394">
        <v>128175.29000000001</v>
      </c>
      <c r="J350" s="394">
        <v>199641.41</v>
      </c>
      <c r="K350" s="393" t="s">
        <v>1033</v>
      </c>
    </row>
    <row r="351" spans="1:12" hidden="1" x14ac:dyDescent="0.3">
      <c r="A351" s="397" t="s">
        <v>3601</v>
      </c>
      <c r="C351" s="397" t="s">
        <v>1053</v>
      </c>
      <c r="D351" s="397" t="s">
        <v>3600</v>
      </c>
      <c r="E351" s="397" t="s">
        <v>3599</v>
      </c>
      <c r="F351" s="397" t="s">
        <v>191</v>
      </c>
      <c r="G351" s="396">
        <v>1</v>
      </c>
      <c r="H351" s="395">
        <v>718006.18400000012</v>
      </c>
      <c r="J351" s="394">
        <v>1025723.12</v>
      </c>
      <c r="K351" s="393" t="s">
        <v>1033</v>
      </c>
    </row>
    <row r="352" spans="1:12" hidden="1" x14ac:dyDescent="0.3">
      <c r="A352" s="397" t="s">
        <v>7148</v>
      </c>
      <c r="C352" s="397" t="s">
        <v>1053</v>
      </c>
      <c r="D352" s="397" t="s">
        <v>7147</v>
      </c>
      <c r="E352" s="397" t="s">
        <v>258</v>
      </c>
      <c r="F352" s="397" t="s">
        <v>191</v>
      </c>
      <c r="G352" s="396">
        <v>4</v>
      </c>
      <c r="H352" s="395">
        <v>559663.49600000004</v>
      </c>
      <c r="I352" s="394">
        <v>361470.23</v>
      </c>
      <c r="J352" s="394">
        <v>799519.28</v>
      </c>
      <c r="K352" s="393" t="s">
        <v>1033</v>
      </c>
      <c r="L352" s="395">
        <v>1</v>
      </c>
    </row>
    <row r="353" spans="1:12" hidden="1" x14ac:dyDescent="0.3">
      <c r="A353" s="397" t="s">
        <v>8261</v>
      </c>
      <c r="C353" s="397" t="s">
        <v>1053</v>
      </c>
      <c r="D353" s="397" t="s">
        <v>8260</v>
      </c>
      <c r="E353" s="397" t="s">
        <v>8259</v>
      </c>
      <c r="F353" s="397" t="s">
        <v>191</v>
      </c>
      <c r="G353" s="396">
        <v>1</v>
      </c>
      <c r="H353" s="395">
        <v>464984.38</v>
      </c>
      <c r="J353" s="394">
        <v>664263.4</v>
      </c>
      <c r="K353" s="393" t="s">
        <v>1033</v>
      </c>
    </row>
    <row r="354" spans="1:12" hidden="1" x14ac:dyDescent="0.3">
      <c r="A354" s="397" t="s">
        <v>7503</v>
      </c>
      <c r="C354" s="397" t="s">
        <v>1053</v>
      </c>
      <c r="D354" s="397" t="s">
        <v>8263</v>
      </c>
      <c r="E354" s="397" t="s">
        <v>8262</v>
      </c>
      <c r="F354" s="397" t="s">
        <v>191</v>
      </c>
      <c r="G354" s="396">
        <v>1</v>
      </c>
      <c r="H354" s="395">
        <v>244672.82699999999</v>
      </c>
      <c r="I354" s="394">
        <v>231215.24</v>
      </c>
      <c r="J354" s="394">
        <v>349532.61</v>
      </c>
      <c r="K354" s="393" t="s">
        <v>1033</v>
      </c>
    </row>
    <row r="355" spans="1:12" hidden="1" x14ac:dyDescent="0.3">
      <c r="A355" s="397" t="s">
        <v>7503</v>
      </c>
      <c r="C355" s="397" t="s">
        <v>1053</v>
      </c>
      <c r="D355" s="397" t="s">
        <v>7502</v>
      </c>
      <c r="E355" s="397" t="s">
        <v>7499</v>
      </c>
      <c r="F355" s="397" t="s">
        <v>191</v>
      </c>
      <c r="G355" s="396">
        <v>1</v>
      </c>
      <c r="H355" s="395">
        <v>34602.428</v>
      </c>
      <c r="I355" s="394">
        <v>569.12</v>
      </c>
      <c r="J355" s="394">
        <v>49432.04</v>
      </c>
      <c r="K355" s="393" t="s">
        <v>1033</v>
      </c>
    </row>
    <row r="356" spans="1:12" hidden="1" x14ac:dyDescent="0.3">
      <c r="A356" s="397" t="s">
        <v>6854</v>
      </c>
      <c r="C356" s="397" t="s">
        <v>1053</v>
      </c>
      <c r="D356" s="397" t="s">
        <v>6853</v>
      </c>
      <c r="E356" s="397" t="s">
        <v>6850</v>
      </c>
      <c r="F356" s="397" t="s">
        <v>191</v>
      </c>
      <c r="G356" s="396">
        <v>1</v>
      </c>
      <c r="H356" s="395">
        <v>12483.156000000001</v>
      </c>
      <c r="I356" s="394">
        <v>9464.77</v>
      </c>
      <c r="J356" s="394">
        <v>17833.080000000002</v>
      </c>
      <c r="K356" s="393" t="s">
        <v>1033</v>
      </c>
      <c r="L356" s="395">
        <v>2</v>
      </c>
    </row>
    <row r="357" spans="1:12" hidden="1" x14ac:dyDescent="0.3">
      <c r="A357" s="397" t="s">
        <v>7506</v>
      </c>
      <c r="C357" s="397" t="s">
        <v>1053</v>
      </c>
      <c r="D357" s="397" t="s">
        <v>7505</v>
      </c>
      <c r="E357" s="397" t="s">
        <v>7504</v>
      </c>
      <c r="F357" s="397" t="s">
        <v>191</v>
      </c>
      <c r="G357" s="396">
        <v>1</v>
      </c>
      <c r="H357" s="395">
        <v>106325.82800000001</v>
      </c>
      <c r="I357" s="394">
        <v>888.36</v>
      </c>
      <c r="J357" s="394">
        <v>151894.04</v>
      </c>
      <c r="K357" s="393" t="s">
        <v>1033</v>
      </c>
    </row>
    <row r="358" spans="1:12" hidden="1" x14ac:dyDescent="0.3">
      <c r="A358" s="397" t="s">
        <v>6947</v>
      </c>
      <c r="C358" s="397" t="s">
        <v>1053</v>
      </c>
      <c r="D358" s="397" t="s">
        <v>6946</v>
      </c>
      <c r="E358" s="397" t="s">
        <v>6945</v>
      </c>
      <c r="F358" s="397" t="s">
        <v>191</v>
      </c>
      <c r="G358" s="396">
        <v>1</v>
      </c>
      <c r="H358" s="395">
        <v>28853.608</v>
      </c>
      <c r="I358" s="394">
        <v>1228.1400000000001</v>
      </c>
      <c r="J358" s="394">
        <v>41219.440000000002</v>
      </c>
      <c r="K358" s="393" t="s">
        <v>1033</v>
      </c>
    </row>
    <row r="359" spans="1:12" hidden="1" x14ac:dyDescent="0.3">
      <c r="A359" s="397" t="s">
        <v>6941</v>
      </c>
      <c r="C359" s="397" t="s">
        <v>1053</v>
      </c>
      <c r="D359" s="397" t="s">
        <v>6940</v>
      </c>
      <c r="E359" s="397" t="s">
        <v>6939</v>
      </c>
      <c r="F359" s="397" t="s">
        <v>191</v>
      </c>
      <c r="G359" s="396">
        <v>1</v>
      </c>
      <c r="H359" s="395">
        <v>97729.968000000008</v>
      </c>
      <c r="I359" s="394">
        <v>4191.53</v>
      </c>
      <c r="J359" s="394">
        <v>139614.24</v>
      </c>
      <c r="K359" s="393" t="s">
        <v>1033</v>
      </c>
    </row>
    <row r="360" spans="1:12" hidden="1" x14ac:dyDescent="0.3">
      <c r="A360" s="397" t="s">
        <v>7511</v>
      </c>
      <c r="C360" s="397" t="s">
        <v>1053</v>
      </c>
      <c r="D360" s="397" t="s">
        <v>7510</v>
      </c>
      <c r="E360" s="397" t="s">
        <v>7499</v>
      </c>
      <c r="F360" s="397" t="s">
        <v>191</v>
      </c>
      <c r="G360" s="396">
        <v>1</v>
      </c>
      <c r="H360" s="395">
        <v>45224.067000000003</v>
      </c>
      <c r="I360" s="394">
        <v>751.24</v>
      </c>
      <c r="J360" s="394">
        <v>64605.810000000005</v>
      </c>
      <c r="K360" s="393" t="s">
        <v>1033</v>
      </c>
    </row>
    <row r="361" spans="1:12" hidden="1" x14ac:dyDescent="0.3">
      <c r="A361" s="397" t="s">
        <v>7501</v>
      </c>
      <c r="C361" s="397" t="s">
        <v>1053</v>
      </c>
      <c r="D361" s="397" t="s">
        <v>7500</v>
      </c>
      <c r="E361" s="397" t="s">
        <v>7499</v>
      </c>
      <c r="F361" s="397" t="s">
        <v>191</v>
      </c>
      <c r="G361" s="396">
        <v>2</v>
      </c>
      <c r="H361" s="395">
        <v>26006.575000000001</v>
      </c>
      <c r="I361" s="394">
        <v>17835.41</v>
      </c>
      <c r="J361" s="394">
        <v>37152.25</v>
      </c>
      <c r="K361" s="393" t="s">
        <v>1033</v>
      </c>
    </row>
    <row r="362" spans="1:12" hidden="1" x14ac:dyDescent="0.3">
      <c r="A362" s="397" t="s">
        <v>7509</v>
      </c>
      <c r="C362" s="397" t="s">
        <v>1053</v>
      </c>
      <c r="D362" s="397" t="s">
        <v>7963</v>
      </c>
      <c r="E362" s="397" t="s">
        <v>7960</v>
      </c>
      <c r="F362" s="397" t="s">
        <v>191</v>
      </c>
      <c r="G362" s="396">
        <v>1</v>
      </c>
      <c r="H362" s="395">
        <v>211645.90299999996</v>
      </c>
      <c r="I362" s="394">
        <v>20292.169999999998</v>
      </c>
      <c r="J362" s="394">
        <v>302351.28999999998</v>
      </c>
      <c r="K362" s="393" t="s">
        <v>1033</v>
      </c>
    </row>
    <row r="363" spans="1:12" hidden="1" x14ac:dyDescent="0.3">
      <c r="A363" s="397" t="s">
        <v>7509</v>
      </c>
      <c r="C363" s="397" t="s">
        <v>1053</v>
      </c>
      <c r="D363" s="397" t="s">
        <v>7508</v>
      </c>
      <c r="E363" s="397" t="s">
        <v>7507</v>
      </c>
      <c r="F363" s="397" t="s">
        <v>191</v>
      </c>
      <c r="G363" s="396">
        <v>1</v>
      </c>
      <c r="H363" s="395">
        <v>52505.900999999998</v>
      </c>
      <c r="I363" s="394">
        <v>305.14</v>
      </c>
      <c r="J363" s="394">
        <v>75008.429999999993</v>
      </c>
      <c r="K363" s="393" t="s">
        <v>1033</v>
      </c>
    </row>
    <row r="364" spans="1:12" hidden="1" x14ac:dyDescent="0.3">
      <c r="A364" s="397" t="s">
        <v>7962</v>
      </c>
      <c r="C364" s="397" t="s">
        <v>1053</v>
      </c>
      <c r="D364" s="397" t="s">
        <v>7961</v>
      </c>
      <c r="E364" s="397" t="s">
        <v>7960</v>
      </c>
      <c r="F364" s="397" t="s">
        <v>191</v>
      </c>
      <c r="G364" s="396">
        <v>1</v>
      </c>
      <c r="H364" s="395">
        <v>135215.93400000001</v>
      </c>
      <c r="I364" s="394">
        <v>2721.93</v>
      </c>
      <c r="J364" s="394">
        <v>193165.62</v>
      </c>
      <c r="K364" s="393" t="s">
        <v>1033</v>
      </c>
    </row>
    <row r="365" spans="1:12" hidden="1" x14ac:dyDescent="0.3">
      <c r="A365" s="397" t="s">
        <v>6935</v>
      </c>
      <c r="C365" s="397" t="s">
        <v>1053</v>
      </c>
      <c r="D365" s="397" t="s">
        <v>6934</v>
      </c>
      <c r="E365" s="397" t="s">
        <v>6933</v>
      </c>
      <c r="F365" s="397" t="s">
        <v>191</v>
      </c>
      <c r="G365" s="396">
        <v>1</v>
      </c>
      <c r="H365" s="395">
        <v>4215.8059999999996</v>
      </c>
      <c r="I365" s="394">
        <v>39.81</v>
      </c>
      <c r="J365" s="394">
        <v>6022.58</v>
      </c>
      <c r="K365" s="393" t="s">
        <v>1033</v>
      </c>
    </row>
    <row r="366" spans="1:12" hidden="1" x14ac:dyDescent="0.3">
      <c r="A366" s="397" t="s">
        <v>911</v>
      </c>
      <c r="C366" s="397" t="s">
        <v>1053</v>
      </c>
      <c r="D366" s="397" t="s">
        <v>7967</v>
      </c>
      <c r="E366" s="397" t="s">
        <v>7966</v>
      </c>
      <c r="F366" s="397" t="s">
        <v>191</v>
      </c>
      <c r="G366" s="396">
        <v>1</v>
      </c>
      <c r="H366" s="395">
        <v>116620.462</v>
      </c>
      <c r="I366" s="394">
        <v>58908.56</v>
      </c>
      <c r="J366" s="394">
        <v>166600.66</v>
      </c>
      <c r="K366" s="393" t="s">
        <v>1033</v>
      </c>
    </row>
    <row r="367" spans="1:12" hidden="1" x14ac:dyDescent="0.3">
      <c r="A367" s="397" t="s">
        <v>7965</v>
      </c>
      <c r="C367" s="397" t="s">
        <v>1053</v>
      </c>
      <c r="D367" s="397" t="s">
        <v>7964</v>
      </c>
      <c r="E367" s="397" t="s">
        <v>7960</v>
      </c>
      <c r="F367" s="397" t="s">
        <v>191</v>
      </c>
      <c r="G367" s="396">
        <v>1</v>
      </c>
      <c r="H367" s="395">
        <v>137384.18400000001</v>
      </c>
      <c r="I367" s="394">
        <v>133007.85999999999</v>
      </c>
      <c r="J367" s="394">
        <v>196263.12</v>
      </c>
      <c r="K367" s="393" t="s">
        <v>1033</v>
      </c>
    </row>
    <row r="368" spans="1:12" hidden="1" x14ac:dyDescent="0.3">
      <c r="A368" s="397" t="s">
        <v>7750</v>
      </c>
      <c r="C368" s="397" t="s">
        <v>1053</v>
      </c>
      <c r="D368" s="397" t="s">
        <v>7749</v>
      </c>
      <c r="E368" s="397" t="s">
        <v>7748</v>
      </c>
      <c r="F368" s="397" t="s">
        <v>191</v>
      </c>
      <c r="G368" s="396">
        <v>6</v>
      </c>
      <c r="H368" s="395">
        <v>49932.624000000003</v>
      </c>
      <c r="I368" s="394">
        <v>49825.53</v>
      </c>
      <c r="J368" s="394">
        <v>71332.320000000007</v>
      </c>
      <c r="K368" s="393" t="s">
        <v>1033</v>
      </c>
    </row>
    <row r="369" spans="1:12" hidden="1" x14ac:dyDescent="0.3">
      <c r="A369" s="397" t="s">
        <v>7752</v>
      </c>
      <c r="C369" s="397" t="s">
        <v>1053</v>
      </c>
      <c r="D369" s="397" t="s">
        <v>7753</v>
      </c>
      <c r="E369" s="397" t="s">
        <v>7748</v>
      </c>
      <c r="F369" s="397" t="s">
        <v>191</v>
      </c>
      <c r="G369" s="396">
        <v>1</v>
      </c>
      <c r="H369" s="395">
        <v>49415.184000000008</v>
      </c>
      <c r="I369" s="394">
        <v>47583.38</v>
      </c>
      <c r="J369" s="394">
        <v>70593.119999999995</v>
      </c>
      <c r="K369" s="393" t="s">
        <v>1033</v>
      </c>
    </row>
    <row r="370" spans="1:12" hidden="1" x14ac:dyDescent="0.3">
      <c r="A370" s="397" t="s">
        <v>7752</v>
      </c>
      <c r="C370" s="397" t="s">
        <v>1053</v>
      </c>
      <c r="D370" s="397" t="s">
        <v>7751</v>
      </c>
      <c r="E370" s="397" t="s">
        <v>7748</v>
      </c>
      <c r="F370" s="397" t="s">
        <v>191</v>
      </c>
      <c r="G370" s="396">
        <v>6</v>
      </c>
      <c r="H370" s="395">
        <v>49932.624000000003</v>
      </c>
      <c r="I370" s="394">
        <v>49825.53</v>
      </c>
      <c r="J370" s="394">
        <v>71332.320000000007</v>
      </c>
      <c r="K370" s="393" t="s">
        <v>1033</v>
      </c>
    </row>
    <row r="371" spans="1:12" hidden="1" x14ac:dyDescent="0.3">
      <c r="A371" s="397" t="s">
        <v>7744</v>
      </c>
      <c r="C371" s="397" t="s">
        <v>1053</v>
      </c>
      <c r="D371" s="397" t="s">
        <v>7743</v>
      </c>
      <c r="E371" s="397" t="s">
        <v>7742</v>
      </c>
      <c r="F371" s="397" t="s">
        <v>191</v>
      </c>
      <c r="G371" s="396">
        <v>5</v>
      </c>
      <c r="H371" s="395">
        <v>48235.347999999998</v>
      </c>
      <c r="I371" s="394">
        <v>48097.8</v>
      </c>
      <c r="J371" s="394">
        <v>68907.64</v>
      </c>
      <c r="K371" s="393" t="s">
        <v>1033</v>
      </c>
    </row>
    <row r="372" spans="1:12" hidden="1" x14ac:dyDescent="0.3">
      <c r="A372" s="397" t="s">
        <v>7747</v>
      </c>
      <c r="C372" s="397" t="s">
        <v>1053</v>
      </c>
      <c r="D372" s="397" t="s">
        <v>7746</v>
      </c>
      <c r="E372" s="397" t="s">
        <v>7745</v>
      </c>
      <c r="F372" s="397" t="s">
        <v>191</v>
      </c>
      <c r="G372" s="396">
        <v>5</v>
      </c>
      <c r="H372" s="395">
        <v>37011.464</v>
      </c>
      <c r="I372" s="394">
        <v>36895.410000000003</v>
      </c>
      <c r="J372" s="394">
        <v>52873.520000000004</v>
      </c>
      <c r="K372" s="393" t="s">
        <v>1033</v>
      </c>
    </row>
    <row r="373" spans="1:12" hidden="1" x14ac:dyDescent="0.3">
      <c r="A373" s="397" t="s">
        <v>7741</v>
      </c>
      <c r="C373" s="397" t="s">
        <v>1053</v>
      </c>
      <c r="D373" s="397" t="s">
        <v>7740</v>
      </c>
      <c r="E373" s="397" t="s">
        <v>7739</v>
      </c>
      <c r="F373" s="397" t="s">
        <v>191</v>
      </c>
      <c r="G373" s="396">
        <v>5</v>
      </c>
      <c r="H373" s="395">
        <v>9800.3709999999992</v>
      </c>
      <c r="I373" s="394">
        <v>9753.31</v>
      </c>
      <c r="J373" s="394">
        <v>14000.53</v>
      </c>
      <c r="K373" s="393" t="s">
        <v>1033</v>
      </c>
    </row>
    <row r="374" spans="1:12" hidden="1" x14ac:dyDescent="0.3">
      <c r="A374" s="397" t="s">
        <v>7764</v>
      </c>
      <c r="C374" s="397" t="s">
        <v>1053</v>
      </c>
      <c r="D374" s="397" t="s">
        <v>7763</v>
      </c>
      <c r="E374" s="397" t="s">
        <v>7762</v>
      </c>
      <c r="F374" s="397" t="s">
        <v>191</v>
      </c>
      <c r="G374" s="396">
        <v>5</v>
      </c>
      <c r="H374" s="395">
        <v>53381.915999999997</v>
      </c>
      <c r="I374" s="394">
        <v>53225.26</v>
      </c>
      <c r="J374" s="394">
        <v>76259.88</v>
      </c>
      <c r="K374" s="393" t="s">
        <v>1033</v>
      </c>
    </row>
    <row r="375" spans="1:12" s="364" customFormat="1" x14ac:dyDescent="0.3">
      <c r="A375" s="402" t="s">
        <v>7528</v>
      </c>
      <c r="C375" s="402" t="s">
        <v>1053</v>
      </c>
      <c r="D375" s="402" t="s">
        <v>7527</v>
      </c>
      <c r="E375" s="402" t="s">
        <v>7524</v>
      </c>
      <c r="F375" s="402" t="s">
        <v>191</v>
      </c>
      <c r="G375" s="401">
        <v>13</v>
      </c>
      <c r="H375" s="400">
        <v>214082.42100000003</v>
      </c>
      <c r="I375" s="399">
        <v>9971.4699999999993</v>
      </c>
      <c r="J375" s="399">
        <v>305832.03000000003</v>
      </c>
      <c r="K375" s="398" t="s">
        <v>1033</v>
      </c>
    </row>
    <row r="376" spans="1:12" hidden="1" x14ac:dyDescent="0.3">
      <c r="A376" s="397" t="s">
        <v>7769</v>
      </c>
      <c r="C376" s="397" t="s">
        <v>1053</v>
      </c>
      <c r="D376" s="397" t="s">
        <v>7768</v>
      </c>
      <c r="E376" s="397" t="s">
        <v>7765</v>
      </c>
      <c r="F376" s="397" t="s">
        <v>191</v>
      </c>
      <c r="G376" s="396">
        <v>4</v>
      </c>
      <c r="H376" s="395">
        <v>170000.86600000001</v>
      </c>
      <c r="I376" s="394">
        <v>6367.85</v>
      </c>
      <c r="J376" s="394">
        <v>242858.38</v>
      </c>
      <c r="K376" s="393" t="s">
        <v>1033</v>
      </c>
    </row>
    <row r="377" spans="1:12" hidden="1" x14ac:dyDescent="0.3">
      <c r="A377" s="397" t="s">
        <v>7771</v>
      </c>
      <c r="C377" s="397" t="s">
        <v>1053</v>
      </c>
      <c r="D377" s="397" t="s">
        <v>7770</v>
      </c>
      <c r="E377" s="397" t="s">
        <v>422</v>
      </c>
      <c r="F377" s="397" t="s">
        <v>191</v>
      </c>
      <c r="G377" s="396">
        <v>1</v>
      </c>
      <c r="H377" s="395">
        <v>112786.40800000001</v>
      </c>
      <c r="I377" s="394">
        <v>4964.7299999999996</v>
      </c>
      <c r="J377" s="394">
        <v>161123.44</v>
      </c>
      <c r="K377" s="393" t="s">
        <v>1033</v>
      </c>
    </row>
    <row r="378" spans="1:12" hidden="1" x14ac:dyDescent="0.3">
      <c r="A378" s="397" t="s">
        <v>7526</v>
      </c>
      <c r="C378" s="397" t="s">
        <v>1053</v>
      </c>
      <c r="D378" s="397" t="s">
        <v>7525</v>
      </c>
      <c r="E378" s="397" t="s">
        <v>7524</v>
      </c>
      <c r="F378" s="397" t="s">
        <v>191</v>
      </c>
      <c r="G378" s="396">
        <v>1</v>
      </c>
      <c r="H378" s="395">
        <v>187766.15899999999</v>
      </c>
      <c r="I378" s="394">
        <v>1603.52</v>
      </c>
      <c r="J378" s="394">
        <v>268237.37</v>
      </c>
      <c r="K378" s="393" t="s">
        <v>1033</v>
      </c>
    </row>
    <row r="379" spans="1:12" hidden="1" x14ac:dyDescent="0.3">
      <c r="A379" s="397" t="s">
        <v>7807</v>
      </c>
      <c r="C379" s="397" t="s">
        <v>1053</v>
      </c>
      <c r="D379" s="397" t="s">
        <v>7806</v>
      </c>
      <c r="E379" s="397" t="s">
        <v>7524</v>
      </c>
      <c r="F379" s="397" t="s">
        <v>191</v>
      </c>
      <c r="G379" s="396">
        <v>1</v>
      </c>
      <c r="H379" s="395">
        <v>244023.79399999999</v>
      </c>
      <c r="I379" s="394">
        <v>10712.94</v>
      </c>
      <c r="J379" s="394">
        <v>348605.42</v>
      </c>
      <c r="K379" s="393" t="s">
        <v>1033</v>
      </c>
    </row>
    <row r="380" spans="1:12" hidden="1" x14ac:dyDescent="0.3">
      <c r="A380" s="397" t="s">
        <v>7767</v>
      </c>
      <c r="C380" s="397" t="s">
        <v>1053</v>
      </c>
      <c r="D380" s="397" t="s">
        <v>7766</v>
      </c>
      <c r="E380" s="397" t="s">
        <v>7765</v>
      </c>
      <c r="F380" s="397" t="s">
        <v>191</v>
      </c>
      <c r="G380" s="396">
        <v>1</v>
      </c>
      <c r="H380" s="395">
        <v>70012.789000000004</v>
      </c>
      <c r="I380" s="394">
        <v>346.15000000000003</v>
      </c>
      <c r="J380" s="394">
        <v>100018.27</v>
      </c>
      <c r="K380" s="393" t="s">
        <v>1033</v>
      </c>
    </row>
    <row r="381" spans="1:12" hidden="1" x14ac:dyDescent="0.3">
      <c r="A381" s="397" t="s">
        <v>6932</v>
      </c>
      <c r="C381" s="397" t="s">
        <v>1053</v>
      </c>
      <c r="D381" s="397" t="s">
        <v>6931</v>
      </c>
      <c r="E381" s="397" t="s">
        <v>6930</v>
      </c>
      <c r="F381" s="397" t="s">
        <v>191</v>
      </c>
      <c r="G381" s="396">
        <v>1</v>
      </c>
      <c r="H381" s="395">
        <v>938152.94299999997</v>
      </c>
      <c r="I381" s="394">
        <v>46439.86</v>
      </c>
      <c r="J381" s="394">
        <v>1340218.49</v>
      </c>
      <c r="K381" s="393" t="s">
        <v>1033</v>
      </c>
    </row>
    <row r="382" spans="1:12" hidden="1" x14ac:dyDescent="0.3">
      <c r="A382" s="397" t="s">
        <v>784</v>
      </c>
      <c r="C382" s="397" t="s">
        <v>1053</v>
      </c>
      <c r="D382" s="397" t="s">
        <v>679</v>
      </c>
      <c r="E382" s="397" t="s">
        <v>678</v>
      </c>
      <c r="F382" s="397" t="s">
        <v>191</v>
      </c>
      <c r="G382" s="396">
        <v>1</v>
      </c>
      <c r="H382" s="395">
        <v>41117.762000000002</v>
      </c>
      <c r="I382" s="394">
        <v>40016.480000000003</v>
      </c>
      <c r="J382" s="394">
        <v>58739.66</v>
      </c>
      <c r="K382" s="393" t="s">
        <v>1033</v>
      </c>
    </row>
    <row r="383" spans="1:12" hidden="1" x14ac:dyDescent="0.3">
      <c r="A383" s="397" t="s">
        <v>7798</v>
      </c>
      <c r="C383" s="397" t="s">
        <v>1053</v>
      </c>
      <c r="D383" s="397" t="s">
        <v>7797</v>
      </c>
      <c r="E383" s="397" t="s">
        <v>7796</v>
      </c>
      <c r="F383" s="397" t="s">
        <v>191</v>
      </c>
      <c r="G383" s="396">
        <v>4</v>
      </c>
      <c r="H383" s="395">
        <v>203935.79500000001</v>
      </c>
      <c r="I383" s="394">
        <v>200227.30000000002</v>
      </c>
      <c r="J383" s="394">
        <v>291336.84999999998</v>
      </c>
      <c r="K383" s="393" t="s">
        <v>1033</v>
      </c>
    </row>
    <row r="384" spans="1:12" hidden="1" x14ac:dyDescent="0.3">
      <c r="A384" s="397" t="s">
        <v>885</v>
      </c>
      <c r="C384" s="397" t="s">
        <v>1053</v>
      </c>
      <c r="D384" s="397" t="s">
        <v>421</v>
      </c>
      <c r="E384" s="397" t="s">
        <v>422</v>
      </c>
      <c r="F384" s="397" t="s">
        <v>191</v>
      </c>
      <c r="G384" s="396">
        <v>13</v>
      </c>
      <c r="H384" s="395">
        <v>187266.625</v>
      </c>
      <c r="I384" s="394">
        <v>183864.02</v>
      </c>
      <c r="J384" s="394">
        <v>267523.75</v>
      </c>
      <c r="K384" s="393" t="s">
        <v>1033</v>
      </c>
      <c r="L384" s="395">
        <v>1</v>
      </c>
    </row>
    <row r="385" spans="1:11" hidden="1" x14ac:dyDescent="0.3">
      <c r="A385" s="397" t="s">
        <v>7777</v>
      </c>
      <c r="C385" s="397" t="s">
        <v>1053</v>
      </c>
      <c r="D385" s="397" t="s">
        <v>7776</v>
      </c>
      <c r="E385" s="397" t="s">
        <v>7775</v>
      </c>
      <c r="F385" s="397" t="s">
        <v>191</v>
      </c>
      <c r="G385" s="396">
        <v>1</v>
      </c>
      <c r="H385" s="395">
        <v>51246.635999999999</v>
      </c>
      <c r="I385" s="394">
        <v>49825.53</v>
      </c>
      <c r="J385" s="394">
        <v>73209.48</v>
      </c>
      <c r="K385" s="393" t="s">
        <v>1033</v>
      </c>
    </row>
    <row r="386" spans="1:11" hidden="1" x14ac:dyDescent="0.3">
      <c r="A386" s="397" t="s">
        <v>8102</v>
      </c>
      <c r="C386" s="397" t="s">
        <v>1053</v>
      </c>
      <c r="D386" s="397" t="s">
        <v>8101</v>
      </c>
      <c r="E386" s="397" t="s">
        <v>8100</v>
      </c>
      <c r="F386" s="397" t="s">
        <v>191</v>
      </c>
      <c r="G386" s="396">
        <v>3</v>
      </c>
      <c r="H386" s="395">
        <v>181834.674</v>
      </c>
      <c r="I386" s="394">
        <v>109094.15000000001</v>
      </c>
      <c r="J386" s="394">
        <v>259763.82</v>
      </c>
      <c r="K386" s="393" t="s">
        <v>1033</v>
      </c>
    </row>
    <row r="387" spans="1:11" hidden="1" x14ac:dyDescent="0.3">
      <c r="A387" s="397" t="s">
        <v>7783</v>
      </c>
      <c r="C387" s="397" t="s">
        <v>1053</v>
      </c>
      <c r="D387" s="397" t="s">
        <v>7782</v>
      </c>
      <c r="E387" s="397" t="s">
        <v>7781</v>
      </c>
      <c r="F387" s="397" t="s">
        <v>191</v>
      </c>
      <c r="G387" s="396">
        <v>14</v>
      </c>
      <c r="H387" s="395">
        <v>51575.146000000001</v>
      </c>
      <c r="I387" s="394">
        <v>51441.79</v>
      </c>
      <c r="J387" s="394">
        <v>73678.78</v>
      </c>
      <c r="K387" s="393" t="s">
        <v>1033</v>
      </c>
    </row>
    <row r="388" spans="1:11" hidden="1" x14ac:dyDescent="0.3">
      <c r="A388" s="397" t="s">
        <v>7803</v>
      </c>
      <c r="C388" s="397" t="s">
        <v>1053</v>
      </c>
      <c r="D388" s="397" t="s">
        <v>7802</v>
      </c>
      <c r="E388" s="397" t="s">
        <v>7801</v>
      </c>
      <c r="F388" s="397" t="s">
        <v>191</v>
      </c>
      <c r="G388" s="396">
        <v>6</v>
      </c>
      <c r="H388" s="395">
        <v>116913.69900000001</v>
      </c>
      <c r="I388" s="394">
        <v>114791.01000000001</v>
      </c>
      <c r="J388" s="394">
        <v>167019.57</v>
      </c>
      <c r="K388" s="393" t="s">
        <v>1033</v>
      </c>
    </row>
    <row r="389" spans="1:11" hidden="1" x14ac:dyDescent="0.3">
      <c r="A389" s="397" t="s">
        <v>6868</v>
      </c>
      <c r="C389" s="397" t="s">
        <v>1053</v>
      </c>
      <c r="D389" s="397" t="s">
        <v>6867</v>
      </c>
      <c r="E389" s="397" t="s">
        <v>6866</v>
      </c>
      <c r="F389" s="397" t="s">
        <v>191</v>
      </c>
      <c r="G389" s="396">
        <v>1</v>
      </c>
      <c r="H389" s="395">
        <v>568093.07799999998</v>
      </c>
      <c r="I389" s="394">
        <v>558101.32999999996</v>
      </c>
      <c r="J389" s="394">
        <v>811561.54</v>
      </c>
      <c r="K389" s="393" t="s">
        <v>1033</v>
      </c>
    </row>
    <row r="390" spans="1:11" hidden="1" x14ac:dyDescent="0.3">
      <c r="A390" s="397" t="s">
        <v>7758</v>
      </c>
      <c r="C390" s="397" t="s">
        <v>1053</v>
      </c>
      <c r="D390" s="397" t="s">
        <v>7757</v>
      </c>
      <c r="E390" s="397" t="s">
        <v>7756</v>
      </c>
      <c r="F390" s="397" t="s">
        <v>191</v>
      </c>
      <c r="G390" s="396">
        <v>5</v>
      </c>
      <c r="H390" s="395">
        <v>5639.3190000000004</v>
      </c>
      <c r="I390" s="394">
        <v>5461.86</v>
      </c>
      <c r="J390" s="394">
        <v>8056.17</v>
      </c>
      <c r="K390" s="393" t="s">
        <v>1033</v>
      </c>
    </row>
    <row r="391" spans="1:11" hidden="1" x14ac:dyDescent="0.3">
      <c r="A391" s="397" t="s">
        <v>5476</v>
      </c>
      <c r="C391" s="397" t="s">
        <v>1053</v>
      </c>
      <c r="D391" s="397" t="s">
        <v>5475</v>
      </c>
      <c r="E391" s="397" t="s">
        <v>5474</v>
      </c>
      <c r="F391" s="397" t="s">
        <v>191</v>
      </c>
      <c r="G391" s="396">
        <v>1</v>
      </c>
      <c r="H391" s="395">
        <v>39310.992000000006</v>
      </c>
      <c r="I391" s="394">
        <v>235.17000000000002</v>
      </c>
      <c r="J391" s="394">
        <v>56158.559999999998</v>
      </c>
      <c r="K391" s="393" t="s">
        <v>1033</v>
      </c>
    </row>
    <row r="392" spans="1:11" hidden="1" x14ac:dyDescent="0.3">
      <c r="A392" s="397" t="s">
        <v>5633</v>
      </c>
      <c r="C392" s="397" t="s">
        <v>1053</v>
      </c>
      <c r="D392" s="397" t="s">
        <v>5632</v>
      </c>
      <c r="E392" s="397" t="s">
        <v>607</v>
      </c>
      <c r="F392" s="397" t="s">
        <v>191</v>
      </c>
      <c r="G392" s="396">
        <v>4</v>
      </c>
      <c r="H392" s="395">
        <v>18004.371000000003</v>
      </c>
      <c r="I392" s="394">
        <v>17717.599999999999</v>
      </c>
      <c r="J392" s="394">
        <v>25720.53</v>
      </c>
      <c r="K392" s="393" t="s">
        <v>1033</v>
      </c>
    </row>
    <row r="393" spans="1:11" hidden="1" x14ac:dyDescent="0.3">
      <c r="A393" s="397" t="s">
        <v>5884</v>
      </c>
      <c r="C393" s="397" t="s">
        <v>1053</v>
      </c>
      <c r="D393" s="397" t="s">
        <v>5883</v>
      </c>
      <c r="E393" s="397" t="s">
        <v>5882</v>
      </c>
      <c r="F393" s="397" t="s">
        <v>191</v>
      </c>
      <c r="G393" s="396">
        <v>1</v>
      </c>
      <c r="H393" s="395">
        <v>26524.295000000002</v>
      </c>
      <c r="I393" s="394">
        <v>579.13</v>
      </c>
      <c r="J393" s="394">
        <v>37891.85</v>
      </c>
      <c r="K393" s="393" t="s">
        <v>1033</v>
      </c>
    </row>
    <row r="394" spans="1:11" hidden="1" x14ac:dyDescent="0.3">
      <c r="A394" s="397" t="s">
        <v>3291</v>
      </c>
      <c r="C394" s="397" t="s">
        <v>1053</v>
      </c>
      <c r="D394" s="397" t="s">
        <v>3290</v>
      </c>
      <c r="E394" s="397" t="s">
        <v>3289</v>
      </c>
      <c r="F394" s="397" t="s">
        <v>191</v>
      </c>
      <c r="G394" s="396">
        <v>3</v>
      </c>
      <c r="H394" s="395">
        <v>56225.827000000005</v>
      </c>
      <c r="I394" s="394">
        <v>2895.9700000000003</v>
      </c>
      <c r="J394" s="394">
        <v>80322.61</v>
      </c>
      <c r="K394" s="393" t="s">
        <v>1033</v>
      </c>
    </row>
    <row r="395" spans="1:11" hidden="1" x14ac:dyDescent="0.3">
      <c r="A395" s="397" t="s">
        <v>3288</v>
      </c>
      <c r="C395" s="397" t="s">
        <v>1053</v>
      </c>
      <c r="D395" s="397" t="s">
        <v>3287</v>
      </c>
      <c r="E395" s="397" t="s">
        <v>678</v>
      </c>
      <c r="F395" s="397" t="s">
        <v>191</v>
      </c>
      <c r="G395" s="396">
        <v>4</v>
      </c>
      <c r="H395" s="395">
        <v>43472.044000000002</v>
      </c>
      <c r="I395" s="394">
        <v>37585.050000000003</v>
      </c>
      <c r="J395" s="394">
        <v>62102.92</v>
      </c>
      <c r="K395" s="393" t="s">
        <v>1033</v>
      </c>
    </row>
    <row r="396" spans="1:11" hidden="1" x14ac:dyDescent="0.3">
      <c r="A396" s="397" t="s">
        <v>1733</v>
      </c>
      <c r="C396" s="397" t="s">
        <v>1053</v>
      </c>
      <c r="D396" s="397" t="s">
        <v>1732</v>
      </c>
      <c r="E396" s="397" t="s">
        <v>1731</v>
      </c>
      <c r="F396" s="397" t="s">
        <v>191</v>
      </c>
      <c r="G396" s="396">
        <v>1</v>
      </c>
      <c r="H396" s="395">
        <v>46229.61</v>
      </c>
      <c r="I396" s="394">
        <v>29610.75</v>
      </c>
      <c r="J396" s="394">
        <v>66042.3</v>
      </c>
      <c r="K396" s="393" t="s">
        <v>1033</v>
      </c>
    </row>
    <row r="397" spans="1:11" hidden="1" x14ac:dyDescent="0.3">
      <c r="A397" s="397" t="s">
        <v>4666</v>
      </c>
      <c r="C397" s="397" t="s">
        <v>1053</v>
      </c>
      <c r="D397" s="397" t="s">
        <v>4665</v>
      </c>
      <c r="E397" s="397" t="s">
        <v>4664</v>
      </c>
      <c r="F397" s="397" t="s">
        <v>191</v>
      </c>
      <c r="G397" s="396">
        <v>1</v>
      </c>
      <c r="H397" s="395">
        <v>614904.91299999994</v>
      </c>
      <c r="I397" s="394">
        <v>143927.82999999999</v>
      </c>
      <c r="J397" s="394">
        <v>878435.59</v>
      </c>
      <c r="K397" s="393" t="s">
        <v>1033</v>
      </c>
    </row>
    <row r="398" spans="1:11" hidden="1" x14ac:dyDescent="0.3">
      <c r="A398" s="397" t="s">
        <v>1360</v>
      </c>
      <c r="C398" s="397" t="s">
        <v>1053</v>
      </c>
      <c r="D398" s="397" t="s">
        <v>1359</v>
      </c>
      <c r="E398" s="397" t="s">
        <v>1358</v>
      </c>
      <c r="F398" s="397" t="s">
        <v>191</v>
      </c>
      <c r="G398" s="396">
        <v>1</v>
      </c>
      <c r="H398" s="395">
        <v>30205.083999999999</v>
      </c>
      <c r="I398" s="394">
        <v>26070.36</v>
      </c>
      <c r="J398" s="394">
        <v>43150.12</v>
      </c>
      <c r="K398" s="393" t="s">
        <v>1033</v>
      </c>
    </row>
    <row r="399" spans="1:11" hidden="1" x14ac:dyDescent="0.3">
      <c r="A399" s="397" t="s">
        <v>7774</v>
      </c>
      <c r="C399" s="397" t="s">
        <v>1053</v>
      </c>
      <c r="D399" s="397" t="s">
        <v>7773</v>
      </c>
      <c r="E399" s="397" t="s">
        <v>7772</v>
      </c>
      <c r="F399" s="397" t="s">
        <v>191</v>
      </c>
      <c r="G399" s="396">
        <v>6</v>
      </c>
      <c r="H399" s="395">
        <v>51246.635999999999</v>
      </c>
      <c r="I399" s="394">
        <v>51107.39</v>
      </c>
      <c r="J399" s="394">
        <v>73209.48</v>
      </c>
      <c r="K399" s="393" t="s">
        <v>1033</v>
      </c>
    </row>
    <row r="400" spans="1:11" hidden="1" x14ac:dyDescent="0.3">
      <c r="A400" s="397" t="s">
        <v>7982</v>
      </c>
      <c r="C400" s="397" t="s">
        <v>1053</v>
      </c>
      <c r="D400" s="397" t="s">
        <v>7981</v>
      </c>
      <c r="E400" s="397" t="s">
        <v>7980</v>
      </c>
      <c r="F400" s="397" t="s">
        <v>191</v>
      </c>
      <c r="G400" s="396">
        <v>1</v>
      </c>
      <c r="H400" s="395">
        <v>436901.48600000003</v>
      </c>
      <c r="I400" s="394">
        <v>41763.089999999997</v>
      </c>
      <c r="J400" s="394">
        <v>624144.98</v>
      </c>
      <c r="K400" s="393" t="s">
        <v>1033</v>
      </c>
    </row>
    <row r="401" spans="1:11" hidden="1" x14ac:dyDescent="0.3">
      <c r="A401" s="397" t="s">
        <v>4789</v>
      </c>
      <c r="C401" s="397" t="s">
        <v>1053</v>
      </c>
      <c r="D401" s="397" t="s">
        <v>4788</v>
      </c>
      <c r="E401" s="397" t="s">
        <v>4787</v>
      </c>
      <c r="F401" s="397" t="s">
        <v>191</v>
      </c>
      <c r="G401" s="396">
        <v>1</v>
      </c>
      <c r="H401" s="395">
        <v>236817.98</v>
      </c>
      <c r="I401" s="394">
        <v>19253.259999999998</v>
      </c>
      <c r="J401" s="394">
        <v>338311.4</v>
      </c>
      <c r="K401" s="393" t="s">
        <v>1033</v>
      </c>
    </row>
    <row r="402" spans="1:11" hidden="1" x14ac:dyDescent="0.3">
      <c r="A402" s="397" t="s">
        <v>5312</v>
      </c>
      <c r="C402" s="397" t="s">
        <v>1053</v>
      </c>
      <c r="D402" s="397" t="s">
        <v>5311</v>
      </c>
      <c r="E402" s="397" t="s">
        <v>5310</v>
      </c>
      <c r="F402" s="397" t="s">
        <v>191</v>
      </c>
      <c r="G402" s="396">
        <v>1</v>
      </c>
      <c r="H402" s="395">
        <v>19929.244999999999</v>
      </c>
      <c r="I402" s="394">
        <v>1583.17</v>
      </c>
      <c r="J402" s="394">
        <v>28470.350000000002</v>
      </c>
      <c r="K402" s="393" t="s">
        <v>1033</v>
      </c>
    </row>
    <row r="403" spans="1:11" hidden="1" x14ac:dyDescent="0.3">
      <c r="A403" s="397" t="s">
        <v>7493</v>
      </c>
      <c r="C403" s="397" t="s">
        <v>1053</v>
      </c>
      <c r="D403" s="397" t="s">
        <v>7492</v>
      </c>
      <c r="E403" s="397" t="s">
        <v>7491</v>
      </c>
      <c r="F403" s="397" t="s">
        <v>191</v>
      </c>
      <c r="G403" s="396">
        <v>6</v>
      </c>
      <c r="H403" s="395">
        <v>61839.589000000007</v>
      </c>
      <c r="I403" s="394">
        <v>59499.9</v>
      </c>
      <c r="J403" s="394">
        <v>88342.27</v>
      </c>
      <c r="K403" s="393" t="s">
        <v>1033</v>
      </c>
    </row>
    <row r="404" spans="1:11" hidden="1" x14ac:dyDescent="0.3">
      <c r="A404" s="397" t="s">
        <v>5309</v>
      </c>
      <c r="C404" s="397" t="s">
        <v>1053</v>
      </c>
      <c r="D404" s="397" t="s">
        <v>5308</v>
      </c>
      <c r="E404" s="397" t="s">
        <v>5307</v>
      </c>
      <c r="F404" s="397" t="s">
        <v>191</v>
      </c>
      <c r="G404" s="396">
        <v>1</v>
      </c>
      <c r="H404" s="395">
        <v>33397.917000000001</v>
      </c>
      <c r="I404" s="394">
        <v>2656.1</v>
      </c>
      <c r="J404" s="394">
        <v>47711.31</v>
      </c>
      <c r="K404" s="393" t="s">
        <v>1033</v>
      </c>
    </row>
    <row r="405" spans="1:11" hidden="1" x14ac:dyDescent="0.3">
      <c r="A405" s="397" t="s">
        <v>4400</v>
      </c>
      <c r="C405" s="397" t="s">
        <v>1053</v>
      </c>
      <c r="D405" s="397" t="s">
        <v>4399</v>
      </c>
      <c r="E405" s="397" t="s">
        <v>4398</v>
      </c>
      <c r="F405" s="397" t="s">
        <v>191</v>
      </c>
      <c r="G405" s="396">
        <v>1</v>
      </c>
      <c r="H405" s="395">
        <v>88696.104000000007</v>
      </c>
      <c r="I405" s="394">
        <v>693.14</v>
      </c>
      <c r="J405" s="394">
        <v>126708.72</v>
      </c>
      <c r="K405" s="393" t="s">
        <v>1033</v>
      </c>
    </row>
    <row r="406" spans="1:11" hidden="1" x14ac:dyDescent="0.3">
      <c r="A406" s="397" t="s">
        <v>7822</v>
      </c>
      <c r="C406" s="397" t="s">
        <v>1053</v>
      </c>
      <c r="D406" s="397" t="s">
        <v>7821</v>
      </c>
      <c r="E406" s="397" t="s">
        <v>7820</v>
      </c>
      <c r="F406" s="397" t="s">
        <v>191</v>
      </c>
      <c r="G406" s="396">
        <v>2</v>
      </c>
      <c r="H406" s="395">
        <v>362778.02399999998</v>
      </c>
      <c r="I406" s="394">
        <v>66469.14</v>
      </c>
      <c r="J406" s="394">
        <v>518254.32</v>
      </c>
      <c r="K406" s="393" t="s">
        <v>1033</v>
      </c>
    </row>
    <row r="407" spans="1:11" hidden="1" x14ac:dyDescent="0.3">
      <c r="A407" s="397" t="s">
        <v>5147</v>
      </c>
      <c r="C407" s="397" t="s">
        <v>1053</v>
      </c>
      <c r="D407" s="397" t="s">
        <v>5146</v>
      </c>
      <c r="E407" s="397" t="s">
        <v>5145</v>
      </c>
      <c r="F407" s="397" t="s">
        <v>191</v>
      </c>
      <c r="G407" s="396">
        <v>1</v>
      </c>
      <c r="H407" s="395">
        <v>48560.735999999997</v>
      </c>
      <c r="I407" s="394">
        <v>379.51</v>
      </c>
      <c r="J407" s="394">
        <v>69372.479999999996</v>
      </c>
      <c r="K407" s="393" t="s">
        <v>1033</v>
      </c>
    </row>
    <row r="408" spans="1:11" hidden="1" x14ac:dyDescent="0.3">
      <c r="A408" s="397" t="s">
        <v>7731</v>
      </c>
      <c r="C408" s="397" t="s">
        <v>1053</v>
      </c>
      <c r="D408" s="397" t="s">
        <v>7730</v>
      </c>
      <c r="E408" s="397" t="s">
        <v>428</v>
      </c>
      <c r="F408" s="397" t="s">
        <v>191</v>
      </c>
      <c r="G408" s="396">
        <v>6</v>
      </c>
      <c r="H408" s="395">
        <v>46178.37</v>
      </c>
      <c r="I408" s="394">
        <v>44419.13</v>
      </c>
      <c r="J408" s="394">
        <v>65969.100000000006</v>
      </c>
      <c r="K408" s="393" t="s">
        <v>1033</v>
      </c>
    </row>
    <row r="409" spans="1:11" hidden="1" x14ac:dyDescent="0.3">
      <c r="A409" s="397" t="s">
        <v>7913</v>
      </c>
      <c r="C409" s="397" t="s">
        <v>1053</v>
      </c>
      <c r="D409" s="397" t="s">
        <v>7912</v>
      </c>
      <c r="E409" s="397" t="s">
        <v>7911</v>
      </c>
      <c r="F409" s="397" t="s">
        <v>191</v>
      </c>
      <c r="G409" s="396">
        <v>1</v>
      </c>
      <c r="H409" s="395">
        <v>29361.115000000002</v>
      </c>
      <c r="I409" s="394">
        <v>197.02</v>
      </c>
      <c r="J409" s="394">
        <v>41944.450000000004</v>
      </c>
      <c r="K409" s="393" t="s">
        <v>1033</v>
      </c>
    </row>
    <row r="410" spans="1:11" hidden="1" x14ac:dyDescent="0.3">
      <c r="A410" s="397" t="s">
        <v>4414</v>
      </c>
      <c r="C410" s="397" t="s">
        <v>1053</v>
      </c>
      <c r="D410" s="397" t="s">
        <v>4413</v>
      </c>
      <c r="E410" s="397" t="s">
        <v>4412</v>
      </c>
      <c r="F410" s="397" t="s">
        <v>191</v>
      </c>
      <c r="G410" s="396">
        <v>1</v>
      </c>
      <c r="H410" s="395">
        <v>33010.096000000005</v>
      </c>
      <c r="I410" s="394">
        <v>31469.18</v>
      </c>
      <c r="J410" s="394">
        <v>47157.279999999999</v>
      </c>
      <c r="K410" s="393" t="s">
        <v>1033</v>
      </c>
    </row>
    <row r="411" spans="1:11" hidden="1" x14ac:dyDescent="0.3">
      <c r="A411" s="397" t="s">
        <v>5227</v>
      </c>
      <c r="C411" s="397" t="s">
        <v>1053</v>
      </c>
      <c r="D411" s="397" t="s">
        <v>5226</v>
      </c>
      <c r="E411" s="397" t="s">
        <v>5216</v>
      </c>
      <c r="F411" s="397" t="s">
        <v>191</v>
      </c>
      <c r="G411" s="396">
        <v>7</v>
      </c>
      <c r="H411" s="395">
        <v>42737.919000000002</v>
      </c>
      <c r="I411" s="394">
        <v>39338.39</v>
      </c>
      <c r="J411" s="394">
        <v>61054.17</v>
      </c>
      <c r="K411" s="393" t="s">
        <v>1033</v>
      </c>
    </row>
    <row r="412" spans="1:11" hidden="1" x14ac:dyDescent="0.3">
      <c r="A412" s="397" t="s">
        <v>7383</v>
      </c>
      <c r="C412" s="397" t="s">
        <v>1053</v>
      </c>
      <c r="D412" s="397" t="s">
        <v>7382</v>
      </c>
      <c r="E412" s="397" t="s">
        <v>7381</v>
      </c>
      <c r="F412" s="397" t="s">
        <v>191</v>
      </c>
      <c r="G412" s="396">
        <v>1</v>
      </c>
      <c r="H412" s="395">
        <v>86053.45</v>
      </c>
      <c r="I412" s="394">
        <v>1290.42</v>
      </c>
      <c r="J412" s="394">
        <v>122933.5</v>
      </c>
      <c r="K412" s="393" t="s">
        <v>1033</v>
      </c>
    </row>
    <row r="413" spans="1:11" hidden="1" x14ac:dyDescent="0.3">
      <c r="A413" s="397" t="s">
        <v>5225</v>
      </c>
      <c r="C413" s="397" t="s">
        <v>1053</v>
      </c>
      <c r="D413" s="397" t="s">
        <v>5224</v>
      </c>
      <c r="E413" s="397" t="s">
        <v>5223</v>
      </c>
      <c r="F413" s="397" t="s">
        <v>191</v>
      </c>
      <c r="G413" s="396">
        <v>1</v>
      </c>
      <c r="H413" s="395">
        <v>22974.721000000001</v>
      </c>
      <c r="I413" s="394">
        <v>21150.77</v>
      </c>
      <c r="J413" s="394">
        <v>32821.03</v>
      </c>
      <c r="K413" s="393" t="s">
        <v>1033</v>
      </c>
    </row>
    <row r="414" spans="1:11" hidden="1" x14ac:dyDescent="0.3">
      <c r="A414" s="397" t="s">
        <v>7057</v>
      </c>
      <c r="C414" s="397" t="s">
        <v>1053</v>
      </c>
      <c r="D414" s="397" t="s">
        <v>7056</v>
      </c>
      <c r="E414" s="397" t="s">
        <v>7055</v>
      </c>
      <c r="F414" s="397" t="s">
        <v>191</v>
      </c>
      <c r="G414" s="396">
        <v>1</v>
      </c>
      <c r="H414" s="395">
        <v>24040.373</v>
      </c>
      <c r="I414" s="394">
        <v>385.97</v>
      </c>
      <c r="J414" s="394">
        <v>34343.39</v>
      </c>
      <c r="K414" s="393" t="s">
        <v>1033</v>
      </c>
    </row>
    <row r="415" spans="1:11" hidden="1" x14ac:dyDescent="0.3">
      <c r="A415" s="397" t="s">
        <v>1321</v>
      </c>
      <c r="C415" s="397" t="s">
        <v>1053</v>
      </c>
      <c r="D415" s="397" t="s">
        <v>1320</v>
      </c>
      <c r="E415" s="397" t="s">
        <v>1319</v>
      </c>
      <c r="F415" s="397" t="s">
        <v>191</v>
      </c>
      <c r="G415" s="396">
        <v>1</v>
      </c>
      <c r="H415" s="395">
        <v>93034.984000000011</v>
      </c>
      <c r="I415" s="394">
        <v>89424.47</v>
      </c>
      <c r="J415" s="394">
        <v>132907.12</v>
      </c>
      <c r="K415" s="393" t="s">
        <v>1033</v>
      </c>
    </row>
    <row r="416" spans="1:11" hidden="1" x14ac:dyDescent="0.3">
      <c r="A416" s="397" t="s">
        <v>7538</v>
      </c>
      <c r="C416" s="397" t="s">
        <v>1053</v>
      </c>
      <c r="D416" s="397" t="s">
        <v>7537</v>
      </c>
      <c r="E416" s="397" t="s">
        <v>7534</v>
      </c>
      <c r="F416" s="397" t="s">
        <v>191</v>
      </c>
      <c r="G416" s="396">
        <v>1</v>
      </c>
      <c r="H416" s="395">
        <v>24030.986000000001</v>
      </c>
      <c r="I416" s="394">
        <v>16819.7</v>
      </c>
      <c r="J416" s="394">
        <v>34329.980000000003</v>
      </c>
      <c r="K416" s="393" t="s">
        <v>1033</v>
      </c>
    </row>
    <row r="417" spans="1:12" hidden="1" x14ac:dyDescent="0.3">
      <c r="A417" s="397" t="s">
        <v>5996</v>
      </c>
      <c r="C417" s="397" t="s">
        <v>1053</v>
      </c>
      <c r="D417" s="397" t="s">
        <v>5995</v>
      </c>
      <c r="E417" s="397" t="s">
        <v>5992</v>
      </c>
      <c r="F417" s="397" t="s">
        <v>191</v>
      </c>
      <c r="G417" s="396">
        <v>1</v>
      </c>
      <c r="H417" s="395">
        <v>163540.28599999999</v>
      </c>
      <c r="I417" s="394">
        <v>155323.53</v>
      </c>
      <c r="J417" s="394">
        <v>233628.98</v>
      </c>
      <c r="K417" s="393" t="s">
        <v>1033</v>
      </c>
    </row>
    <row r="418" spans="1:12" hidden="1" x14ac:dyDescent="0.3">
      <c r="A418" s="397" t="s">
        <v>7780</v>
      </c>
      <c r="C418" s="397" t="s">
        <v>1053</v>
      </c>
      <c r="D418" s="397" t="s">
        <v>7779</v>
      </c>
      <c r="E418" s="397" t="s">
        <v>7778</v>
      </c>
      <c r="F418" s="397" t="s">
        <v>191</v>
      </c>
      <c r="G418" s="396">
        <v>1</v>
      </c>
      <c r="H418" s="395">
        <v>98551.229000000007</v>
      </c>
      <c r="I418" s="394">
        <v>11394.2</v>
      </c>
      <c r="J418" s="394">
        <v>140787.47</v>
      </c>
      <c r="K418" s="393" t="s">
        <v>1033</v>
      </c>
    </row>
    <row r="419" spans="1:12" hidden="1" x14ac:dyDescent="0.3">
      <c r="A419" s="397" t="s">
        <v>611</v>
      </c>
      <c r="C419" s="397" t="s">
        <v>1053</v>
      </c>
      <c r="D419" s="397" t="s">
        <v>423</v>
      </c>
      <c r="E419" s="397" t="s">
        <v>424</v>
      </c>
      <c r="F419" s="397" t="s">
        <v>191</v>
      </c>
      <c r="G419" s="396">
        <v>13</v>
      </c>
      <c r="H419" s="395">
        <v>98551.229000000007</v>
      </c>
      <c r="I419" s="394">
        <v>98313.46</v>
      </c>
      <c r="J419" s="394">
        <v>140787.47</v>
      </c>
      <c r="K419" s="393" t="s">
        <v>1033</v>
      </c>
      <c r="L419" s="395">
        <v>4</v>
      </c>
    </row>
    <row r="420" spans="1:12" hidden="1" x14ac:dyDescent="0.3">
      <c r="A420" s="397" t="s">
        <v>6910</v>
      </c>
      <c r="C420" s="397" t="s">
        <v>1053</v>
      </c>
      <c r="D420" s="397" t="s">
        <v>6909</v>
      </c>
      <c r="E420" s="397" t="s">
        <v>6908</v>
      </c>
      <c r="F420" s="397" t="s">
        <v>191</v>
      </c>
      <c r="G420" s="396">
        <v>1</v>
      </c>
      <c r="H420" s="395">
        <v>1634520.6290000002</v>
      </c>
      <c r="I420" s="394">
        <v>55825.66</v>
      </c>
      <c r="J420" s="394">
        <v>2335029.4700000002</v>
      </c>
      <c r="K420" s="393" t="s">
        <v>1033</v>
      </c>
    </row>
    <row r="421" spans="1:12" hidden="1" x14ac:dyDescent="0.3">
      <c r="A421" s="397" t="s">
        <v>1432</v>
      </c>
      <c r="C421" s="397" t="s">
        <v>1053</v>
      </c>
      <c r="D421" s="397" t="s">
        <v>729</v>
      </c>
      <c r="E421" s="397" t="s">
        <v>730</v>
      </c>
      <c r="F421" s="397" t="s">
        <v>191</v>
      </c>
      <c r="G421" s="396">
        <v>15</v>
      </c>
      <c r="H421" s="395">
        <v>70589.077999999994</v>
      </c>
      <c r="I421" s="394">
        <v>68867.39</v>
      </c>
      <c r="J421" s="394">
        <v>100841.54000000001</v>
      </c>
      <c r="K421" s="393" t="s">
        <v>1033</v>
      </c>
    </row>
    <row r="422" spans="1:12" hidden="1" x14ac:dyDescent="0.3">
      <c r="A422" s="397" t="s">
        <v>1444</v>
      </c>
      <c r="C422" s="397" t="s">
        <v>1053</v>
      </c>
      <c r="D422" s="397" t="s">
        <v>1443</v>
      </c>
      <c r="E422" s="397" t="s">
        <v>1442</v>
      </c>
      <c r="F422" s="397" t="s">
        <v>191</v>
      </c>
      <c r="G422" s="396">
        <v>2</v>
      </c>
      <c r="H422" s="395">
        <v>74063.255000000005</v>
      </c>
      <c r="I422" s="394">
        <v>58851.43</v>
      </c>
      <c r="J422" s="394">
        <v>105804.65000000001</v>
      </c>
      <c r="K422" s="393" t="s">
        <v>1033</v>
      </c>
      <c r="L422" s="395">
        <v>1</v>
      </c>
    </row>
    <row r="423" spans="1:12" hidden="1" x14ac:dyDescent="0.3">
      <c r="A423" s="397" t="s">
        <v>1431</v>
      </c>
      <c r="C423" s="397" t="s">
        <v>1053</v>
      </c>
      <c r="D423" s="397" t="s">
        <v>1430</v>
      </c>
      <c r="E423" s="397" t="s">
        <v>1429</v>
      </c>
      <c r="F423" s="397" t="s">
        <v>191</v>
      </c>
      <c r="G423" s="396">
        <v>2</v>
      </c>
      <c r="H423" s="395">
        <v>64845.669000000002</v>
      </c>
      <c r="I423" s="394">
        <v>58739.78</v>
      </c>
      <c r="J423" s="394">
        <v>92636.67</v>
      </c>
      <c r="K423" s="393" t="s">
        <v>1033</v>
      </c>
    </row>
    <row r="424" spans="1:12" hidden="1" x14ac:dyDescent="0.3">
      <c r="A424" s="397" t="s">
        <v>6500</v>
      </c>
      <c r="C424" s="397" t="s">
        <v>1053</v>
      </c>
      <c r="D424" s="397" t="s">
        <v>6499</v>
      </c>
      <c r="E424" s="397" t="s">
        <v>6498</v>
      </c>
      <c r="F424" s="397" t="s">
        <v>191</v>
      </c>
      <c r="G424" s="396">
        <v>1</v>
      </c>
      <c r="H424" s="395">
        <v>132551.405</v>
      </c>
      <c r="I424" s="394">
        <v>91062.76</v>
      </c>
      <c r="J424" s="394">
        <v>189359.15</v>
      </c>
      <c r="K424" s="393" t="s">
        <v>1033</v>
      </c>
    </row>
    <row r="425" spans="1:12" hidden="1" x14ac:dyDescent="0.3">
      <c r="A425" s="397" t="s">
        <v>7386</v>
      </c>
      <c r="C425" s="397" t="s">
        <v>1053</v>
      </c>
      <c r="D425" s="397" t="s">
        <v>7385</v>
      </c>
      <c r="E425" s="397" t="s">
        <v>7384</v>
      </c>
      <c r="F425" s="397" t="s">
        <v>191</v>
      </c>
      <c r="G425" s="396">
        <v>5</v>
      </c>
      <c r="H425" s="395">
        <v>70684.172999999995</v>
      </c>
      <c r="I425" s="394">
        <v>68010.06</v>
      </c>
      <c r="J425" s="394">
        <v>100977.39</v>
      </c>
      <c r="K425" s="393" t="s">
        <v>1033</v>
      </c>
    </row>
    <row r="426" spans="1:12" hidden="1" x14ac:dyDescent="0.3">
      <c r="A426" s="397" t="s">
        <v>6026</v>
      </c>
      <c r="C426" s="397" t="s">
        <v>1053</v>
      </c>
      <c r="D426" s="397" t="s">
        <v>6025</v>
      </c>
      <c r="E426" s="397" t="s">
        <v>6024</v>
      </c>
      <c r="F426" s="397" t="s">
        <v>191</v>
      </c>
      <c r="G426" s="396">
        <v>1</v>
      </c>
      <c r="H426" s="395">
        <v>748825.08400000003</v>
      </c>
      <c r="I426" s="394">
        <v>86357.900000000009</v>
      </c>
      <c r="J426" s="394">
        <v>1069750.1200000001</v>
      </c>
      <c r="K426" s="393" t="s">
        <v>1033</v>
      </c>
    </row>
    <row r="427" spans="1:12" hidden="1" x14ac:dyDescent="0.3">
      <c r="A427" s="397" t="s">
        <v>6315</v>
      </c>
      <c r="C427" s="397" t="s">
        <v>1053</v>
      </c>
      <c r="D427" s="397" t="s">
        <v>6314</v>
      </c>
      <c r="E427" s="397" t="s">
        <v>6313</v>
      </c>
      <c r="F427" s="397" t="s">
        <v>191</v>
      </c>
      <c r="G427" s="396">
        <v>1</v>
      </c>
      <c r="H427" s="395">
        <v>46702.334000000003</v>
      </c>
      <c r="I427" s="394">
        <v>42122.49</v>
      </c>
      <c r="J427" s="394">
        <v>66717.62</v>
      </c>
      <c r="K427" s="393" t="s">
        <v>1033</v>
      </c>
      <c r="L427" s="395">
        <v>2</v>
      </c>
    </row>
    <row r="428" spans="1:12" hidden="1" x14ac:dyDescent="0.3">
      <c r="A428" s="397" t="s">
        <v>1736</v>
      </c>
      <c r="C428" s="397" t="s">
        <v>1053</v>
      </c>
      <c r="D428" s="397" t="s">
        <v>1735</v>
      </c>
      <c r="E428" s="397" t="s">
        <v>1734</v>
      </c>
      <c r="F428" s="397" t="s">
        <v>191</v>
      </c>
      <c r="G428" s="396">
        <v>1</v>
      </c>
      <c r="H428" s="395">
        <v>21220.513999999999</v>
      </c>
      <c r="I428" s="394">
        <v>19799.05</v>
      </c>
      <c r="J428" s="394">
        <v>30315.02</v>
      </c>
      <c r="K428" s="393" t="s">
        <v>1033</v>
      </c>
    </row>
    <row r="429" spans="1:12" hidden="1" x14ac:dyDescent="0.3">
      <c r="A429" s="397" t="s">
        <v>3555</v>
      </c>
      <c r="C429" s="397" t="s">
        <v>1053</v>
      </c>
      <c r="D429" s="397" t="s">
        <v>3554</v>
      </c>
      <c r="E429" s="397" t="s">
        <v>3553</v>
      </c>
      <c r="F429" s="397" t="s">
        <v>191</v>
      </c>
      <c r="G429" s="396">
        <v>1</v>
      </c>
      <c r="H429" s="395">
        <v>869476.76900000009</v>
      </c>
      <c r="I429" s="394">
        <v>197426.47</v>
      </c>
      <c r="J429" s="394">
        <v>1242109.67</v>
      </c>
      <c r="K429" s="393" t="s">
        <v>1033</v>
      </c>
    </row>
    <row r="430" spans="1:12" hidden="1" x14ac:dyDescent="0.3">
      <c r="A430" s="397" t="s">
        <v>3513</v>
      </c>
      <c r="C430" s="397" t="s">
        <v>1053</v>
      </c>
      <c r="D430" s="397" t="s">
        <v>3512</v>
      </c>
      <c r="E430" s="397" t="s">
        <v>3511</v>
      </c>
      <c r="F430" s="397" t="s">
        <v>191</v>
      </c>
      <c r="G430" s="396">
        <v>1</v>
      </c>
      <c r="H430" s="395">
        <v>259462.12600000002</v>
      </c>
      <c r="I430" s="394">
        <v>52921.82</v>
      </c>
      <c r="J430" s="394">
        <v>370660.18</v>
      </c>
      <c r="K430" s="393" t="s">
        <v>1033</v>
      </c>
    </row>
    <row r="431" spans="1:12" hidden="1" x14ac:dyDescent="0.3">
      <c r="A431" s="397" t="s">
        <v>1762</v>
      </c>
      <c r="C431" s="397" t="s">
        <v>1053</v>
      </c>
      <c r="D431" s="397" t="s">
        <v>1761</v>
      </c>
      <c r="E431" s="397" t="s">
        <v>1760</v>
      </c>
      <c r="F431" s="397" t="s">
        <v>191</v>
      </c>
      <c r="G431" s="396">
        <v>2</v>
      </c>
      <c r="H431" s="395">
        <v>156337.636</v>
      </c>
      <c r="I431" s="394">
        <v>148782.64000000001</v>
      </c>
      <c r="J431" s="394">
        <v>223339.48</v>
      </c>
      <c r="K431" s="393" t="s">
        <v>1033</v>
      </c>
    </row>
    <row r="432" spans="1:12" hidden="1" x14ac:dyDescent="0.3">
      <c r="A432" s="397" t="s">
        <v>1641</v>
      </c>
      <c r="C432" s="397" t="s">
        <v>1053</v>
      </c>
      <c r="D432" s="397" t="s">
        <v>1640</v>
      </c>
      <c r="E432" s="397" t="s">
        <v>1639</v>
      </c>
      <c r="F432" s="397" t="s">
        <v>191</v>
      </c>
      <c r="G432" s="396">
        <v>1</v>
      </c>
      <c r="H432" s="395">
        <v>36062.32</v>
      </c>
      <c r="I432" s="394">
        <v>22776.84</v>
      </c>
      <c r="J432" s="394">
        <v>51517.599999999999</v>
      </c>
      <c r="K432" s="393" t="s">
        <v>1033</v>
      </c>
    </row>
    <row r="433" spans="1:11" hidden="1" x14ac:dyDescent="0.3">
      <c r="A433" s="397" t="s">
        <v>4630</v>
      </c>
      <c r="C433" s="397" t="s">
        <v>1053</v>
      </c>
      <c r="D433" s="397" t="s">
        <v>4629</v>
      </c>
      <c r="E433" s="397" t="s">
        <v>4628</v>
      </c>
      <c r="F433" s="397" t="s">
        <v>191</v>
      </c>
      <c r="G433" s="396">
        <v>1</v>
      </c>
      <c r="H433" s="395">
        <v>118122.72500000001</v>
      </c>
      <c r="I433" s="394">
        <v>12334.92</v>
      </c>
      <c r="J433" s="394">
        <v>168746.75</v>
      </c>
      <c r="K433" s="393" t="s">
        <v>1033</v>
      </c>
    </row>
    <row r="434" spans="1:11" hidden="1" x14ac:dyDescent="0.3">
      <c r="A434" s="397" t="s">
        <v>1285</v>
      </c>
      <c r="C434" s="397" t="s">
        <v>1053</v>
      </c>
      <c r="D434" s="397" t="s">
        <v>1284</v>
      </c>
      <c r="E434" s="397" t="s">
        <v>1283</v>
      </c>
      <c r="F434" s="397" t="s">
        <v>1282</v>
      </c>
      <c r="G434" s="396">
        <v>2</v>
      </c>
      <c r="H434" s="395">
        <v>31582.985000000001</v>
      </c>
      <c r="I434" s="394">
        <v>29467.39</v>
      </c>
      <c r="J434" s="394">
        <v>45118.55</v>
      </c>
      <c r="K434" s="393" t="s">
        <v>1033</v>
      </c>
    </row>
    <row r="435" spans="1:11" hidden="1" x14ac:dyDescent="0.3">
      <c r="A435" s="397" t="s">
        <v>1479</v>
      </c>
      <c r="C435" s="397" t="s">
        <v>1053</v>
      </c>
      <c r="D435" s="397" t="s">
        <v>1478</v>
      </c>
      <c r="E435" s="397" t="s">
        <v>1477</v>
      </c>
      <c r="F435" s="397" t="s">
        <v>191</v>
      </c>
      <c r="G435" s="396">
        <v>1</v>
      </c>
      <c r="H435" s="395">
        <v>65278.717000000004</v>
      </c>
      <c r="I435" s="394">
        <v>57615.82</v>
      </c>
      <c r="J435" s="394">
        <v>93255.31</v>
      </c>
      <c r="K435" s="393" t="s">
        <v>1033</v>
      </c>
    </row>
    <row r="436" spans="1:11" hidden="1" x14ac:dyDescent="0.3">
      <c r="A436" s="397" t="s">
        <v>7879</v>
      </c>
      <c r="C436" s="397" t="s">
        <v>1053</v>
      </c>
      <c r="D436" s="397" t="s">
        <v>7878</v>
      </c>
      <c r="E436" s="397" t="s">
        <v>7877</v>
      </c>
      <c r="F436" s="397" t="s">
        <v>191</v>
      </c>
      <c r="G436" s="396">
        <v>1</v>
      </c>
      <c r="H436" s="395">
        <v>105246.12699999999</v>
      </c>
      <c r="I436" s="394">
        <v>7747.59</v>
      </c>
      <c r="J436" s="394">
        <v>150351.60999999999</v>
      </c>
      <c r="K436" s="393" t="s">
        <v>1033</v>
      </c>
    </row>
    <row r="437" spans="1:11" hidden="1" x14ac:dyDescent="0.3">
      <c r="A437" s="397" t="s">
        <v>7439</v>
      </c>
      <c r="C437" s="397" t="s">
        <v>1053</v>
      </c>
      <c r="D437" s="397" t="s">
        <v>7438</v>
      </c>
      <c r="E437" s="397" t="s">
        <v>7433</v>
      </c>
      <c r="F437" s="397" t="s">
        <v>191</v>
      </c>
      <c r="G437" s="396">
        <v>1</v>
      </c>
      <c r="H437" s="395">
        <v>98152.768000000011</v>
      </c>
      <c r="I437" s="394">
        <v>71594.97</v>
      </c>
      <c r="J437" s="394">
        <v>140218.23999999999</v>
      </c>
      <c r="K437" s="393" t="s">
        <v>1033</v>
      </c>
    </row>
    <row r="438" spans="1:11" hidden="1" x14ac:dyDescent="0.3">
      <c r="A438" s="397" t="s">
        <v>7435</v>
      </c>
      <c r="C438" s="397" t="s">
        <v>1053</v>
      </c>
      <c r="D438" s="397" t="s">
        <v>7434</v>
      </c>
      <c r="E438" s="397" t="s">
        <v>7433</v>
      </c>
      <c r="F438" s="397" t="s">
        <v>191</v>
      </c>
      <c r="G438" s="396">
        <v>1</v>
      </c>
      <c r="H438" s="395">
        <v>469103.84500000003</v>
      </c>
      <c r="I438" s="394">
        <v>333598.69</v>
      </c>
      <c r="J438" s="394">
        <v>670148.35</v>
      </c>
      <c r="K438" s="393" t="s">
        <v>1033</v>
      </c>
    </row>
    <row r="439" spans="1:11" hidden="1" x14ac:dyDescent="0.3">
      <c r="A439" s="397" t="s">
        <v>5998</v>
      </c>
      <c r="C439" s="397" t="s">
        <v>1053</v>
      </c>
      <c r="D439" s="397" t="s">
        <v>5997</v>
      </c>
      <c r="E439" s="397" t="s">
        <v>5992</v>
      </c>
      <c r="F439" s="397" t="s">
        <v>191</v>
      </c>
      <c r="G439" s="396">
        <v>1</v>
      </c>
      <c r="H439" s="395">
        <v>163102.28200000001</v>
      </c>
      <c r="I439" s="394">
        <v>121267.97</v>
      </c>
      <c r="J439" s="394">
        <v>233003.26</v>
      </c>
      <c r="K439" s="393" t="s">
        <v>1033</v>
      </c>
    </row>
    <row r="440" spans="1:11" hidden="1" x14ac:dyDescent="0.3">
      <c r="A440" s="397" t="s">
        <v>5608</v>
      </c>
      <c r="C440" s="397" t="s">
        <v>1053</v>
      </c>
      <c r="D440" s="397" t="s">
        <v>5607</v>
      </c>
      <c r="E440" s="397" t="s">
        <v>5604</v>
      </c>
      <c r="F440" s="397" t="s">
        <v>191</v>
      </c>
      <c r="G440" s="396">
        <v>1</v>
      </c>
      <c r="H440" s="395">
        <v>77472.213000000003</v>
      </c>
      <c r="I440" s="394">
        <v>3205.12</v>
      </c>
      <c r="J440" s="394">
        <v>110674.59</v>
      </c>
      <c r="K440" s="393" t="s">
        <v>1033</v>
      </c>
    </row>
    <row r="441" spans="1:11" hidden="1" x14ac:dyDescent="0.3">
      <c r="A441" s="397" t="s">
        <v>5688</v>
      </c>
      <c r="C441" s="397" t="s">
        <v>1053</v>
      </c>
      <c r="D441" s="397" t="s">
        <v>5687</v>
      </c>
      <c r="E441" s="397" t="s">
        <v>5686</v>
      </c>
      <c r="F441" s="397" t="s">
        <v>191</v>
      </c>
      <c r="G441" s="396">
        <v>1</v>
      </c>
      <c r="H441" s="395">
        <v>52898.286</v>
      </c>
      <c r="I441" s="394">
        <v>51548.62</v>
      </c>
      <c r="J441" s="394">
        <v>75568.98</v>
      </c>
      <c r="K441" s="393" t="s">
        <v>1033</v>
      </c>
    </row>
    <row r="442" spans="1:11" hidden="1" x14ac:dyDescent="0.3">
      <c r="A442" s="397" t="s">
        <v>5601</v>
      </c>
      <c r="C442" s="397" t="s">
        <v>1053</v>
      </c>
      <c r="D442" s="397" t="s">
        <v>5600</v>
      </c>
      <c r="E442" s="397" t="s">
        <v>5599</v>
      </c>
      <c r="F442" s="397" t="s">
        <v>191</v>
      </c>
      <c r="G442" s="396">
        <v>1</v>
      </c>
      <c r="H442" s="395">
        <v>58873.535000000003</v>
      </c>
      <c r="I442" s="394">
        <v>54121.31</v>
      </c>
      <c r="J442" s="394">
        <v>84105.05</v>
      </c>
      <c r="K442" s="393" t="s">
        <v>1033</v>
      </c>
    </row>
    <row r="443" spans="1:11" hidden="1" x14ac:dyDescent="0.3">
      <c r="A443" s="397" t="s">
        <v>5548</v>
      </c>
      <c r="C443" s="397" t="s">
        <v>1053</v>
      </c>
      <c r="D443" s="397" t="s">
        <v>5547</v>
      </c>
      <c r="E443" s="397" t="s">
        <v>5363</v>
      </c>
      <c r="F443" s="397" t="s">
        <v>191</v>
      </c>
      <c r="G443" s="396">
        <v>1</v>
      </c>
      <c r="H443" s="395">
        <v>33224.541000000005</v>
      </c>
      <c r="I443" s="394">
        <v>31545.84</v>
      </c>
      <c r="J443" s="394">
        <v>47463.63</v>
      </c>
      <c r="K443" s="393" t="s">
        <v>1033</v>
      </c>
    </row>
    <row r="444" spans="1:11" hidden="1" x14ac:dyDescent="0.3">
      <c r="A444" s="397" t="s">
        <v>5881</v>
      </c>
      <c r="C444" s="397" t="s">
        <v>1053</v>
      </c>
      <c r="D444" s="397" t="s">
        <v>5880</v>
      </c>
      <c r="E444" s="397" t="s">
        <v>5877</v>
      </c>
      <c r="F444" s="397" t="s">
        <v>191</v>
      </c>
      <c r="G444" s="396">
        <v>1</v>
      </c>
      <c r="H444" s="395">
        <v>118995.26800000001</v>
      </c>
      <c r="I444" s="394">
        <v>10230.89</v>
      </c>
      <c r="J444" s="394">
        <v>169993.24</v>
      </c>
      <c r="K444" s="393" t="s">
        <v>1033</v>
      </c>
    </row>
    <row r="445" spans="1:11" hidden="1" x14ac:dyDescent="0.3">
      <c r="A445" s="397" t="s">
        <v>5570</v>
      </c>
      <c r="C445" s="397" t="s">
        <v>1053</v>
      </c>
      <c r="D445" s="397" t="s">
        <v>5569</v>
      </c>
      <c r="E445" s="397" t="s">
        <v>5568</v>
      </c>
      <c r="F445" s="397" t="s">
        <v>191</v>
      </c>
      <c r="G445" s="396">
        <v>1</v>
      </c>
      <c r="H445" s="395">
        <v>56325.122000000003</v>
      </c>
      <c r="I445" s="394">
        <v>44218.62</v>
      </c>
      <c r="J445" s="394">
        <v>80464.460000000006</v>
      </c>
      <c r="K445" s="393" t="s">
        <v>1033</v>
      </c>
    </row>
    <row r="446" spans="1:11" hidden="1" x14ac:dyDescent="0.3">
      <c r="A446" s="397" t="s">
        <v>5879</v>
      </c>
      <c r="C446" s="397" t="s">
        <v>1053</v>
      </c>
      <c r="D446" s="397" t="s">
        <v>5878</v>
      </c>
      <c r="E446" s="397" t="s">
        <v>5877</v>
      </c>
      <c r="F446" s="397" t="s">
        <v>191</v>
      </c>
      <c r="G446" s="396">
        <v>1</v>
      </c>
      <c r="H446" s="395">
        <v>67038.853000000003</v>
      </c>
      <c r="I446" s="394">
        <v>2481.25</v>
      </c>
      <c r="J446" s="394">
        <v>95769.790000000008</v>
      </c>
      <c r="K446" s="393" t="s">
        <v>1033</v>
      </c>
    </row>
    <row r="447" spans="1:11" hidden="1" x14ac:dyDescent="0.3">
      <c r="A447" s="397" t="s">
        <v>5401</v>
      </c>
      <c r="C447" s="397" t="s">
        <v>1053</v>
      </c>
      <c r="D447" s="397" t="s">
        <v>5400</v>
      </c>
      <c r="E447" s="397" t="s">
        <v>5399</v>
      </c>
      <c r="F447" s="397" t="s">
        <v>191</v>
      </c>
      <c r="G447" s="396">
        <v>1</v>
      </c>
      <c r="H447" s="395">
        <v>33726.42</v>
      </c>
      <c r="I447" s="394">
        <v>33607.15</v>
      </c>
      <c r="J447" s="394">
        <v>48180.6</v>
      </c>
      <c r="K447" s="393" t="s">
        <v>1033</v>
      </c>
    </row>
    <row r="448" spans="1:11" hidden="1" x14ac:dyDescent="0.3">
      <c r="A448" s="397" t="s">
        <v>5582</v>
      </c>
      <c r="C448" s="397" t="s">
        <v>1053</v>
      </c>
      <c r="D448" s="397" t="s">
        <v>5581</v>
      </c>
      <c r="E448" s="397" t="s">
        <v>5580</v>
      </c>
      <c r="F448" s="397" t="s">
        <v>191</v>
      </c>
      <c r="G448" s="396">
        <v>1</v>
      </c>
      <c r="H448" s="395">
        <v>61364.737000000001</v>
      </c>
      <c r="I448" s="394">
        <v>48218.73</v>
      </c>
      <c r="J448" s="394">
        <v>87663.91</v>
      </c>
      <c r="K448" s="393" t="s">
        <v>1033</v>
      </c>
    </row>
    <row r="449" spans="1:11" hidden="1" x14ac:dyDescent="0.3">
      <c r="A449" s="397" t="s">
        <v>5962</v>
      </c>
      <c r="C449" s="397" t="s">
        <v>1053</v>
      </c>
      <c r="D449" s="397" t="s">
        <v>5961</v>
      </c>
      <c r="E449" s="397" t="s">
        <v>5960</v>
      </c>
      <c r="F449" s="397" t="s">
        <v>191</v>
      </c>
      <c r="G449" s="396">
        <v>1</v>
      </c>
      <c r="H449" s="395">
        <v>105299.57900000001</v>
      </c>
      <c r="I449" s="394">
        <v>9474.14</v>
      </c>
      <c r="J449" s="394">
        <v>150427.97</v>
      </c>
      <c r="K449" s="393" t="s">
        <v>1033</v>
      </c>
    </row>
    <row r="450" spans="1:11" hidden="1" x14ac:dyDescent="0.3">
      <c r="A450" s="397" t="s">
        <v>5968</v>
      </c>
      <c r="C450" s="397" t="s">
        <v>1053</v>
      </c>
      <c r="D450" s="397" t="s">
        <v>5967</v>
      </c>
      <c r="E450" s="397" t="s">
        <v>5966</v>
      </c>
      <c r="F450" s="397" t="s">
        <v>191</v>
      </c>
      <c r="G450" s="396">
        <v>1</v>
      </c>
      <c r="H450" s="395">
        <v>98187.635000000009</v>
      </c>
      <c r="I450" s="394">
        <v>647.16999999999996</v>
      </c>
      <c r="J450" s="394">
        <v>140268.04999999999</v>
      </c>
      <c r="K450" s="393" t="s">
        <v>1033</v>
      </c>
    </row>
    <row r="451" spans="1:11" hidden="1" x14ac:dyDescent="0.3">
      <c r="A451" s="397" t="s">
        <v>5573</v>
      </c>
      <c r="C451" s="397" t="s">
        <v>1053</v>
      </c>
      <c r="D451" s="397" t="s">
        <v>5714</v>
      </c>
      <c r="E451" s="397" t="s">
        <v>5701</v>
      </c>
      <c r="F451" s="397" t="s">
        <v>191</v>
      </c>
      <c r="G451" s="396">
        <v>2</v>
      </c>
      <c r="H451" s="395">
        <v>79926.539000000004</v>
      </c>
      <c r="I451" s="394">
        <v>73548.83</v>
      </c>
      <c r="J451" s="394">
        <v>114180.77</v>
      </c>
      <c r="K451" s="393" t="s">
        <v>1033</v>
      </c>
    </row>
    <row r="452" spans="1:11" hidden="1" x14ac:dyDescent="0.3">
      <c r="A452" s="397" t="s">
        <v>5573</v>
      </c>
      <c r="C452" s="397" t="s">
        <v>1053</v>
      </c>
      <c r="D452" s="397" t="s">
        <v>5572</v>
      </c>
      <c r="E452" s="397" t="s">
        <v>5571</v>
      </c>
      <c r="F452" s="397" t="s">
        <v>191</v>
      </c>
      <c r="G452" s="396">
        <v>1</v>
      </c>
      <c r="H452" s="395">
        <v>48586.264999999999</v>
      </c>
      <c r="I452" s="394">
        <v>39175</v>
      </c>
      <c r="J452" s="394">
        <v>69408.95</v>
      </c>
      <c r="K452" s="393" t="s">
        <v>1033</v>
      </c>
    </row>
    <row r="453" spans="1:11" hidden="1" x14ac:dyDescent="0.3">
      <c r="A453" s="397" t="s">
        <v>5869</v>
      </c>
      <c r="C453" s="397" t="s">
        <v>1053</v>
      </c>
      <c r="D453" s="397" t="s">
        <v>5868</v>
      </c>
      <c r="E453" s="397" t="s">
        <v>5867</v>
      </c>
      <c r="F453" s="397" t="s">
        <v>191</v>
      </c>
      <c r="G453" s="396">
        <v>1</v>
      </c>
      <c r="H453" s="395">
        <v>63538.167000000001</v>
      </c>
      <c r="I453" s="394">
        <v>60251.07</v>
      </c>
      <c r="J453" s="394">
        <v>90768.81</v>
      </c>
      <c r="K453" s="393" t="s">
        <v>1033</v>
      </c>
    </row>
    <row r="454" spans="1:11" hidden="1" x14ac:dyDescent="0.3">
      <c r="A454" s="397" t="s">
        <v>7570</v>
      </c>
      <c r="C454" s="397" t="s">
        <v>1053</v>
      </c>
      <c r="D454" s="397" t="s">
        <v>7569</v>
      </c>
      <c r="E454" s="397" t="s">
        <v>7568</v>
      </c>
      <c r="F454" s="397" t="s">
        <v>191</v>
      </c>
      <c r="G454" s="396">
        <v>1</v>
      </c>
      <c r="H454" s="395">
        <v>52259.529000000002</v>
      </c>
      <c r="I454" s="394">
        <v>50815.55</v>
      </c>
      <c r="J454" s="394">
        <v>74656.47</v>
      </c>
      <c r="K454" s="393" t="s">
        <v>1033</v>
      </c>
    </row>
    <row r="455" spans="1:11" hidden="1" x14ac:dyDescent="0.3">
      <c r="A455" s="397" t="s">
        <v>5703</v>
      </c>
      <c r="C455" s="397" t="s">
        <v>1053</v>
      </c>
      <c r="D455" s="397" t="s">
        <v>5702</v>
      </c>
      <c r="E455" s="397" t="s">
        <v>5701</v>
      </c>
      <c r="F455" s="397" t="s">
        <v>191</v>
      </c>
      <c r="G455" s="396">
        <v>2</v>
      </c>
      <c r="H455" s="395">
        <v>79926.539000000004</v>
      </c>
      <c r="I455" s="394">
        <v>73548.83</v>
      </c>
      <c r="J455" s="394">
        <v>114180.77</v>
      </c>
      <c r="K455" s="393" t="s">
        <v>1033</v>
      </c>
    </row>
    <row r="456" spans="1:11" hidden="1" x14ac:dyDescent="0.3">
      <c r="A456" s="397" t="s">
        <v>5861</v>
      </c>
      <c r="C456" s="397" t="s">
        <v>1053</v>
      </c>
      <c r="D456" s="397" t="s">
        <v>5860</v>
      </c>
      <c r="E456" s="397" t="s">
        <v>5859</v>
      </c>
      <c r="F456" s="397" t="s">
        <v>191</v>
      </c>
      <c r="G456" s="396">
        <v>2</v>
      </c>
      <c r="H456" s="395">
        <v>59705.667000000001</v>
      </c>
      <c r="I456" s="394">
        <v>44800.74</v>
      </c>
      <c r="J456" s="394">
        <v>85293.81</v>
      </c>
      <c r="K456" s="393" t="s">
        <v>1033</v>
      </c>
    </row>
    <row r="457" spans="1:11" hidden="1" x14ac:dyDescent="0.3">
      <c r="A457" s="397" t="s">
        <v>5890</v>
      </c>
      <c r="C457" s="397" t="s">
        <v>1053</v>
      </c>
      <c r="D457" s="397" t="s">
        <v>5889</v>
      </c>
      <c r="E457" s="397" t="s">
        <v>5888</v>
      </c>
      <c r="F457" s="397" t="s">
        <v>191</v>
      </c>
      <c r="G457" s="396">
        <v>1</v>
      </c>
      <c r="H457" s="395">
        <v>89184.29800000001</v>
      </c>
      <c r="I457" s="394">
        <v>4278.6400000000003</v>
      </c>
      <c r="J457" s="394">
        <v>127406.14</v>
      </c>
      <c r="K457" s="393" t="s">
        <v>1033</v>
      </c>
    </row>
    <row r="458" spans="1:11" hidden="1" x14ac:dyDescent="0.3">
      <c r="A458" s="397" t="s">
        <v>5965</v>
      </c>
      <c r="C458" s="397" t="s">
        <v>1053</v>
      </c>
      <c r="D458" s="397" t="s">
        <v>5964</v>
      </c>
      <c r="E458" s="397" t="s">
        <v>5963</v>
      </c>
      <c r="F458" s="397" t="s">
        <v>191</v>
      </c>
      <c r="G458" s="396">
        <v>1</v>
      </c>
      <c r="H458" s="395">
        <v>60537.799000000006</v>
      </c>
      <c r="I458" s="394">
        <v>39243.54</v>
      </c>
      <c r="J458" s="394">
        <v>86482.57</v>
      </c>
      <c r="K458" s="393" t="s">
        <v>1033</v>
      </c>
    </row>
    <row r="459" spans="1:11" hidden="1" x14ac:dyDescent="0.3">
      <c r="A459" s="397" t="s">
        <v>5446</v>
      </c>
      <c r="C459" s="397" t="s">
        <v>1053</v>
      </c>
      <c r="D459" s="397" t="s">
        <v>5445</v>
      </c>
      <c r="E459" s="397" t="s">
        <v>5444</v>
      </c>
      <c r="F459" s="397" t="s">
        <v>191</v>
      </c>
      <c r="G459" s="396">
        <v>1</v>
      </c>
      <c r="H459" s="395">
        <v>80483.501000000004</v>
      </c>
      <c r="I459" s="394">
        <v>46185.43</v>
      </c>
      <c r="J459" s="394">
        <v>114976.43000000001</v>
      </c>
      <c r="K459" s="393" t="s">
        <v>1033</v>
      </c>
    </row>
    <row r="460" spans="1:11" hidden="1" x14ac:dyDescent="0.3">
      <c r="A460" s="397" t="s">
        <v>5874</v>
      </c>
      <c r="C460" s="397" t="s">
        <v>1053</v>
      </c>
      <c r="D460" s="397" t="s">
        <v>5873</v>
      </c>
      <c r="E460" s="397" t="s">
        <v>5872</v>
      </c>
      <c r="F460" s="397" t="s">
        <v>191</v>
      </c>
      <c r="G460" s="396">
        <v>1</v>
      </c>
      <c r="H460" s="395">
        <v>67644.234000000011</v>
      </c>
      <c r="I460" s="394">
        <v>195.58</v>
      </c>
      <c r="J460" s="394">
        <v>96634.62</v>
      </c>
      <c r="K460" s="393" t="s">
        <v>1033</v>
      </c>
    </row>
    <row r="461" spans="1:11" hidden="1" x14ac:dyDescent="0.3">
      <c r="A461" s="397" t="s">
        <v>5448</v>
      </c>
      <c r="C461" s="397" t="s">
        <v>1053</v>
      </c>
      <c r="D461" s="397" t="s">
        <v>5447</v>
      </c>
      <c r="E461" s="397" t="s">
        <v>5444</v>
      </c>
      <c r="F461" s="397" t="s">
        <v>191</v>
      </c>
      <c r="G461" s="396">
        <v>1</v>
      </c>
      <c r="H461" s="395">
        <v>71887.648000000001</v>
      </c>
      <c r="I461" s="394">
        <v>54531</v>
      </c>
      <c r="J461" s="394">
        <v>102696.64</v>
      </c>
      <c r="K461" s="393" t="s">
        <v>1033</v>
      </c>
    </row>
    <row r="462" spans="1:11" hidden="1" x14ac:dyDescent="0.3">
      <c r="A462" s="397" t="s">
        <v>4289</v>
      </c>
      <c r="C462" s="397" t="s">
        <v>1053</v>
      </c>
      <c r="D462" s="397" t="s">
        <v>4288</v>
      </c>
      <c r="E462" s="397" t="s">
        <v>4287</v>
      </c>
      <c r="F462" s="397" t="s">
        <v>191</v>
      </c>
      <c r="G462" s="396">
        <v>1</v>
      </c>
      <c r="H462" s="395">
        <v>49012.733</v>
      </c>
      <c r="I462" s="394">
        <v>343.76</v>
      </c>
      <c r="J462" s="394">
        <v>70018.19</v>
      </c>
      <c r="K462" s="393" t="s">
        <v>1033</v>
      </c>
    </row>
    <row r="463" spans="1:11" hidden="1" x14ac:dyDescent="0.3">
      <c r="A463" s="397" t="s">
        <v>5306</v>
      </c>
      <c r="C463" s="397" t="s">
        <v>1053</v>
      </c>
      <c r="D463" s="397" t="s">
        <v>5305</v>
      </c>
      <c r="E463" s="397" t="s">
        <v>5304</v>
      </c>
      <c r="F463" s="397" t="s">
        <v>191</v>
      </c>
      <c r="G463" s="396">
        <v>1</v>
      </c>
      <c r="H463" s="395">
        <v>99459.010000000009</v>
      </c>
      <c r="I463" s="394">
        <v>4008.96</v>
      </c>
      <c r="J463" s="394">
        <v>142084.29999999999</v>
      </c>
      <c r="K463" s="393" t="s">
        <v>1033</v>
      </c>
    </row>
    <row r="464" spans="1:11" hidden="1" x14ac:dyDescent="0.3">
      <c r="A464" s="397" t="s">
        <v>5576</v>
      </c>
      <c r="C464" s="397" t="s">
        <v>1053</v>
      </c>
      <c r="D464" s="397" t="s">
        <v>5575</v>
      </c>
      <c r="E464" s="397" t="s">
        <v>5574</v>
      </c>
      <c r="F464" s="397" t="s">
        <v>191</v>
      </c>
      <c r="G464" s="396">
        <v>1</v>
      </c>
      <c r="H464" s="395">
        <v>61364.737000000001</v>
      </c>
      <c r="I464" s="394">
        <v>48218.73</v>
      </c>
      <c r="J464" s="394">
        <v>87663.91</v>
      </c>
      <c r="K464" s="393" t="s">
        <v>1033</v>
      </c>
    </row>
    <row r="465" spans="1:12" hidden="1" x14ac:dyDescent="0.3">
      <c r="A465" s="397" t="s">
        <v>5893</v>
      </c>
      <c r="C465" s="397" t="s">
        <v>1053</v>
      </c>
      <c r="D465" s="397" t="s">
        <v>5892</v>
      </c>
      <c r="E465" s="397" t="s">
        <v>5891</v>
      </c>
      <c r="F465" s="397" t="s">
        <v>191</v>
      </c>
      <c r="G465" s="396">
        <v>1</v>
      </c>
      <c r="H465" s="395">
        <v>78021.005999999994</v>
      </c>
      <c r="I465" s="394">
        <v>46088.17</v>
      </c>
      <c r="J465" s="394">
        <v>111458.58</v>
      </c>
      <c r="K465" s="393" t="s">
        <v>1033</v>
      </c>
    </row>
    <row r="466" spans="1:12" hidden="1" x14ac:dyDescent="0.3">
      <c r="A466" s="397" t="s">
        <v>5713</v>
      </c>
      <c r="C466" s="397" t="s">
        <v>1053</v>
      </c>
      <c r="D466" s="397" t="s">
        <v>5712</v>
      </c>
      <c r="E466" s="397" t="s">
        <v>5707</v>
      </c>
      <c r="F466" s="397" t="s">
        <v>191</v>
      </c>
      <c r="G466" s="396">
        <v>1</v>
      </c>
      <c r="H466" s="395">
        <v>101000.35400000001</v>
      </c>
      <c r="I466" s="394">
        <v>42646.48</v>
      </c>
      <c r="J466" s="394">
        <v>144286.22</v>
      </c>
      <c r="K466" s="393" t="s">
        <v>1033</v>
      </c>
    </row>
    <row r="467" spans="1:12" hidden="1" x14ac:dyDescent="0.3">
      <c r="A467" s="397" t="s">
        <v>3392</v>
      </c>
      <c r="C467" s="397" t="s">
        <v>1053</v>
      </c>
      <c r="D467" s="397" t="s">
        <v>3391</v>
      </c>
      <c r="E467" s="397" t="s">
        <v>3390</v>
      </c>
      <c r="F467" s="397" t="s">
        <v>191</v>
      </c>
      <c r="G467" s="396">
        <v>1</v>
      </c>
      <c r="H467" s="395">
        <v>40515.502999999997</v>
      </c>
      <c r="I467" s="394">
        <v>3851.19</v>
      </c>
      <c r="J467" s="394">
        <v>57879.29</v>
      </c>
      <c r="K467" s="393" t="s">
        <v>1033</v>
      </c>
    </row>
    <row r="468" spans="1:12" hidden="1" x14ac:dyDescent="0.3">
      <c r="A468" s="397" t="s">
        <v>4822</v>
      </c>
      <c r="C468" s="397" t="s">
        <v>1053</v>
      </c>
      <c r="D468" s="397" t="s">
        <v>4821</v>
      </c>
      <c r="E468" s="397" t="s">
        <v>4820</v>
      </c>
      <c r="F468" s="397" t="s">
        <v>191</v>
      </c>
      <c r="G468" s="396">
        <v>1</v>
      </c>
      <c r="H468" s="395">
        <v>120068.24900000001</v>
      </c>
      <c r="I468" s="394">
        <v>5814.81</v>
      </c>
      <c r="J468" s="394">
        <v>171526.07</v>
      </c>
      <c r="K468" s="393" t="s">
        <v>1033</v>
      </c>
    </row>
    <row r="469" spans="1:12" hidden="1" x14ac:dyDescent="0.3">
      <c r="A469" s="397" t="s">
        <v>4643</v>
      </c>
      <c r="C469" s="397" t="s">
        <v>1053</v>
      </c>
      <c r="D469" s="397" t="s">
        <v>4642</v>
      </c>
      <c r="E469" s="397" t="s">
        <v>4641</v>
      </c>
      <c r="F469" s="397" t="s">
        <v>191</v>
      </c>
      <c r="G469" s="396">
        <v>1</v>
      </c>
      <c r="H469" s="395">
        <v>168832.853</v>
      </c>
      <c r="I469" s="394">
        <v>568.59</v>
      </c>
      <c r="J469" s="394">
        <v>241189.79</v>
      </c>
      <c r="K469" s="393" t="s">
        <v>1033</v>
      </c>
    </row>
    <row r="470" spans="1:12" hidden="1" x14ac:dyDescent="0.3">
      <c r="A470" s="397" t="s">
        <v>5404</v>
      </c>
      <c r="C470" s="397" t="s">
        <v>1053</v>
      </c>
      <c r="D470" s="397" t="s">
        <v>5403</v>
      </c>
      <c r="E470" s="397" t="s">
        <v>5402</v>
      </c>
      <c r="F470" s="397" t="s">
        <v>191</v>
      </c>
      <c r="G470" s="396">
        <v>1</v>
      </c>
      <c r="H470" s="395">
        <v>38434.977000000006</v>
      </c>
      <c r="I470" s="394">
        <v>15345.83</v>
      </c>
      <c r="J470" s="394">
        <v>54907.11</v>
      </c>
      <c r="K470" s="393" t="s">
        <v>1033</v>
      </c>
    </row>
    <row r="471" spans="1:12" hidden="1" x14ac:dyDescent="0.3">
      <c r="A471" s="397" t="s">
        <v>5898</v>
      </c>
      <c r="C471" s="397" t="s">
        <v>1053</v>
      </c>
      <c r="D471" s="397" t="s">
        <v>5897</v>
      </c>
      <c r="E471" s="397" t="s">
        <v>4282</v>
      </c>
      <c r="F471" s="397" t="s">
        <v>191</v>
      </c>
      <c r="G471" s="396">
        <v>1</v>
      </c>
      <c r="H471" s="395">
        <v>50489.256999999991</v>
      </c>
      <c r="I471" s="394">
        <v>49629.130000000005</v>
      </c>
      <c r="J471" s="394">
        <v>72127.509999999995</v>
      </c>
      <c r="K471" s="393" t="s">
        <v>1033</v>
      </c>
    </row>
    <row r="472" spans="1:12" hidden="1" x14ac:dyDescent="0.3">
      <c r="A472" s="397" t="s">
        <v>5606</v>
      </c>
      <c r="C472" s="397" t="s">
        <v>1053</v>
      </c>
      <c r="D472" s="397" t="s">
        <v>5605</v>
      </c>
      <c r="E472" s="397" t="s">
        <v>5604</v>
      </c>
      <c r="F472" s="397" t="s">
        <v>191</v>
      </c>
      <c r="G472" s="396">
        <v>1</v>
      </c>
      <c r="H472" s="395">
        <v>64225.672000000006</v>
      </c>
      <c r="I472" s="394">
        <v>59631.840000000004</v>
      </c>
      <c r="J472" s="394">
        <v>91750.96</v>
      </c>
      <c r="K472" s="393" t="s">
        <v>1033</v>
      </c>
    </row>
    <row r="473" spans="1:12" hidden="1" x14ac:dyDescent="0.3">
      <c r="A473" s="397" t="s">
        <v>5694</v>
      </c>
      <c r="C473" s="397" t="s">
        <v>1053</v>
      </c>
      <c r="D473" s="397" t="s">
        <v>5693</v>
      </c>
      <c r="E473" s="397" t="s">
        <v>5692</v>
      </c>
      <c r="F473" s="397" t="s">
        <v>191</v>
      </c>
      <c r="G473" s="396">
        <v>1</v>
      </c>
      <c r="H473" s="395">
        <v>39849.368999999999</v>
      </c>
      <c r="I473" s="394">
        <v>26630.799999999999</v>
      </c>
      <c r="J473" s="394">
        <v>56927.67</v>
      </c>
      <c r="K473" s="393" t="s">
        <v>1033</v>
      </c>
    </row>
    <row r="474" spans="1:12" hidden="1" x14ac:dyDescent="0.3">
      <c r="A474" s="397" t="s">
        <v>5538</v>
      </c>
      <c r="C474" s="397" t="s">
        <v>1053</v>
      </c>
      <c r="D474" s="397" t="s">
        <v>5537</v>
      </c>
      <c r="E474" s="397" t="s">
        <v>5536</v>
      </c>
      <c r="F474" s="397" t="s">
        <v>191</v>
      </c>
      <c r="G474" s="396">
        <v>1</v>
      </c>
      <c r="H474" s="395">
        <v>22333.717000000001</v>
      </c>
      <c r="I474" s="394">
        <v>21763.84</v>
      </c>
      <c r="J474" s="394">
        <v>31905.31</v>
      </c>
      <c r="K474" s="393" t="s">
        <v>1033</v>
      </c>
    </row>
    <row r="475" spans="1:12" hidden="1" x14ac:dyDescent="0.3">
      <c r="A475" s="397" t="s">
        <v>5320</v>
      </c>
      <c r="C475" s="397" t="s">
        <v>1053</v>
      </c>
      <c r="D475" s="397" t="s">
        <v>5319</v>
      </c>
      <c r="E475" s="397" t="s">
        <v>5316</v>
      </c>
      <c r="F475" s="397" t="s">
        <v>191</v>
      </c>
      <c r="G475" s="396">
        <v>1</v>
      </c>
      <c r="H475" s="395">
        <v>80483.501000000004</v>
      </c>
      <c r="I475" s="394">
        <v>41659.620000000003</v>
      </c>
      <c r="J475" s="394">
        <v>114976.43000000001</v>
      </c>
      <c r="K475" s="393" t="s">
        <v>1033</v>
      </c>
    </row>
    <row r="476" spans="1:12" hidden="1" x14ac:dyDescent="0.3">
      <c r="A476" s="397" t="s">
        <v>5764</v>
      </c>
      <c r="C476" s="397" t="s">
        <v>1053</v>
      </c>
      <c r="D476" s="397" t="s">
        <v>5763</v>
      </c>
      <c r="E476" s="397" t="s">
        <v>5762</v>
      </c>
      <c r="F476" s="397" t="s">
        <v>191</v>
      </c>
      <c r="G476" s="396">
        <v>1</v>
      </c>
      <c r="H476" s="395">
        <v>54454.112999999998</v>
      </c>
      <c r="I476" s="394">
        <v>445.88</v>
      </c>
      <c r="J476" s="394">
        <v>77791.59</v>
      </c>
      <c r="K476" s="393" t="s">
        <v>1033</v>
      </c>
    </row>
    <row r="477" spans="1:12" hidden="1" x14ac:dyDescent="0.3">
      <c r="A477" s="397" t="s">
        <v>5116</v>
      </c>
      <c r="C477" s="397" t="s">
        <v>1053</v>
      </c>
      <c r="D477" s="397" t="s">
        <v>5115</v>
      </c>
      <c r="E477" s="397" t="s">
        <v>4946</v>
      </c>
      <c r="F477" s="397" t="s">
        <v>191</v>
      </c>
      <c r="G477" s="396">
        <v>1</v>
      </c>
      <c r="H477" s="395">
        <v>58108.722000000002</v>
      </c>
      <c r="I477" s="394">
        <v>45066.22</v>
      </c>
      <c r="J477" s="394">
        <v>83012.460000000006</v>
      </c>
      <c r="K477" s="393" t="s">
        <v>1033</v>
      </c>
    </row>
    <row r="478" spans="1:12" hidden="1" x14ac:dyDescent="0.3">
      <c r="A478" s="397" t="s">
        <v>5000</v>
      </c>
      <c r="C478" s="397" t="s">
        <v>1053</v>
      </c>
      <c r="D478" s="397" t="s">
        <v>4999</v>
      </c>
      <c r="E478" s="397" t="s">
        <v>4998</v>
      </c>
      <c r="F478" s="397" t="s">
        <v>191</v>
      </c>
      <c r="G478" s="396">
        <v>1</v>
      </c>
      <c r="H478" s="395">
        <v>97729.968000000008</v>
      </c>
      <c r="I478" s="394">
        <v>97421.73</v>
      </c>
      <c r="J478" s="394">
        <v>139614.24</v>
      </c>
      <c r="K478" s="393" t="s">
        <v>1033</v>
      </c>
    </row>
    <row r="479" spans="1:12" hidden="1" x14ac:dyDescent="0.3">
      <c r="A479" s="397" t="s">
        <v>535</v>
      </c>
      <c r="C479" s="397" t="s">
        <v>1053</v>
      </c>
      <c r="D479" s="397" t="s">
        <v>5752</v>
      </c>
      <c r="E479" s="397" t="s">
        <v>5746</v>
      </c>
      <c r="F479" s="397" t="s">
        <v>191</v>
      </c>
      <c r="G479" s="396">
        <v>4</v>
      </c>
      <c r="H479" s="395">
        <v>32638.921000000002</v>
      </c>
      <c r="I479" s="394">
        <v>30707.7</v>
      </c>
      <c r="J479" s="394">
        <v>46627.03</v>
      </c>
      <c r="K479" s="393" t="s">
        <v>1033</v>
      </c>
    </row>
    <row r="480" spans="1:12" hidden="1" x14ac:dyDescent="0.3">
      <c r="A480" s="397" t="s">
        <v>5711</v>
      </c>
      <c r="C480" s="397" t="s">
        <v>1053</v>
      </c>
      <c r="D480" s="397" t="s">
        <v>5710</v>
      </c>
      <c r="E480" s="397" t="s">
        <v>5704</v>
      </c>
      <c r="F480" s="397" t="s">
        <v>191</v>
      </c>
      <c r="G480" s="396">
        <v>1</v>
      </c>
      <c r="H480" s="395">
        <v>42910.847000000002</v>
      </c>
      <c r="I480" s="394">
        <v>40361.18</v>
      </c>
      <c r="J480" s="394">
        <v>61301.21</v>
      </c>
      <c r="K480" s="393" t="s">
        <v>1033</v>
      </c>
      <c r="L480" s="395">
        <v>1</v>
      </c>
    </row>
    <row r="481" spans="1:12" hidden="1" x14ac:dyDescent="0.3">
      <c r="A481" s="397" t="s">
        <v>5939</v>
      </c>
      <c r="C481" s="397" t="s">
        <v>1053</v>
      </c>
      <c r="D481" s="397" t="s">
        <v>5938</v>
      </c>
      <c r="E481" s="397" t="s">
        <v>5785</v>
      </c>
      <c r="F481" s="397" t="s">
        <v>191</v>
      </c>
      <c r="G481" s="396">
        <v>1</v>
      </c>
      <c r="H481" s="395">
        <v>24145.638999999996</v>
      </c>
      <c r="I481" s="394">
        <v>18342.849999999999</v>
      </c>
      <c r="J481" s="394">
        <v>34493.769999999997</v>
      </c>
      <c r="K481" s="393" t="s">
        <v>1033</v>
      </c>
    </row>
    <row r="482" spans="1:12" hidden="1" x14ac:dyDescent="0.3">
      <c r="A482" s="397" t="s">
        <v>5948</v>
      </c>
      <c r="C482" s="397" t="s">
        <v>1053</v>
      </c>
      <c r="D482" s="397" t="s">
        <v>5947</v>
      </c>
      <c r="E482" s="397" t="s">
        <v>5946</v>
      </c>
      <c r="F482" s="397" t="s">
        <v>191</v>
      </c>
      <c r="G482" s="396">
        <v>2</v>
      </c>
      <c r="H482" s="395">
        <v>34691.699000000001</v>
      </c>
      <c r="I482" s="394">
        <v>33574.660000000003</v>
      </c>
      <c r="J482" s="394">
        <v>49559.57</v>
      </c>
      <c r="K482" s="393" t="s">
        <v>1033</v>
      </c>
    </row>
    <row r="483" spans="1:12" hidden="1" x14ac:dyDescent="0.3">
      <c r="A483" s="397" t="s">
        <v>5726</v>
      </c>
      <c r="C483" s="397" t="s">
        <v>1053</v>
      </c>
      <c r="D483" s="397" t="s">
        <v>5725</v>
      </c>
      <c r="E483" s="397" t="s">
        <v>5722</v>
      </c>
      <c r="F483" s="397" t="s">
        <v>191</v>
      </c>
      <c r="G483" s="396">
        <v>1</v>
      </c>
      <c r="H483" s="395">
        <v>56295.477000000006</v>
      </c>
      <c r="I483" s="394">
        <v>369.67</v>
      </c>
      <c r="J483" s="394">
        <v>80422.11</v>
      </c>
      <c r="K483" s="393" t="s">
        <v>1033</v>
      </c>
    </row>
    <row r="484" spans="1:12" hidden="1" x14ac:dyDescent="0.3">
      <c r="A484" s="397" t="s">
        <v>4278</v>
      </c>
      <c r="C484" s="397" t="s">
        <v>1053</v>
      </c>
      <c r="D484" s="397" t="s">
        <v>4277</v>
      </c>
      <c r="E484" s="397" t="s">
        <v>4276</v>
      </c>
      <c r="F484" s="397" t="s">
        <v>191</v>
      </c>
      <c r="G484" s="396">
        <v>2</v>
      </c>
      <c r="H484" s="395">
        <v>26292.244999999999</v>
      </c>
      <c r="I484" s="394">
        <v>297.02999999999997</v>
      </c>
      <c r="J484" s="394">
        <v>37560.35</v>
      </c>
      <c r="K484" s="393" t="s">
        <v>1033</v>
      </c>
    </row>
    <row r="485" spans="1:12" hidden="1" x14ac:dyDescent="0.3">
      <c r="A485" s="397" t="s">
        <v>439</v>
      </c>
      <c r="C485" s="397" t="s">
        <v>1053</v>
      </c>
      <c r="D485" s="397" t="s">
        <v>5955</v>
      </c>
      <c r="E485" s="397" t="s">
        <v>5954</v>
      </c>
      <c r="F485" s="397" t="s">
        <v>191</v>
      </c>
      <c r="G485" s="396">
        <v>1</v>
      </c>
      <c r="H485" s="395">
        <v>64448.832000000002</v>
      </c>
      <c r="I485" s="394">
        <v>58953.630000000005</v>
      </c>
      <c r="J485" s="394">
        <v>92069.759999999995</v>
      </c>
      <c r="K485" s="393" t="s">
        <v>1033</v>
      </c>
    </row>
    <row r="486" spans="1:12" hidden="1" x14ac:dyDescent="0.3">
      <c r="A486" s="397" t="s">
        <v>5748</v>
      </c>
      <c r="C486" s="397" t="s">
        <v>1053</v>
      </c>
      <c r="D486" s="397" t="s">
        <v>5747</v>
      </c>
      <c r="E486" s="397" t="s">
        <v>5746</v>
      </c>
      <c r="F486" s="397" t="s">
        <v>191</v>
      </c>
      <c r="G486" s="396">
        <v>4</v>
      </c>
      <c r="H486" s="395">
        <v>76907.452999999994</v>
      </c>
      <c r="I486" s="394">
        <v>62284.29</v>
      </c>
      <c r="J486" s="394">
        <v>109867.79000000001</v>
      </c>
      <c r="K486" s="393" t="s">
        <v>1033</v>
      </c>
    </row>
    <row r="487" spans="1:12" hidden="1" x14ac:dyDescent="0.3">
      <c r="A487" s="397" t="s">
        <v>5642</v>
      </c>
      <c r="C487" s="397" t="s">
        <v>1053</v>
      </c>
      <c r="D487" s="397" t="s">
        <v>5641</v>
      </c>
      <c r="E487" s="397" t="s">
        <v>5640</v>
      </c>
      <c r="F487" s="397" t="s">
        <v>191</v>
      </c>
      <c r="G487" s="396">
        <v>5</v>
      </c>
      <c r="H487" s="395">
        <v>23212.777000000002</v>
      </c>
      <c r="I487" s="394">
        <v>22802.33</v>
      </c>
      <c r="J487" s="394">
        <v>33161.11</v>
      </c>
      <c r="K487" s="393" t="s">
        <v>1033</v>
      </c>
    </row>
    <row r="488" spans="1:12" hidden="1" x14ac:dyDescent="0.3">
      <c r="A488" s="397" t="s">
        <v>5937</v>
      </c>
      <c r="C488" s="397" t="s">
        <v>1053</v>
      </c>
      <c r="D488" s="397" t="s">
        <v>5936</v>
      </c>
      <c r="E488" s="397" t="s">
        <v>5935</v>
      </c>
      <c r="F488" s="397" t="s">
        <v>191</v>
      </c>
      <c r="G488" s="396">
        <v>1</v>
      </c>
      <c r="H488" s="395">
        <v>64448.832000000002</v>
      </c>
      <c r="I488" s="394">
        <v>58953.630000000005</v>
      </c>
      <c r="J488" s="394">
        <v>92069.759999999995</v>
      </c>
      <c r="K488" s="393" t="s">
        <v>1033</v>
      </c>
    </row>
    <row r="489" spans="1:12" hidden="1" x14ac:dyDescent="0.3">
      <c r="A489" s="397" t="s">
        <v>639</v>
      </c>
      <c r="C489" s="397" t="s">
        <v>1053</v>
      </c>
      <c r="D489" s="397" t="s">
        <v>5743</v>
      </c>
      <c r="E489" s="397" t="s">
        <v>5740</v>
      </c>
      <c r="F489" s="397" t="s">
        <v>191</v>
      </c>
      <c r="G489" s="396">
        <v>4</v>
      </c>
      <c r="H489" s="395">
        <v>32638.921000000002</v>
      </c>
      <c r="I489" s="394">
        <v>29367</v>
      </c>
      <c r="J489" s="394">
        <v>46627.03</v>
      </c>
      <c r="K489" s="393" t="s">
        <v>1033</v>
      </c>
    </row>
    <row r="490" spans="1:12" hidden="1" x14ac:dyDescent="0.3">
      <c r="A490" s="397" t="s">
        <v>5957</v>
      </c>
      <c r="C490" s="397" t="s">
        <v>1053</v>
      </c>
      <c r="D490" s="397" t="s">
        <v>5956</v>
      </c>
      <c r="E490" s="397" t="s">
        <v>5785</v>
      </c>
      <c r="F490" s="397" t="s">
        <v>191</v>
      </c>
      <c r="G490" s="396">
        <v>2</v>
      </c>
      <c r="H490" s="395">
        <v>24145.638999999996</v>
      </c>
      <c r="I490" s="394">
        <v>15859.380000000001</v>
      </c>
      <c r="J490" s="394">
        <v>34493.769999999997</v>
      </c>
      <c r="K490" s="393" t="s">
        <v>1033</v>
      </c>
    </row>
    <row r="491" spans="1:12" hidden="1" x14ac:dyDescent="0.3">
      <c r="A491" s="397" t="s">
        <v>5751</v>
      </c>
      <c r="C491" s="397" t="s">
        <v>1053</v>
      </c>
      <c r="D491" s="397" t="s">
        <v>5750</v>
      </c>
      <c r="E491" s="397" t="s">
        <v>5749</v>
      </c>
      <c r="F491" s="397" t="s">
        <v>191</v>
      </c>
      <c r="G491" s="396">
        <v>1</v>
      </c>
      <c r="H491" s="395">
        <v>45420.255999999994</v>
      </c>
      <c r="I491" s="394">
        <v>2018.6100000000001</v>
      </c>
      <c r="J491" s="394">
        <v>64886.080000000002</v>
      </c>
      <c r="K491" s="393" t="s">
        <v>1033</v>
      </c>
    </row>
    <row r="492" spans="1:12" hidden="1" x14ac:dyDescent="0.3">
      <c r="A492" s="397" t="s">
        <v>5924</v>
      </c>
      <c r="C492" s="397" t="s">
        <v>1053</v>
      </c>
      <c r="D492" s="397" t="s">
        <v>5923</v>
      </c>
      <c r="E492" s="397" t="s">
        <v>5922</v>
      </c>
      <c r="F492" s="397" t="s">
        <v>191</v>
      </c>
      <c r="G492" s="396">
        <v>2</v>
      </c>
      <c r="H492" s="395">
        <v>59955.307999999997</v>
      </c>
      <c r="I492" s="394">
        <v>58850.23</v>
      </c>
      <c r="J492" s="394">
        <v>85650.44</v>
      </c>
      <c r="K492" s="393" t="s">
        <v>1033</v>
      </c>
      <c r="L492" s="395">
        <v>1</v>
      </c>
    </row>
    <row r="493" spans="1:12" hidden="1" x14ac:dyDescent="0.3">
      <c r="A493" s="397" t="s">
        <v>4286</v>
      </c>
      <c r="C493" s="397" t="s">
        <v>1053</v>
      </c>
      <c r="D493" s="397" t="s">
        <v>4285</v>
      </c>
      <c r="E493" s="397" t="s">
        <v>4282</v>
      </c>
      <c r="F493" s="397" t="s">
        <v>191</v>
      </c>
      <c r="G493" s="396">
        <v>1</v>
      </c>
      <c r="H493" s="395">
        <v>20576.423000000003</v>
      </c>
      <c r="I493" s="394">
        <v>76.36</v>
      </c>
      <c r="J493" s="394">
        <v>29394.89</v>
      </c>
      <c r="K493" s="393" t="s">
        <v>1033</v>
      </c>
    </row>
    <row r="494" spans="1:12" hidden="1" x14ac:dyDescent="0.3">
      <c r="A494" s="397" t="s">
        <v>5697</v>
      </c>
      <c r="C494" s="397" t="s">
        <v>1053</v>
      </c>
      <c r="D494" s="397" t="s">
        <v>5696</v>
      </c>
      <c r="E494" s="397" t="s">
        <v>5695</v>
      </c>
      <c r="F494" s="397" t="s">
        <v>191</v>
      </c>
      <c r="G494" s="396">
        <v>1</v>
      </c>
      <c r="H494" s="395">
        <v>49736.434999999998</v>
      </c>
      <c r="I494" s="394">
        <v>637.91</v>
      </c>
      <c r="J494" s="394">
        <v>71052.05</v>
      </c>
      <c r="K494" s="393" t="s">
        <v>1033</v>
      </c>
    </row>
    <row r="495" spans="1:12" hidden="1" x14ac:dyDescent="0.3">
      <c r="A495" s="397" t="s">
        <v>5721</v>
      </c>
      <c r="C495" s="397" t="s">
        <v>1053</v>
      </c>
      <c r="D495" s="397" t="s">
        <v>5934</v>
      </c>
      <c r="E495" s="397" t="s">
        <v>5933</v>
      </c>
      <c r="F495" s="397" t="s">
        <v>191</v>
      </c>
      <c r="G495" s="396">
        <v>4</v>
      </c>
      <c r="H495" s="395">
        <v>51559.850999999995</v>
      </c>
      <c r="I495" s="394">
        <v>49575.31</v>
      </c>
      <c r="J495" s="394">
        <v>73656.929999999993</v>
      </c>
      <c r="K495" s="393" t="s">
        <v>1033</v>
      </c>
    </row>
    <row r="496" spans="1:12" hidden="1" x14ac:dyDescent="0.3">
      <c r="A496" s="397" t="s">
        <v>5721</v>
      </c>
      <c r="C496" s="397" t="s">
        <v>1053</v>
      </c>
      <c r="D496" s="397" t="s">
        <v>5720</v>
      </c>
      <c r="E496" s="397" t="s">
        <v>5715</v>
      </c>
      <c r="F496" s="397" t="s">
        <v>191</v>
      </c>
      <c r="G496" s="396">
        <v>1</v>
      </c>
      <c r="H496" s="395">
        <v>42910.847000000002</v>
      </c>
      <c r="I496" s="394">
        <v>40361.18</v>
      </c>
      <c r="J496" s="394">
        <v>61301.21</v>
      </c>
      <c r="K496" s="393" t="s">
        <v>1033</v>
      </c>
      <c r="L496" s="395">
        <v>1</v>
      </c>
    </row>
    <row r="497" spans="1:11" hidden="1" x14ac:dyDescent="0.3">
      <c r="A497" s="397" t="s">
        <v>6006</v>
      </c>
      <c r="C497" s="397" t="s">
        <v>1053</v>
      </c>
      <c r="D497" s="397" t="s">
        <v>6005</v>
      </c>
      <c r="E497" s="397" t="s">
        <v>6004</v>
      </c>
      <c r="F497" s="397" t="s">
        <v>191</v>
      </c>
      <c r="G497" s="396">
        <v>1</v>
      </c>
      <c r="H497" s="395">
        <v>47359.340000000004</v>
      </c>
      <c r="I497" s="394">
        <v>6997.16</v>
      </c>
      <c r="J497" s="394">
        <v>67656.2</v>
      </c>
      <c r="K497" s="393" t="s">
        <v>1033</v>
      </c>
    </row>
    <row r="498" spans="1:11" hidden="1" x14ac:dyDescent="0.3">
      <c r="A498" s="397" t="s">
        <v>5411</v>
      </c>
      <c r="C498" s="397" t="s">
        <v>1053</v>
      </c>
      <c r="D498" s="397" t="s">
        <v>5410</v>
      </c>
      <c r="E498" s="397" t="s">
        <v>5407</v>
      </c>
      <c r="F498" s="397" t="s">
        <v>191</v>
      </c>
      <c r="G498" s="396">
        <v>2</v>
      </c>
      <c r="H498" s="395">
        <v>68438.356</v>
      </c>
      <c r="I498" s="394">
        <v>66545.509999999995</v>
      </c>
      <c r="J498" s="394">
        <v>97769.08</v>
      </c>
      <c r="K498" s="393" t="s">
        <v>1033</v>
      </c>
    </row>
    <row r="499" spans="1:11" hidden="1" x14ac:dyDescent="0.3">
      <c r="A499" s="397" t="s">
        <v>5959</v>
      </c>
      <c r="C499" s="397" t="s">
        <v>1053</v>
      </c>
      <c r="D499" s="397" t="s">
        <v>5958</v>
      </c>
      <c r="E499" s="397" t="s">
        <v>471</v>
      </c>
      <c r="F499" s="397" t="s">
        <v>191</v>
      </c>
      <c r="G499" s="396">
        <v>1</v>
      </c>
      <c r="H499" s="395">
        <v>53093.837999999996</v>
      </c>
      <c r="I499" s="394">
        <v>37777.910000000003</v>
      </c>
      <c r="J499" s="394">
        <v>75848.34</v>
      </c>
      <c r="K499" s="393" t="s">
        <v>1033</v>
      </c>
    </row>
    <row r="500" spans="1:11" hidden="1" x14ac:dyDescent="0.3">
      <c r="A500" s="397" t="s">
        <v>5942</v>
      </c>
      <c r="C500" s="397" t="s">
        <v>1053</v>
      </c>
      <c r="D500" s="397" t="s">
        <v>5941</v>
      </c>
      <c r="E500" s="397" t="s">
        <v>5940</v>
      </c>
      <c r="F500" s="397" t="s">
        <v>191</v>
      </c>
      <c r="G500" s="396">
        <v>1</v>
      </c>
      <c r="H500" s="395">
        <v>53093.837999999996</v>
      </c>
      <c r="I500" s="394">
        <v>37777.910000000003</v>
      </c>
      <c r="J500" s="394">
        <v>75848.34</v>
      </c>
      <c r="K500" s="393" t="s">
        <v>1033</v>
      </c>
    </row>
    <row r="501" spans="1:11" hidden="1" x14ac:dyDescent="0.3">
      <c r="A501" s="397" t="s">
        <v>5866</v>
      </c>
      <c r="C501" s="397" t="s">
        <v>1053</v>
      </c>
      <c r="D501" s="397" t="s">
        <v>5865</v>
      </c>
      <c r="E501" s="397" t="s">
        <v>5864</v>
      </c>
      <c r="F501" s="397" t="s">
        <v>191</v>
      </c>
      <c r="G501" s="396">
        <v>1</v>
      </c>
      <c r="H501" s="395">
        <v>50489.256999999991</v>
      </c>
      <c r="I501" s="394">
        <v>156.12</v>
      </c>
      <c r="J501" s="394">
        <v>72127.509999999995</v>
      </c>
      <c r="K501" s="393" t="s">
        <v>1033</v>
      </c>
    </row>
    <row r="502" spans="1:11" hidden="1" x14ac:dyDescent="0.3">
      <c r="A502" s="397" t="s">
        <v>5719</v>
      </c>
      <c r="C502" s="397" t="s">
        <v>1053</v>
      </c>
      <c r="D502" s="397" t="s">
        <v>5718</v>
      </c>
      <c r="E502" s="397" t="s">
        <v>5715</v>
      </c>
      <c r="F502" s="397" t="s">
        <v>191</v>
      </c>
      <c r="G502" s="396">
        <v>1</v>
      </c>
      <c r="H502" s="395">
        <v>43914.612000000001</v>
      </c>
      <c r="I502" s="394">
        <v>31365.79</v>
      </c>
      <c r="J502" s="394">
        <v>62735.16</v>
      </c>
      <c r="K502" s="393" t="s">
        <v>1033</v>
      </c>
    </row>
    <row r="503" spans="1:11" hidden="1" x14ac:dyDescent="0.3">
      <c r="A503" s="397" t="s">
        <v>4992</v>
      </c>
      <c r="C503" s="397" t="s">
        <v>1053</v>
      </c>
      <c r="D503" s="397" t="s">
        <v>4991</v>
      </c>
      <c r="E503" s="397" t="s">
        <v>4990</v>
      </c>
      <c r="F503" s="397" t="s">
        <v>191</v>
      </c>
      <c r="G503" s="396">
        <v>1</v>
      </c>
      <c r="H503" s="395">
        <v>43011.227000000006</v>
      </c>
      <c r="I503" s="394">
        <v>9808.36</v>
      </c>
      <c r="J503" s="394">
        <v>61444.61</v>
      </c>
      <c r="K503" s="393" t="s">
        <v>1033</v>
      </c>
    </row>
    <row r="504" spans="1:11" hidden="1" x14ac:dyDescent="0.3">
      <c r="A504" s="397" t="s">
        <v>5896</v>
      </c>
      <c r="C504" s="397" t="s">
        <v>1053</v>
      </c>
      <c r="D504" s="397" t="s">
        <v>5895</v>
      </c>
      <c r="E504" s="397" t="s">
        <v>5894</v>
      </c>
      <c r="F504" s="397" t="s">
        <v>191</v>
      </c>
      <c r="G504" s="396">
        <v>1</v>
      </c>
      <c r="H504" s="395">
        <v>28757.798999999999</v>
      </c>
      <c r="I504" s="394">
        <v>240.35</v>
      </c>
      <c r="J504" s="394">
        <v>41082.57</v>
      </c>
      <c r="K504" s="393" t="s">
        <v>1033</v>
      </c>
    </row>
    <row r="505" spans="1:11" hidden="1" x14ac:dyDescent="0.3">
      <c r="A505" s="397" t="s">
        <v>5709</v>
      </c>
      <c r="C505" s="397" t="s">
        <v>1053</v>
      </c>
      <c r="D505" s="397" t="s">
        <v>5708</v>
      </c>
      <c r="E505" s="397" t="s">
        <v>5707</v>
      </c>
      <c r="F505" s="397" t="s">
        <v>191</v>
      </c>
      <c r="G505" s="396">
        <v>1</v>
      </c>
      <c r="H505" s="395">
        <v>55295.352000000006</v>
      </c>
      <c r="I505" s="394">
        <v>12081.960000000001</v>
      </c>
      <c r="J505" s="394">
        <v>78993.36</v>
      </c>
      <c r="K505" s="393" t="s">
        <v>1033</v>
      </c>
    </row>
    <row r="506" spans="1:11" hidden="1" x14ac:dyDescent="0.3">
      <c r="A506" s="397" t="s">
        <v>5953</v>
      </c>
      <c r="C506" s="397" t="s">
        <v>1053</v>
      </c>
      <c r="D506" s="397" t="s">
        <v>5952</v>
      </c>
      <c r="E506" s="397" t="s">
        <v>5951</v>
      </c>
      <c r="F506" s="397" t="s">
        <v>191</v>
      </c>
      <c r="G506" s="396">
        <v>3</v>
      </c>
      <c r="H506" s="395">
        <v>51559.850999999995</v>
      </c>
      <c r="I506" s="394">
        <v>49575.31</v>
      </c>
      <c r="J506" s="394">
        <v>73656.929999999993</v>
      </c>
      <c r="K506" s="393" t="s">
        <v>1033</v>
      </c>
    </row>
    <row r="507" spans="1:11" hidden="1" x14ac:dyDescent="0.3">
      <c r="A507" s="397" t="s">
        <v>5728</v>
      </c>
      <c r="C507" s="397" t="s">
        <v>1053</v>
      </c>
      <c r="D507" s="397" t="s">
        <v>5727</v>
      </c>
      <c r="E507" s="397" t="s">
        <v>5722</v>
      </c>
      <c r="F507" s="397" t="s">
        <v>191</v>
      </c>
      <c r="G507" s="396">
        <v>1</v>
      </c>
      <c r="H507" s="395">
        <v>84817.929000000004</v>
      </c>
      <c r="I507" s="394">
        <v>70306.31</v>
      </c>
      <c r="J507" s="394">
        <v>121168.47</v>
      </c>
      <c r="K507" s="393" t="s">
        <v>1033</v>
      </c>
    </row>
    <row r="508" spans="1:11" hidden="1" x14ac:dyDescent="0.3">
      <c r="A508" s="397" t="s">
        <v>5754</v>
      </c>
      <c r="C508" s="397" t="s">
        <v>1053</v>
      </c>
      <c r="D508" s="397" t="s">
        <v>5753</v>
      </c>
      <c r="E508" s="397" t="s">
        <v>5737</v>
      </c>
      <c r="F508" s="397" t="s">
        <v>191</v>
      </c>
      <c r="G508" s="396">
        <v>1</v>
      </c>
      <c r="H508" s="395">
        <v>48602.652000000002</v>
      </c>
      <c r="I508" s="394">
        <v>45101.11</v>
      </c>
      <c r="J508" s="394">
        <v>69432.36</v>
      </c>
      <c r="K508" s="393" t="s">
        <v>1033</v>
      </c>
    </row>
    <row r="509" spans="1:11" hidden="1" x14ac:dyDescent="0.3">
      <c r="A509" s="397" t="s">
        <v>5562</v>
      </c>
      <c r="C509" s="397" t="s">
        <v>1053</v>
      </c>
      <c r="D509" s="397" t="s">
        <v>5561</v>
      </c>
      <c r="E509" s="397" t="s">
        <v>441</v>
      </c>
      <c r="F509" s="397" t="s">
        <v>191</v>
      </c>
      <c r="G509" s="396">
        <v>1</v>
      </c>
      <c r="H509" s="395">
        <v>42459.150999999998</v>
      </c>
      <c r="I509" s="394">
        <v>24183.39</v>
      </c>
      <c r="J509" s="394">
        <v>60655.93</v>
      </c>
      <c r="K509" s="393" t="s">
        <v>1033</v>
      </c>
    </row>
    <row r="510" spans="1:11" hidden="1" x14ac:dyDescent="0.3">
      <c r="A510" s="397" t="s">
        <v>4125</v>
      </c>
      <c r="C510" s="397" t="s">
        <v>1053</v>
      </c>
      <c r="D510" s="397" t="s">
        <v>4124</v>
      </c>
      <c r="E510" s="397" t="s">
        <v>4123</v>
      </c>
      <c r="F510" s="397" t="s">
        <v>191</v>
      </c>
      <c r="G510" s="396">
        <v>1</v>
      </c>
      <c r="H510" s="395">
        <v>32156.901000000002</v>
      </c>
      <c r="I510" s="394">
        <v>2224.04</v>
      </c>
      <c r="J510" s="394">
        <v>45938.43</v>
      </c>
      <c r="K510" s="393" t="s">
        <v>1033</v>
      </c>
    </row>
    <row r="511" spans="1:11" hidden="1" x14ac:dyDescent="0.3">
      <c r="A511" s="397" t="s">
        <v>4281</v>
      </c>
      <c r="C511" s="397" t="s">
        <v>1053</v>
      </c>
      <c r="D511" s="397" t="s">
        <v>4280</v>
      </c>
      <c r="E511" s="397" t="s">
        <v>4279</v>
      </c>
      <c r="F511" s="397" t="s">
        <v>191</v>
      </c>
      <c r="G511" s="396">
        <v>1</v>
      </c>
      <c r="H511" s="395">
        <v>33470.92</v>
      </c>
      <c r="I511" s="394">
        <v>1236.79</v>
      </c>
      <c r="J511" s="394">
        <v>47815.6</v>
      </c>
      <c r="K511" s="393" t="s">
        <v>1033</v>
      </c>
    </row>
    <row r="512" spans="1:11" hidden="1" x14ac:dyDescent="0.3">
      <c r="A512" s="397" t="s">
        <v>5825</v>
      </c>
      <c r="C512" s="397" t="s">
        <v>1053</v>
      </c>
      <c r="D512" s="397" t="s">
        <v>5824</v>
      </c>
      <c r="E512" s="397" t="s">
        <v>5823</v>
      </c>
      <c r="F512" s="397" t="s">
        <v>191</v>
      </c>
      <c r="G512" s="396">
        <v>1</v>
      </c>
      <c r="H512" s="395">
        <v>47964.245000000003</v>
      </c>
      <c r="I512" s="394">
        <v>339.99</v>
      </c>
      <c r="J512" s="394">
        <v>68520.350000000006</v>
      </c>
      <c r="K512" s="393" t="s">
        <v>1033</v>
      </c>
    </row>
    <row r="513" spans="1:12" hidden="1" x14ac:dyDescent="0.3">
      <c r="A513" s="397" t="s">
        <v>5851</v>
      </c>
      <c r="C513" s="397" t="s">
        <v>1053</v>
      </c>
      <c r="D513" s="397" t="s">
        <v>5850</v>
      </c>
      <c r="E513" s="397" t="s">
        <v>5785</v>
      </c>
      <c r="F513" s="397" t="s">
        <v>191</v>
      </c>
      <c r="G513" s="396">
        <v>1</v>
      </c>
      <c r="H513" s="395">
        <v>21831.838</v>
      </c>
      <c r="I513" s="394">
        <v>2186.36</v>
      </c>
      <c r="J513" s="394">
        <v>31188.34</v>
      </c>
      <c r="K513" s="393" t="s">
        <v>1033</v>
      </c>
    </row>
    <row r="514" spans="1:12" hidden="1" x14ac:dyDescent="0.3">
      <c r="A514" s="397" t="s">
        <v>5406</v>
      </c>
      <c r="C514" s="397" t="s">
        <v>1053</v>
      </c>
      <c r="D514" s="397" t="s">
        <v>5405</v>
      </c>
      <c r="E514" s="397" t="s">
        <v>5402</v>
      </c>
      <c r="F514" s="397" t="s">
        <v>191</v>
      </c>
      <c r="G514" s="396">
        <v>1</v>
      </c>
      <c r="H514" s="395">
        <v>36682.953999999998</v>
      </c>
      <c r="I514" s="394">
        <v>31115.49</v>
      </c>
      <c r="J514" s="394">
        <v>52404.22</v>
      </c>
      <c r="K514" s="393" t="s">
        <v>1033</v>
      </c>
    </row>
    <row r="515" spans="1:12" hidden="1" x14ac:dyDescent="0.3">
      <c r="A515" s="397" t="s">
        <v>5742</v>
      </c>
      <c r="C515" s="397" t="s">
        <v>1053</v>
      </c>
      <c r="D515" s="397" t="s">
        <v>5741</v>
      </c>
      <c r="E515" s="397" t="s">
        <v>5740</v>
      </c>
      <c r="F515" s="397" t="s">
        <v>191</v>
      </c>
      <c r="G515" s="396">
        <v>4</v>
      </c>
      <c r="H515" s="395">
        <v>76907.452999999994</v>
      </c>
      <c r="I515" s="394">
        <v>72284.289999999994</v>
      </c>
      <c r="J515" s="394">
        <v>109867.79000000001</v>
      </c>
      <c r="K515" s="393" t="s">
        <v>1033</v>
      </c>
    </row>
    <row r="516" spans="1:12" hidden="1" x14ac:dyDescent="0.3">
      <c r="A516" s="397" t="s">
        <v>5971</v>
      </c>
      <c r="C516" s="397" t="s">
        <v>1053</v>
      </c>
      <c r="D516" s="397" t="s">
        <v>5970</v>
      </c>
      <c r="E516" s="397" t="s">
        <v>5969</v>
      </c>
      <c r="F516" s="397" t="s">
        <v>191</v>
      </c>
      <c r="G516" s="396">
        <v>1</v>
      </c>
      <c r="H516" s="395">
        <v>58418.975999999995</v>
      </c>
      <c r="I516" s="394">
        <v>47707.83</v>
      </c>
      <c r="J516" s="394">
        <v>83455.679999999993</v>
      </c>
      <c r="K516" s="393" t="s">
        <v>1033</v>
      </c>
      <c r="L516" s="395">
        <v>1</v>
      </c>
    </row>
    <row r="517" spans="1:12" hidden="1" x14ac:dyDescent="0.3">
      <c r="A517" s="397" t="s">
        <v>5932</v>
      </c>
      <c r="C517" s="397" t="s">
        <v>1053</v>
      </c>
      <c r="D517" s="397" t="s">
        <v>5931</v>
      </c>
      <c r="E517" s="397" t="s">
        <v>5785</v>
      </c>
      <c r="F517" s="397" t="s">
        <v>191</v>
      </c>
      <c r="G517" s="396">
        <v>2</v>
      </c>
      <c r="H517" s="395">
        <v>34691.699000000001</v>
      </c>
      <c r="I517" s="394">
        <v>33574.660000000003</v>
      </c>
      <c r="J517" s="394">
        <v>49559.57</v>
      </c>
      <c r="K517" s="393" t="s">
        <v>1033</v>
      </c>
    </row>
    <row r="518" spans="1:12" hidden="1" x14ac:dyDescent="0.3">
      <c r="A518" s="397" t="s">
        <v>5950</v>
      </c>
      <c r="C518" s="397" t="s">
        <v>1053</v>
      </c>
      <c r="D518" s="397" t="s">
        <v>5949</v>
      </c>
      <c r="E518" s="397" t="s">
        <v>5785</v>
      </c>
      <c r="F518" s="397" t="s">
        <v>191</v>
      </c>
      <c r="G518" s="396">
        <v>1</v>
      </c>
      <c r="H518" s="395">
        <v>47545.056999999993</v>
      </c>
      <c r="I518" s="394">
        <v>10051.200000000001</v>
      </c>
      <c r="J518" s="394">
        <v>67921.509999999995</v>
      </c>
      <c r="K518" s="393" t="s">
        <v>1033</v>
      </c>
    </row>
    <row r="519" spans="1:12" hidden="1" x14ac:dyDescent="0.3">
      <c r="A519" s="397" t="s">
        <v>5724</v>
      </c>
      <c r="C519" s="397" t="s">
        <v>1053</v>
      </c>
      <c r="D519" s="397" t="s">
        <v>5723</v>
      </c>
      <c r="E519" s="397" t="s">
        <v>5722</v>
      </c>
      <c r="F519" s="397" t="s">
        <v>191</v>
      </c>
      <c r="G519" s="396">
        <v>1</v>
      </c>
      <c r="H519" s="395">
        <v>68657.357999999993</v>
      </c>
      <c r="I519" s="394">
        <v>65886.960000000006</v>
      </c>
      <c r="J519" s="394">
        <v>98081.94</v>
      </c>
      <c r="K519" s="393" t="s">
        <v>1033</v>
      </c>
    </row>
    <row r="520" spans="1:12" hidden="1" x14ac:dyDescent="0.3">
      <c r="A520" s="397" t="s">
        <v>5828</v>
      </c>
      <c r="C520" s="397" t="s">
        <v>1053</v>
      </c>
      <c r="D520" s="397" t="s">
        <v>5827</v>
      </c>
      <c r="E520" s="397" t="s">
        <v>5826</v>
      </c>
      <c r="F520" s="397" t="s">
        <v>191</v>
      </c>
      <c r="G520" s="396">
        <v>1</v>
      </c>
      <c r="H520" s="395">
        <v>81869.053</v>
      </c>
      <c r="I520" s="394">
        <v>3573.87</v>
      </c>
      <c r="J520" s="394">
        <v>116955.79000000001</v>
      </c>
      <c r="K520" s="393" t="s">
        <v>1033</v>
      </c>
    </row>
    <row r="521" spans="1:12" hidden="1" x14ac:dyDescent="0.3">
      <c r="A521" s="397" t="s">
        <v>5945</v>
      </c>
      <c r="C521" s="397" t="s">
        <v>1053</v>
      </c>
      <c r="D521" s="397" t="s">
        <v>5944</v>
      </c>
      <c r="E521" s="397" t="s">
        <v>5943</v>
      </c>
      <c r="F521" s="397" t="s">
        <v>191</v>
      </c>
      <c r="G521" s="396">
        <v>2</v>
      </c>
      <c r="H521" s="395">
        <v>38241.791000000005</v>
      </c>
      <c r="I521" s="394">
        <v>36644.01</v>
      </c>
      <c r="J521" s="394">
        <v>54631.130000000005</v>
      </c>
      <c r="K521" s="393" t="s">
        <v>1033</v>
      </c>
    </row>
    <row r="522" spans="1:12" hidden="1" x14ac:dyDescent="0.3">
      <c r="A522" s="397" t="s">
        <v>5930</v>
      </c>
      <c r="C522" s="397" t="s">
        <v>1053</v>
      </c>
      <c r="D522" s="397" t="s">
        <v>5929</v>
      </c>
      <c r="E522" s="397" t="s">
        <v>5928</v>
      </c>
      <c r="F522" s="397" t="s">
        <v>191</v>
      </c>
      <c r="G522" s="396">
        <v>3</v>
      </c>
      <c r="H522" s="395">
        <v>38241.791000000005</v>
      </c>
      <c r="I522" s="394">
        <v>37010.449999999997</v>
      </c>
      <c r="J522" s="394">
        <v>54631.130000000005</v>
      </c>
      <c r="K522" s="393" t="s">
        <v>1033</v>
      </c>
      <c r="L522" s="395">
        <v>1</v>
      </c>
    </row>
    <row r="523" spans="1:12" hidden="1" x14ac:dyDescent="0.3">
      <c r="A523" s="397" t="s">
        <v>5739</v>
      </c>
      <c r="C523" s="397" t="s">
        <v>1053</v>
      </c>
      <c r="D523" s="397" t="s">
        <v>5738</v>
      </c>
      <c r="E523" s="397" t="s">
        <v>5737</v>
      </c>
      <c r="F523" s="397" t="s">
        <v>191</v>
      </c>
      <c r="G523" s="396">
        <v>1</v>
      </c>
      <c r="H523" s="395">
        <v>83262.101999999999</v>
      </c>
      <c r="J523" s="394">
        <v>118945.86</v>
      </c>
      <c r="K523" s="393" t="s">
        <v>1033</v>
      </c>
    </row>
    <row r="524" spans="1:12" hidden="1" x14ac:dyDescent="0.3">
      <c r="A524" s="397" t="s">
        <v>530</v>
      </c>
      <c r="C524" s="397" t="s">
        <v>1053</v>
      </c>
      <c r="D524" s="397" t="s">
        <v>3652</v>
      </c>
      <c r="E524" s="397" t="s">
        <v>3643</v>
      </c>
      <c r="F524" s="397" t="s">
        <v>191</v>
      </c>
      <c r="G524" s="396">
        <v>1</v>
      </c>
      <c r="H524" s="395">
        <v>43611.420999999995</v>
      </c>
      <c r="I524" s="394">
        <v>703.03</v>
      </c>
      <c r="J524" s="394">
        <v>62302.03</v>
      </c>
      <c r="K524" s="393" t="s">
        <v>1033</v>
      </c>
    </row>
    <row r="525" spans="1:12" hidden="1" x14ac:dyDescent="0.3">
      <c r="A525" s="397" t="s">
        <v>3648</v>
      </c>
      <c r="C525" s="397" t="s">
        <v>1053</v>
      </c>
      <c r="D525" s="397" t="s">
        <v>3647</v>
      </c>
      <c r="E525" s="397" t="s">
        <v>3646</v>
      </c>
      <c r="F525" s="397" t="s">
        <v>191</v>
      </c>
      <c r="G525" s="396">
        <v>1</v>
      </c>
      <c r="H525" s="395">
        <v>44799.110999999997</v>
      </c>
      <c r="I525" s="394">
        <v>401.63</v>
      </c>
      <c r="J525" s="394">
        <v>63998.73</v>
      </c>
      <c r="K525" s="393" t="s">
        <v>1033</v>
      </c>
    </row>
    <row r="526" spans="1:12" hidden="1" x14ac:dyDescent="0.3">
      <c r="A526" s="397" t="s">
        <v>5603</v>
      </c>
      <c r="C526" s="397" t="s">
        <v>1053</v>
      </c>
      <c r="D526" s="397" t="s">
        <v>5602</v>
      </c>
      <c r="E526" s="397" t="s">
        <v>5599</v>
      </c>
      <c r="F526" s="397" t="s">
        <v>191</v>
      </c>
      <c r="G526" s="396">
        <v>1</v>
      </c>
      <c r="H526" s="395">
        <v>15508.128999999999</v>
      </c>
      <c r="I526" s="394">
        <v>9054.82</v>
      </c>
      <c r="J526" s="394">
        <v>22154.47</v>
      </c>
      <c r="K526" s="393" t="s">
        <v>1033</v>
      </c>
    </row>
    <row r="527" spans="1:12" hidden="1" x14ac:dyDescent="0.3">
      <c r="A527" s="397" t="s">
        <v>5691</v>
      </c>
      <c r="C527" s="397" t="s">
        <v>1053</v>
      </c>
      <c r="D527" s="397" t="s">
        <v>5690</v>
      </c>
      <c r="E527" s="397" t="s">
        <v>5689</v>
      </c>
      <c r="F527" s="397" t="s">
        <v>191</v>
      </c>
      <c r="G527" s="396">
        <v>1</v>
      </c>
      <c r="H527" s="395">
        <v>46925.9</v>
      </c>
      <c r="I527" s="394">
        <v>32874.720000000001</v>
      </c>
      <c r="J527" s="394">
        <v>67037</v>
      </c>
      <c r="K527" s="393" t="s">
        <v>1033</v>
      </c>
    </row>
    <row r="528" spans="1:12" hidden="1" x14ac:dyDescent="0.3">
      <c r="A528" s="397" t="s">
        <v>3724</v>
      </c>
      <c r="C528" s="397" t="s">
        <v>1053</v>
      </c>
      <c r="D528" s="397" t="s">
        <v>3723</v>
      </c>
      <c r="E528" s="397" t="s">
        <v>3722</v>
      </c>
      <c r="F528" s="397" t="s">
        <v>191</v>
      </c>
      <c r="G528" s="396">
        <v>2</v>
      </c>
      <c r="H528" s="395">
        <v>90664.861000000004</v>
      </c>
      <c r="I528" s="394">
        <v>4002.62</v>
      </c>
      <c r="J528" s="394">
        <v>129521.23</v>
      </c>
      <c r="K528" s="393" t="s">
        <v>1033</v>
      </c>
    </row>
    <row r="529" spans="1:11" hidden="1" x14ac:dyDescent="0.3">
      <c r="A529" s="397" t="s">
        <v>3664</v>
      </c>
      <c r="C529" s="397" t="s">
        <v>1053</v>
      </c>
      <c r="D529" s="397" t="s">
        <v>3663</v>
      </c>
      <c r="E529" s="397" t="s">
        <v>3662</v>
      </c>
      <c r="F529" s="397" t="s">
        <v>191</v>
      </c>
      <c r="G529" s="396">
        <v>2</v>
      </c>
      <c r="H529" s="395">
        <v>90664.861000000004</v>
      </c>
      <c r="I529" s="394">
        <v>4002.62</v>
      </c>
      <c r="J529" s="394">
        <v>129521.23</v>
      </c>
      <c r="K529" s="393" t="s">
        <v>1033</v>
      </c>
    </row>
    <row r="530" spans="1:11" hidden="1" x14ac:dyDescent="0.3">
      <c r="A530" s="397" t="s">
        <v>3708</v>
      </c>
      <c r="C530" s="397" t="s">
        <v>1053</v>
      </c>
      <c r="D530" s="397" t="s">
        <v>3707</v>
      </c>
      <c r="E530" s="397" t="s">
        <v>3706</v>
      </c>
      <c r="F530" s="397" t="s">
        <v>191</v>
      </c>
      <c r="G530" s="396">
        <v>1</v>
      </c>
      <c r="H530" s="395">
        <v>44799.110999999997</v>
      </c>
      <c r="I530" s="394">
        <v>460.40000000000003</v>
      </c>
      <c r="J530" s="394">
        <v>63998.73</v>
      </c>
      <c r="K530" s="393" t="s">
        <v>1033</v>
      </c>
    </row>
    <row r="531" spans="1:11" hidden="1" x14ac:dyDescent="0.3">
      <c r="A531" s="397" t="s">
        <v>3642</v>
      </c>
      <c r="C531" s="397" t="s">
        <v>1053</v>
      </c>
      <c r="D531" s="397" t="s">
        <v>3641</v>
      </c>
      <c r="E531" s="397" t="s">
        <v>3640</v>
      </c>
      <c r="F531" s="397" t="s">
        <v>191</v>
      </c>
      <c r="G531" s="396">
        <v>1</v>
      </c>
      <c r="H531" s="395">
        <v>34602.428</v>
      </c>
      <c r="I531" s="394">
        <v>1497.46</v>
      </c>
      <c r="J531" s="394">
        <v>49432.04</v>
      </c>
      <c r="K531" s="393" t="s">
        <v>1033</v>
      </c>
    </row>
    <row r="532" spans="1:11" hidden="1" x14ac:dyDescent="0.3">
      <c r="A532" s="397" t="s">
        <v>3645</v>
      </c>
      <c r="C532" s="397" t="s">
        <v>1053</v>
      </c>
      <c r="D532" s="397" t="s">
        <v>3644</v>
      </c>
      <c r="E532" s="397" t="s">
        <v>3643</v>
      </c>
      <c r="F532" s="397" t="s">
        <v>191</v>
      </c>
      <c r="G532" s="396">
        <v>1</v>
      </c>
      <c r="H532" s="395">
        <v>52311.014000000003</v>
      </c>
      <c r="I532" s="394">
        <v>1854.0900000000001</v>
      </c>
      <c r="J532" s="394">
        <v>74730.02</v>
      </c>
      <c r="K532" s="393" t="s">
        <v>1033</v>
      </c>
    </row>
    <row r="533" spans="1:11" hidden="1" x14ac:dyDescent="0.3">
      <c r="A533" s="397" t="s">
        <v>3705</v>
      </c>
      <c r="C533" s="397" t="s">
        <v>1053</v>
      </c>
      <c r="D533" s="397" t="s">
        <v>3704</v>
      </c>
      <c r="E533" s="397" t="s">
        <v>3703</v>
      </c>
      <c r="F533" s="397" t="s">
        <v>191</v>
      </c>
      <c r="G533" s="396">
        <v>1</v>
      </c>
      <c r="H533" s="395">
        <v>34602.428</v>
      </c>
      <c r="I533" s="394">
        <v>1497.46</v>
      </c>
      <c r="J533" s="394">
        <v>49432.04</v>
      </c>
      <c r="K533" s="393" t="s">
        <v>1033</v>
      </c>
    </row>
    <row r="534" spans="1:11" hidden="1" x14ac:dyDescent="0.3">
      <c r="A534" s="397" t="s">
        <v>3651</v>
      </c>
      <c r="C534" s="397" t="s">
        <v>1053</v>
      </c>
      <c r="D534" s="397" t="s">
        <v>3650</v>
      </c>
      <c r="E534" s="397" t="s">
        <v>3649</v>
      </c>
      <c r="F534" s="397" t="s">
        <v>191</v>
      </c>
      <c r="G534" s="396">
        <v>1</v>
      </c>
      <c r="H534" s="395">
        <v>43611.420999999995</v>
      </c>
      <c r="I534" s="394">
        <v>1021.02</v>
      </c>
      <c r="J534" s="394">
        <v>62302.03</v>
      </c>
      <c r="K534" s="393" t="s">
        <v>1033</v>
      </c>
    </row>
    <row r="535" spans="1:11" hidden="1" x14ac:dyDescent="0.3">
      <c r="A535" s="397" t="s">
        <v>3667</v>
      </c>
      <c r="C535" s="397" t="s">
        <v>1053</v>
      </c>
      <c r="D535" s="397" t="s">
        <v>3666</v>
      </c>
      <c r="E535" s="397" t="s">
        <v>3665</v>
      </c>
      <c r="F535" s="397" t="s">
        <v>191</v>
      </c>
      <c r="G535" s="396">
        <v>3</v>
      </c>
      <c r="H535" s="395">
        <v>103449.47900000001</v>
      </c>
      <c r="I535" s="394">
        <v>895.35</v>
      </c>
      <c r="J535" s="394">
        <v>147784.97</v>
      </c>
      <c r="K535" s="393" t="s">
        <v>1033</v>
      </c>
    </row>
    <row r="536" spans="1:11" hidden="1" x14ac:dyDescent="0.3">
      <c r="A536" s="397" t="s">
        <v>3728</v>
      </c>
      <c r="C536" s="397" t="s">
        <v>1053</v>
      </c>
      <c r="D536" s="397" t="s">
        <v>3727</v>
      </c>
      <c r="E536" s="397" t="s">
        <v>3649</v>
      </c>
      <c r="F536" s="397" t="s">
        <v>191</v>
      </c>
      <c r="G536" s="396">
        <v>1</v>
      </c>
      <c r="H536" s="395">
        <v>48472.606</v>
      </c>
      <c r="I536" s="394">
        <v>33165.53</v>
      </c>
      <c r="J536" s="394">
        <v>69246.58</v>
      </c>
      <c r="K536" s="393" t="s">
        <v>1033</v>
      </c>
    </row>
    <row r="537" spans="1:11" hidden="1" x14ac:dyDescent="0.3">
      <c r="A537" s="397" t="s">
        <v>3710</v>
      </c>
      <c r="C537" s="397" t="s">
        <v>1053</v>
      </c>
      <c r="D537" s="397" t="s">
        <v>3709</v>
      </c>
      <c r="E537" s="397" t="s">
        <v>3649</v>
      </c>
      <c r="F537" s="397" t="s">
        <v>191</v>
      </c>
      <c r="G537" s="396">
        <v>1</v>
      </c>
      <c r="H537" s="395">
        <v>50003.73</v>
      </c>
      <c r="I537" s="394">
        <v>153.27000000000001</v>
      </c>
      <c r="J537" s="394">
        <v>71433.899999999994</v>
      </c>
      <c r="K537" s="393" t="s">
        <v>1033</v>
      </c>
    </row>
    <row r="538" spans="1:11" hidden="1" x14ac:dyDescent="0.3">
      <c r="A538" s="397" t="s">
        <v>3730</v>
      </c>
      <c r="C538" s="397" t="s">
        <v>1053</v>
      </c>
      <c r="D538" s="397" t="s">
        <v>3729</v>
      </c>
      <c r="E538" s="397" t="s">
        <v>3649</v>
      </c>
      <c r="F538" s="397" t="s">
        <v>191</v>
      </c>
      <c r="G538" s="396">
        <v>1</v>
      </c>
      <c r="H538" s="395">
        <v>29447.075000000001</v>
      </c>
      <c r="I538" s="394">
        <v>1676.9</v>
      </c>
      <c r="J538" s="394">
        <v>42067.25</v>
      </c>
      <c r="K538" s="393" t="s">
        <v>1033</v>
      </c>
    </row>
    <row r="539" spans="1:11" hidden="1" x14ac:dyDescent="0.3">
      <c r="A539" s="397" t="s">
        <v>5700</v>
      </c>
      <c r="C539" s="397" t="s">
        <v>1053</v>
      </c>
      <c r="D539" s="397" t="s">
        <v>5699</v>
      </c>
      <c r="E539" s="397" t="s">
        <v>5698</v>
      </c>
      <c r="F539" s="397" t="s">
        <v>191</v>
      </c>
      <c r="G539" s="396">
        <v>1</v>
      </c>
      <c r="H539" s="395">
        <v>46925.9</v>
      </c>
      <c r="I539" s="394">
        <v>44602.73</v>
      </c>
      <c r="J539" s="394">
        <v>67037</v>
      </c>
      <c r="K539" s="393" t="s">
        <v>1033</v>
      </c>
    </row>
    <row r="540" spans="1:11" hidden="1" x14ac:dyDescent="0.3">
      <c r="A540" s="397" t="s">
        <v>1447</v>
      </c>
      <c r="C540" s="397" t="s">
        <v>1053</v>
      </c>
      <c r="D540" s="397" t="s">
        <v>1446</v>
      </c>
      <c r="E540" s="397" t="s">
        <v>1445</v>
      </c>
      <c r="F540" s="397" t="s">
        <v>191</v>
      </c>
      <c r="G540" s="396">
        <v>1</v>
      </c>
      <c r="H540" s="395">
        <v>24950.205000000002</v>
      </c>
      <c r="I540" s="394">
        <v>18271.060000000001</v>
      </c>
      <c r="J540" s="394">
        <v>35643.15</v>
      </c>
      <c r="K540" s="393" t="s">
        <v>1033</v>
      </c>
    </row>
    <row r="541" spans="1:11" hidden="1" x14ac:dyDescent="0.3">
      <c r="A541" s="397" t="s">
        <v>7466</v>
      </c>
      <c r="C541" s="397" t="s">
        <v>1053</v>
      </c>
      <c r="D541" s="397" t="s">
        <v>7465</v>
      </c>
      <c r="E541" s="397" t="s">
        <v>7462</v>
      </c>
      <c r="F541" s="397" t="s">
        <v>191</v>
      </c>
      <c r="G541" s="396">
        <v>2</v>
      </c>
      <c r="H541" s="395">
        <v>79492.504000000001</v>
      </c>
      <c r="I541" s="394">
        <v>74597.41</v>
      </c>
      <c r="J541" s="394">
        <v>113560.72</v>
      </c>
      <c r="K541" s="393" t="s">
        <v>1033</v>
      </c>
    </row>
    <row r="542" spans="1:11" hidden="1" x14ac:dyDescent="0.3">
      <c r="A542" s="397" t="s">
        <v>5706</v>
      </c>
      <c r="C542" s="397" t="s">
        <v>1053</v>
      </c>
      <c r="D542" s="397" t="s">
        <v>5705</v>
      </c>
      <c r="E542" s="397" t="s">
        <v>5704</v>
      </c>
      <c r="F542" s="397" t="s">
        <v>191</v>
      </c>
      <c r="G542" s="396">
        <v>1</v>
      </c>
      <c r="H542" s="395">
        <v>62254.080000000002</v>
      </c>
      <c r="I542" s="394">
        <v>57651.090000000004</v>
      </c>
      <c r="J542" s="394">
        <v>88934.400000000009</v>
      </c>
      <c r="K542" s="393" t="s">
        <v>1033</v>
      </c>
    </row>
    <row r="543" spans="1:11" hidden="1" x14ac:dyDescent="0.3">
      <c r="A543" s="397" t="s">
        <v>5717</v>
      </c>
      <c r="C543" s="397" t="s">
        <v>1053</v>
      </c>
      <c r="D543" s="397" t="s">
        <v>5716</v>
      </c>
      <c r="E543" s="397" t="s">
        <v>5715</v>
      </c>
      <c r="F543" s="397" t="s">
        <v>191</v>
      </c>
      <c r="G543" s="396">
        <v>1</v>
      </c>
      <c r="H543" s="395">
        <v>62254.080000000002</v>
      </c>
      <c r="I543" s="394">
        <v>57651.090000000004</v>
      </c>
      <c r="J543" s="394">
        <v>88934.400000000009</v>
      </c>
      <c r="K543" s="393" t="s">
        <v>1033</v>
      </c>
    </row>
    <row r="544" spans="1:11" hidden="1" x14ac:dyDescent="0.3">
      <c r="A544" s="397" t="s">
        <v>7542</v>
      </c>
      <c r="C544" s="397" t="s">
        <v>1053</v>
      </c>
      <c r="D544" s="397" t="s">
        <v>7541</v>
      </c>
      <c r="E544" s="397" t="s">
        <v>2396</v>
      </c>
      <c r="F544" s="397" t="s">
        <v>191</v>
      </c>
      <c r="G544" s="396">
        <v>2</v>
      </c>
      <c r="H544" s="395">
        <v>309.09900000000005</v>
      </c>
      <c r="I544" s="394">
        <v>240.19</v>
      </c>
      <c r="J544" s="394">
        <v>441.57</v>
      </c>
      <c r="K544" s="393" t="s">
        <v>1033</v>
      </c>
    </row>
    <row r="545" spans="1:12" hidden="1" x14ac:dyDescent="0.3">
      <c r="A545" s="397" t="s">
        <v>6312</v>
      </c>
      <c r="C545" s="397" t="s">
        <v>1053</v>
      </c>
      <c r="D545" s="397" t="s">
        <v>6311</v>
      </c>
      <c r="E545" s="397" t="s">
        <v>6184</v>
      </c>
      <c r="F545" s="397" t="s">
        <v>191</v>
      </c>
      <c r="G545" s="396">
        <v>2</v>
      </c>
      <c r="H545" s="395">
        <v>42596.029000000002</v>
      </c>
      <c r="I545" s="394">
        <v>662.85</v>
      </c>
      <c r="J545" s="394">
        <v>60851.47</v>
      </c>
      <c r="K545" s="393" t="s">
        <v>1033</v>
      </c>
    </row>
    <row r="546" spans="1:12" hidden="1" x14ac:dyDescent="0.3">
      <c r="A546" s="397" t="s">
        <v>6553</v>
      </c>
      <c r="C546" s="397" t="s">
        <v>1053</v>
      </c>
      <c r="D546" s="397" t="s">
        <v>6552</v>
      </c>
      <c r="E546" s="397" t="s">
        <v>6551</v>
      </c>
      <c r="F546" s="397" t="s">
        <v>191</v>
      </c>
      <c r="G546" s="396">
        <v>2</v>
      </c>
      <c r="H546" s="395">
        <v>31536.393</v>
      </c>
      <c r="I546" s="394">
        <v>3619.17</v>
      </c>
      <c r="J546" s="394">
        <v>45051.99</v>
      </c>
      <c r="K546" s="393" t="s">
        <v>1033</v>
      </c>
      <c r="L546" s="395">
        <v>1</v>
      </c>
    </row>
    <row r="547" spans="1:12" hidden="1" x14ac:dyDescent="0.3">
      <c r="A547" s="397" t="s">
        <v>6557</v>
      </c>
      <c r="C547" s="397" t="s">
        <v>1053</v>
      </c>
      <c r="D547" s="397" t="s">
        <v>6556</v>
      </c>
      <c r="E547" s="397" t="s">
        <v>6551</v>
      </c>
      <c r="F547" s="397" t="s">
        <v>191</v>
      </c>
      <c r="G547" s="396">
        <v>1</v>
      </c>
      <c r="H547" s="395">
        <v>29784.37</v>
      </c>
      <c r="I547" s="394">
        <v>565.25</v>
      </c>
      <c r="J547" s="394">
        <v>42549.1</v>
      </c>
      <c r="K547" s="393" t="s">
        <v>1033</v>
      </c>
      <c r="L547" s="395">
        <v>2</v>
      </c>
    </row>
    <row r="548" spans="1:12" hidden="1" x14ac:dyDescent="0.3">
      <c r="A548" s="397" t="s">
        <v>7472</v>
      </c>
      <c r="C548" s="397" t="s">
        <v>1053</v>
      </c>
      <c r="D548" s="397" t="s">
        <v>7471</v>
      </c>
      <c r="E548" s="397" t="s">
        <v>7470</v>
      </c>
      <c r="F548" s="397" t="s">
        <v>191</v>
      </c>
      <c r="G548" s="396">
        <v>1</v>
      </c>
      <c r="H548" s="395">
        <v>161021.75599999999</v>
      </c>
      <c r="I548" s="394">
        <v>115136.91</v>
      </c>
      <c r="J548" s="394">
        <v>230031.08000000002</v>
      </c>
      <c r="K548" s="393" t="s">
        <v>1033</v>
      </c>
    </row>
    <row r="549" spans="1:12" hidden="1" x14ac:dyDescent="0.3">
      <c r="A549" s="397" t="s">
        <v>6192</v>
      </c>
      <c r="C549" s="397" t="s">
        <v>1053</v>
      </c>
      <c r="D549" s="397" t="s">
        <v>6191</v>
      </c>
      <c r="E549" s="397" t="s">
        <v>6190</v>
      </c>
      <c r="F549" s="397" t="s">
        <v>191</v>
      </c>
      <c r="G549" s="396">
        <v>2</v>
      </c>
      <c r="H549" s="395">
        <v>52651.430999999997</v>
      </c>
      <c r="I549" s="394">
        <v>50.620000000000005</v>
      </c>
      <c r="J549" s="394">
        <v>75216.33</v>
      </c>
      <c r="K549" s="393" t="s">
        <v>1033</v>
      </c>
    </row>
    <row r="550" spans="1:12" hidden="1" x14ac:dyDescent="0.3">
      <c r="A550" s="397" t="s">
        <v>7475</v>
      </c>
      <c r="C550" s="397" t="s">
        <v>1053</v>
      </c>
      <c r="D550" s="397" t="s">
        <v>7474</v>
      </c>
      <c r="E550" s="397" t="s">
        <v>7473</v>
      </c>
      <c r="F550" s="397" t="s">
        <v>191</v>
      </c>
      <c r="G550" s="396">
        <v>1</v>
      </c>
      <c r="H550" s="395">
        <v>29527.582000000002</v>
      </c>
      <c r="I550" s="394">
        <v>27089.53</v>
      </c>
      <c r="J550" s="394">
        <v>42182.26</v>
      </c>
      <c r="K550" s="393" t="s">
        <v>1033</v>
      </c>
    </row>
    <row r="551" spans="1:12" hidden="1" x14ac:dyDescent="0.3">
      <c r="A551" s="397" t="s">
        <v>7547</v>
      </c>
      <c r="C551" s="397" t="s">
        <v>1053</v>
      </c>
      <c r="D551" s="397" t="s">
        <v>7546</v>
      </c>
      <c r="E551" s="397" t="s">
        <v>7545</v>
      </c>
      <c r="F551" s="397" t="s">
        <v>191</v>
      </c>
      <c r="G551" s="396">
        <v>1</v>
      </c>
      <c r="H551" s="395">
        <v>25723.999</v>
      </c>
      <c r="I551" s="394">
        <v>222.95000000000002</v>
      </c>
      <c r="J551" s="394">
        <v>36748.57</v>
      </c>
      <c r="K551" s="393" t="s">
        <v>1033</v>
      </c>
    </row>
    <row r="552" spans="1:12" hidden="1" x14ac:dyDescent="0.3">
      <c r="A552" s="397" t="s">
        <v>6555</v>
      </c>
      <c r="C552" s="397" t="s">
        <v>1053</v>
      </c>
      <c r="D552" s="397" t="s">
        <v>6554</v>
      </c>
      <c r="E552" s="397" t="s">
        <v>6551</v>
      </c>
      <c r="F552" s="397" t="s">
        <v>191</v>
      </c>
      <c r="G552" s="396">
        <v>2</v>
      </c>
      <c r="H552" s="395">
        <v>40963.72</v>
      </c>
      <c r="I552" s="394">
        <v>30823.14</v>
      </c>
      <c r="J552" s="394">
        <v>58519.6</v>
      </c>
      <c r="K552" s="393" t="s">
        <v>1033</v>
      </c>
    </row>
    <row r="553" spans="1:12" hidden="1" x14ac:dyDescent="0.3">
      <c r="A553" s="397" t="s">
        <v>3914</v>
      </c>
      <c r="C553" s="397" t="s">
        <v>1053</v>
      </c>
      <c r="D553" s="397" t="s">
        <v>3913</v>
      </c>
      <c r="E553" s="397" t="s">
        <v>3910</v>
      </c>
      <c r="F553" s="397" t="s">
        <v>191</v>
      </c>
      <c r="G553" s="396">
        <v>1</v>
      </c>
      <c r="H553" s="395">
        <v>86506.07699999999</v>
      </c>
      <c r="I553" s="394">
        <v>6447.45</v>
      </c>
      <c r="J553" s="394">
        <v>123580.11</v>
      </c>
      <c r="K553" s="393" t="s">
        <v>1033</v>
      </c>
    </row>
    <row r="554" spans="1:12" hidden="1" x14ac:dyDescent="0.3">
      <c r="A554" s="397" t="s">
        <v>3912</v>
      </c>
      <c r="C554" s="397" t="s">
        <v>1053</v>
      </c>
      <c r="D554" s="397" t="s">
        <v>3911</v>
      </c>
      <c r="E554" s="397" t="s">
        <v>3910</v>
      </c>
      <c r="F554" s="397" t="s">
        <v>191</v>
      </c>
      <c r="G554" s="396">
        <v>1</v>
      </c>
      <c r="H554" s="395">
        <v>7719.8450000000003</v>
      </c>
      <c r="I554" s="394">
        <v>568.63</v>
      </c>
      <c r="J554" s="394">
        <v>11028.35</v>
      </c>
      <c r="K554" s="393" t="s">
        <v>1033</v>
      </c>
    </row>
    <row r="555" spans="1:12" hidden="1" x14ac:dyDescent="0.3">
      <c r="A555" s="397" t="s">
        <v>7544</v>
      </c>
      <c r="C555" s="397" t="s">
        <v>1053</v>
      </c>
      <c r="D555" s="397" t="s">
        <v>7543</v>
      </c>
      <c r="E555" s="397" t="s">
        <v>2396</v>
      </c>
      <c r="F555" s="397" t="s">
        <v>191</v>
      </c>
      <c r="G555" s="396">
        <v>1</v>
      </c>
      <c r="H555" s="395">
        <v>41535.998</v>
      </c>
      <c r="I555" s="394">
        <v>1803.78</v>
      </c>
      <c r="J555" s="394">
        <v>59337.14</v>
      </c>
      <c r="K555" s="393" t="s">
        <v>1033</v>
      </c>
    </row>
    <row r="556" spans="1:12" hidden="1" x14ac:dyDescent="0.3">
      <c r="A556" s="397" t="s">
        <v>7536</v>
      </c>
      <c r="C556" s="397" t="s">
        <v>1053</v>
      </c>
      <c r="D556" s="397" t="s">
        <v>7535</v>
      </c>
      <c r="E556" s="397" t="s">
        <v>7534</v>
      </c>
      <c r="F556" s="397" t="s">
        <v>191</v>
      </c>
      <c r="G556" s="396">
        <v>5</v>
      </c>
      <c r="H556" s="395">
        <v>30680.195</v>
      </c>
      <c r="I556" s="394">
        <v>5366.09</v>
      </c>
      <c r="J556" s="394">
        <v>43828.85</v>
      </c>
      <c r="K556" s="393" t="s">
        <v>1033</v>
      </c>
    </row>
    <row r="557" spans="1:12" hidden="1" x14ac:dyDescent="0.3">
      <c r="A557" s="397" t="s">
        <v>8223</v>
      </c>
      <c r="C557" s="397" t="s">
        <v>1053</v>
      </c>
      <c r="D557" s="397" t="s">
        <v>8222</v>
      </c>
      <c r="E557" s="397" t="s">
        <v>8215</v>
      </c>
      <c r="F557" s="397" t="s">
        <v>191</v>
      </c>
      <c r="G557" s="396">
        <v>1</v>
      </c>
      <c r="H557" s="395">
        <v>174937.413</v>
      </c>
      <c r="I557" s="394">
        <v>726.6</v>
      </c>
      <c r="J557" s="394">
        <v>249910.59</v>
      </c>
      <c r="K557" s="393" t="s">
        <v>1033</v>
      </c>
    </row>
    <row r="558" spans="1:12" hidden="1" x14ac:dyDescent="0.3">
      <c r="A558" s="397" t="s">
        <v>8228</v>
      </c>
      <c r="C558" s="397" t="s">
        <v>1053</v>
      </c>
      <c r="D558" s="397" t="s">
        <v>8227</v>
      </c>
      <c r="E558" s="397" t="s">
        <v>8215</v>
      </c>
      <c r="F558" s="397" t="s">
        <v>191</v>
      </c>
      <c r="G558" s="396">
        <v>1</v>
      </c>
      <c r="H558" s="395">
        <v>166890.15</v>
      </c>
      <c r="I558" s="394">
        <v>567.16</v>
      </c>
      <c r="J558" s="394">
        <v>238414.5</v>
      </c>
      <c r="K558" s="393" t="s">
        <v>1033</v>
      </c>
    </row>
    <row r="559" spans="1:12" hidden="1" x14ac:dyDescent="0.3">
      <c r="A559" s="397" t="s">
        <v>8221</v>
      </c>
      <c r="C559" s="397" t="s">
        <v>1053</v>
      </c>
      <c r="D559" s="397" t="s">
        <v>8220</v>
      </c>
      <c r="E559" s="397" t="s">
        <v>8215</v>
      </c>
      <c r="F559" s="397" t="s">
        <v>191</v>
      </c>
      <c r="G559" s="396">
        <v>1</v>
      </c>
      <c r="H559" s="395">
        <v>2355.4720000000002</v>
      </c>
      <c r="I559" s="394">
        <v>44.21</v>
      </c>
      <c r="J559" s="394">
        <v>3364.96</v>
      </c>
      <c r="K559" s="393" t="s">
        <v>1033</v>
      </c>
    </row>
    <row r="560" spans="1:12" hidden="1" x14ac:dyDescent="0.3">
      <c r="A560" s="397" t="s">
        <v>8230</v>
      </c>
      <c r="C560" s="397" t="s">
        <v>1053</v>
      </c>
      <c r="D560" s="397" t="s">
        <v>8229</v>
      </c>
      <c r="E560" s="397" t="s">
        <v>8215</v>
      </c>
      <c r="F560" s="397" t="s">
        <v>191</v>
      </c>
      <c r="G560" s="396">
        <v>1</v>
      </c>
      <c r="H560" s="395">
        <v>142336.55100000001</v>
      </c>
      <c r="I560" s="394">
        <v>570.51</v>
      </c>
      <c r="J560" s="394">
        <v>203337.93</v>
      </c>
      <c r="K560" s="393" t="s">
        <v>1033</v>
      </c>
    </row>
    <row r="561" spans="1:12" hidden="1" x14ac:dyDescent="0.3">
      <c r="A561" s="397" t="s">
        <v>5555</v>
      </c>
      <c r="C561" s="397" t="s">
        <v>1053</v>
      </c>
      <c r="D561" s="397" t="s">
        <v>7469</v>
      </c>
      <c r="E561" s="397" t="s">
        <v>7467</v>
      </c>
      <c r="F561" s="397" t="s">
        <v>191</v>
      </c>
      <c r="G561" s="396">
        <v>5</v>
      </c>
      <c r="H561" s="395">
        <v>72387.839999999997</v>
      </c>
      <c r="I561" s="394">
        <v>69647.990000000005</v>
      </c>
      <c r="J561" s="394">
        <v>103411.2</v>
      </c>
      <c r="K561" s="393" t="s">
        <v>1033</v>
      </c>
    </row>
    <row r="562" spans="1:12" hidden="1" x14ac:dyDescent="0.3">
      <c r="A562" s="397" t="s">
        <v>6541</v>
      </c>
      <c r="C562" s="397" t="s">
        <v>1053</v>
      </c>
      <c r="D562" s="397" t="s">
        <v>6540</v>
      </c>
      <c r="E562" s="397" t="s">
        <v>6539</v>
      </c>
      <c r="F562" s="397" t="s">
        <v>191</v>
      </c>
      <c r="G562" s="396">
        <v>1</v>
      </c>
      <c r="H562" s="395">
        <v>52259.529000000002</v>
      </c>
      <c r="I562" s="394">
        <v>3268.2000000000003</v>
      </c>
      <c r="J562" s="394">
        <v>74656.47</v>
      </c>
      <c r="K562" s="393" t="s">
        <v>1033</v>
      </c>
    </row>
    <row r="563" spans="1:12" hidden="1" x14ac:dyDescent="0.3">
      <c r="A563" s="397" t="s">
        <v>7900</v>
      </c>
      <c r="C563" s="397" t="s">
        <v>1053</v>
      </c>
      <c r="D563" s="397" t="s">
        <v>7899</v>
      </c>
      <c r="E563" s="397" t="s">
        <v>7898</v>
      </c>
      <c r="F563" s="397" t="s">
        <v>191</v>
      </c>
      <c r="G563" s="396">
        <v>1</v>
      </c>
      <c r="H563" s="395">
        <v>22351.966</v>
      </c>
      <c r="I563" s="394">
        <v>101.41</v>
      </c>
      <c r="J563" s="394">
        <v>31931.38</v>
      </c>
      <c r="K563" s="393" t="s">
        <v>1033</v>
      </c>
    </row>
    <row r="564" spans="1:12" hidden="1" x14ac:dyDescent="0.3">
      <c r="A564" s="397" t="s">
        <v>3909</v>
      </c>
      <c r="C564" s="397" t="s">
        <v>1053</v>
      </c>
      <c r="D564" s="397" t="s">
        <v>3908</v>
      </c>
      <c r="E564" s="397" t="s">
        <v>3907</v>
      </c>
      <c r="F564" s="397" t="s">
        <v>191</v>
      </c>
      <c r="G564" s="396">
        <v>1</v>
      </c>
      <c r="H564" s="395">
        <v>111487.13800000001</v>
      </c>
      <c r="I564" s="394">
        <v>579.41999999999996</v>
      </c>
      <c r="J564" s="394">
        <v>159267.34</v>
      </c>
      <c r="K564" s="393" t="s">
        <v>1033</v>
      </c>
    </row>
    <row r="565" spans="1:12" hidden="1" x14ac:dyDescent="0.3">
      <c r="A565" s="397" t="s">
        <v>621</v>
      </c>
      <c r="C565" s="397" t="s">
        <v>1053</v>
      </c>
      <c r="D565" s="397" t="s">
        <v>193</v>
      </c>
      <c r="E565" s="397" t="s">
        <v>192</v>
      </c>
      <c r="F565" s="397" t="s">
        <v>191</v>
      </c>
      <c r="G565" s="396">
        <v>6</v>
      </c>
      <c r="H565" s="395">
        <v>131968.76699999999</v>
      </c>
      <c r="I565" s="394">
        <v>130736.29000000001</v>
      </c>
      <c r="J565" s="394">
        <v>188526.81</v>
      </c>
      <c r="K565" s="393" t="s">
        <v>1033</v>
      </c>
      <c r="L565" s="395">
        <v>4</v>
      </c>
    </row>
    <row r="566" spans="1:12" hidden="1" x14ac:dyDescent="0.3">
      <c r="A566" s="397" t="s">
        <v>646</v>
      </c>
      <c r="C566" s="397" t="s">
        <v>1053</v>
      </c>
      <c r="D566" s="397" t="s">
        <v>598</v>
      </c>
      <c r="E566" s="397" t="s">
        <v>599</v>
      </c>
      <c r="F566" s="397" t="s">
        <v>191</v>
      </c>
      <c r="G566" s="396">
        <v>2</v>
      </c>
      <c r="H566" s="395">
        <v>93232.895000000004</v>
      </c>
      <c r="I566" s="394">
        <v>92062.05</v>
      </c>
      <c r="J566" s="394">
        <v>133189.85</v>
      </c>
      <c r="K566" s="393" t="s">
        <v>1033</v>
      </c>
      <c r="L566" s="395">
        <v>1</v>
      </c>
    </row>
    <row r="567" spans="1:12" hidden="1" x14ac:dyDescent="0.3">
      <c r="A567" s="397" t="s">
        <v>590</v>
      </c>
      <c r="C567" s="397" t="s">
        <v>1053</v>
      </c>
      <c r="D567" s="397" t="s">
        <v>585</v>
      </c>
      <c r="E567" s="397" t="s">
        <v>586</v>
      </c>
      <c r="F567" s="397" t="s">
        <v>191</v>
      </c>
      <c r="G567" s="396">
        <v>5</v>
      </c>
      <c r="H567" s="395">
        <v>50318.149000000005</v>
      </c>
      <c r="I567" s="394">
        <v>49428.43</v>
      </c>
      <c r="J567" s="394">
        <v>71883.070000000007</v>
      </c>
      <c r="K567" s="393" t="s">
        <v>1033</v>
      </c>
    </row>
    <row r="568" spans="1:12" hidden="1" x14ac:dyDescent="0.3">
      <c r="A568" s="397" t="s">
        <v>5927</v>
      </c>
      <c r="C568" s="397" t="s">
        <v>1053</v>
      </c>
      <c r="D568" s="397" t="s">
        <v>5926</v>
      </c>
      <c r="E568" s="397" t="s">
        <v>5925</v>
      </c>
      <c r="F568" s="397" t="s">
        <v>191</v>
      </c>
      <c r="G568" s="396">
        <v>5</v>
      </c>
      <c r="H568" s="395">
        <v>50318.149000000005</v>
      </c>
      <c r="I568" s="394">
        <v>49428.43</v>
      </c>
      <c r="J568" s="394">
        <v>71883.070000000007</v>
      </c>
      <c r="K568" s="393" t="s">
        <v>1033</v>
      </c>
    </row>
    <row r="569" spans="1:12" hidden="1" x14ac:dyDescent="0.3">
      <c r="A569" s="397" t="s">
        <v>671</v>
      </c>
      <c r="C569" s="397" t="s">
        <v>1053</v>
      </c>
      <c r="D569" s="397" t="s">
        <v>600</v>
      </c>
      <c r="E569" s="397" t="s">
        <v>601</v>
      </c>
      <c r="F569" s="397" t="s">
        <v>191</v>
      </c>
      <c r="G569" s="396">
        <v>3</v>
      </c>
      <c r="H569" s="395">
        <v>93232.895000000004</v>
      </c>
      <c r="I569" s="394">
        <v>92062.05</v>
      </c>
      <c r="J569" s="394">
        <v>133189.85</v>
      </c>
      <c r="K569" s="393" t="s">
        <v>1033</v>
      </c>
      <c r="L569" s="395">
        <v>1</v>
      </c>
    </row>
    <row r="570" spans="1:12" hidden="1" x14ac:dyDescent="0.3">
      <c r="A570" s="397" t="s">
        <v>2401</v>
      </c>
      <c r="C570" s="397" t="s">
        <v>1053</v>
      </c>
      <c r="D570" s="397" t="s">
        <v>2400</v>
      </c>
      <c r="E570" s="397" t="s">
        <v>2399</v>
      </c>
      <c r="F570" s="397" t="s">
        <v>191</v>
      </c>
      <c r="G570" s="396">
        <v>9</v>
      </c>
      <c r="H570" s="395">
        <v>38942.946000000004</v>
      </c>
      <c r="I570" s="394">
        <v>55.5</v>
      </c>
      <c r="J570" s="394">
        <v>55632.78</v>
      </c>
      <c r="K570" s="393" t="s">
        <v>1033</v>
      </c>
    </row>
    <row r="571" spans="1:12" hidden="1" x14ac:dyDescent="0.3">
      <c r="A571" s="397" t="s">
        <v>2398</v>
      </c>
      <c r="C571" s="397" t="s">
        <v>1053</v>
      </c>
      <c r="D571" s="397" t="s">
        <v>2397</v>
      </c>
      <c r="E571" s="397" t="s">
        <v>2396</v>
      </c>
      <c r="F571" s="397" t="s">
        <v>191</v>
      </c>
      <c r="G571" s="396">
        <v>4</v>
      </c>
      <c r="H571" s="395">
        <v>40355.385000000002</v>
      </c>
      <c r="I571" s="394">
        <v>1667.0900000000001</v>
      </c>
      <c r="J571" s="394">
        <v>57650.55</v>
      </c>
      <c r="K571" s="393" t="s">
        <v>1033</v>
      </c>
    </row>
    <row r="572" spans="1:12" hidden="1" x14ac:dyDescent="0.3">
      <c r="A572" s="397" t="s">
        <v>7478</v>
      </c>
      <c r="C572" s="397" t="s">
        <v>1053</v>
      </c>
      <c r="D572" s="397" t="s">
        <v>7477</v>
      </c>
      <c r="E572" s="397" t="s">
        <v>7476</v>
      </c>
      <c r="F572" s="397" t="s">
        <v>191</v>
      </c>
      <c r="G572" s="396">
        <v>6</v>
      </c>
      <c r="H572" s="395">
        <v>184677.17100000003</v>
      </c>
      <c r="I572" s="394">
        <v>177733.36000000002</v>
      </c>
      <c r="J572" s="394">
        <v>263824.53000000003</v>
      </c>
      <c r="K572" s="393" t="s">
        <v>1033</v>
      </c>
    </row>
    <row r="573" spans="1:12" hidden="1" x14ac:dyDescent="0.3">
      <c r="A573" s="397" t="s">
        <v>7377</v>
      </c>
      <c r="C573" s="397" t="s">
        <v>1053</v>
      </c>
      <c r="D573" s="397" t="s">
        <v>7376</v>
      </c>
      <c r="E573" s="397" t="s">
        <v>7375</v>
      </c>
      <c r="F573" s="397" t="s">
        <v>191</v>
      </c>
      <c r="G573" s="396">
        <v>1</v>
      </c>
      <c r="H573" s="395">
        <v>181897.08600000001</v>
      </c>
      <c r="I573" s="394">
        <v>15712.01</v>
      </c>
      <c r="J573" s="394">
        <v>259852.98</v>
      </c>
      <c r="K573" s="393" t="s">
        <v>1033</v>
      </c>
    </row>
    <row r="574" spans="1:12" hidden="1" x14ac:dyDescent="0.3">
      <c r="A574" s="397" t="s">
        <v>7540</v>
      </c>
      <c r="C574" s="397" t="s">
        <v>1053</v>
      </c>
      <c r="D574" s="397" t="s">
        <v>7539</v>
      </c>
      <c r="E574" s="397" t="s">
        <v>2396</v>
      </c>
      <c r="F574" s="397" t="s">
        <v>191</v>
      </c>
      <c r="G574" s="396">
        <v>1</v>
      </c>
      <c r="H574" s="395">
        <v>39964.532999999996</v>
      </c>
      <c r="I574" s="394">
        <v>140.13</v>
      </c>
      <c r="J574" s="394">
        <v>57092.19</v>
      </c>
      <c r="K574" s="393" t="s">
        <v>1033</v>
      </c>
    </row>
    <row r="575" spans="1:12" hidden="1" x14ac:dyDescent="0.3">
      <c r="A575" s="397" t="s">
        <v>7146</v>
      </c>
      <c r="C575" s="397" t="s">
        <v>1053</v>
      </c>
      <c r="D575" s="397" t="s">
        <v>483</v>
      </c>
      <c r="E575" s="397" t="s">
        <v>258</v>
      </c>
      <c r="F575" s="397" t="s">
        <v>191</v>
      </c>
      <c r="G575" s="396">
        <v>4</v>
      </c>
      <c r="H575" s="395">
        <v>605890.21499999997</v>
      </c>
      <c r="I575" s="394">
        <v>586205.9</v>
      </c>
      <c r="J575" s="394">
        <v>865557.45000000007</v>
      </c>
      <c r="K575" s="393" t="s">
        <v>1033</v>
      </c>
    </row>
    <row r="576" spans="1:12" hidden="1" x14ac:dyDescent="0.3">
      <c r="A576" s="397" t="s">
        <v>7111</v>
      </c>
      <c r="C576" s="397" t="s">
        <v>1053</v>
      </c>
      <c r="D576" s="397" t="s">
        <v>7110</v>
      </c>
      <c r="E576" s="397" t="s">
        <v>7109</v>
      </c>
      <c r="F576" s="397" t="s">
        <v>191</v>
      </c>
      <c r="G576" s="396">
        <v>4</v>
      </c>
      <c r="H576" s="395">
        <v>524906.09499999997</v>
      </c>
      <c r="I576" s="394">
        <v>508104.75</v>
      </c>
      <c r="J576" s="394">
        <v>749865.85</v>
      </c>
      <c r="K576" s="393" t="s">
        <v>1033</v>
      </c>
    </row>
    <row r="577" spans="1:12" hidden="1" x14ac:dyDescent="0.3">
      <c r="A577" s="397" t="s">
        <v>7437</v>
      </c>
      <c r="C577" s="397" t="s">
        <v>1053</v>
      </c>
      <c r="D577" s="397" t="s">
        <v>7436</v>
      </c>
      <c r="E577" s="397" t="s">
        <v>7433</v>
      </c>
      <c r="F577" s="397" t="s">
        <v>191</v>
      </c>
      <c r="G577" s="396">
        <v>1</v>
      </c>
      <c r="H577" s="395">
        <v>210492.26100000003</v>
      </c>
      <c r="I577" s="394">
        <v>801.55000000000007</v>
      </c>
      <c r="J577" s="394">
        <v>300703.23</v>
      </c>
      <c r="K577" s="393" t="s">
        <v>1033</v>
      </c>
    </row>
    <row r="578" spans="1:12" hidden="1" x14ac:dyDescent="0.3">
      <c r="A578" s="397" t="s">
        <v>4424</v>
      </c>
      <c r="C578" s="397" t="s">
        <v>1053</v>
      </c>
      <c r="D578" s="397" t="s">
        <v>4423</v>
      </c>
      <c r="E578" s="397" t="s">
        <v>4422</v>
      </c>
      <c r="F578" s="397" t="s">
        <v>191</v>
      </c>
      <c r="G578" s="396">
        <v>4</v>
      </c>
      <c r="H578" s="395">
        <v>55482.580999999998</v>
      </c>
      <c r="I578" s="394">
        <v>55000.21</v>
      </c>
      <c r="J578" s="394">
        <v>79260.83</v>
      </c>
      <c r="K578" s="393" t="s">
        <v>1033</v>
      </c>
    </row>
    <row r="579" spans="1:12" hidden="1" x14ac:dyDescent="0.3">
      <c r="A579" s="397" t="s">
        <v>7942</v>
      </c>
      <c r="C579" s="397" t="s">
        <v>1053</v>
      </c>
      <c r="D579" s="397" t="s">
        <v>7941</v>
      </c>
      <c r="E579" s="397" t="s">
        <v>7940</v>
      </c>
      <c r="F579" s="397" t="s">
        <v>191</v>
      </c>
      <c r="G579" s="396">
        <v>2</v>
      </c>
      <c r="H579" s="395">
        <v>213095.73600000003</v>
      </c>
      <c r="I579" s="394">
        <v>212504.72</v>
      </c>
      <c r="J579" s="394">
        <v>304422.48</v>
      </c>
      <c r="K579" s="393" t="s">
        <v>1033</v>
      </c>
    </row>
    <row r="580" spans="1:12" hidden="1" x14ac:dyDescent="0.3">
      <c r="A580" s="397" t="s">
        <v>372</v>
      </c>
      <c r="C580" s="397" t="s">
        <v>1053</v>
      </c>
      <c r="D580" s="397" t="s">
        <v>533</v>
      </c>
      <c r="E580" s="397" t="s">
        <v>534</v>
      </c>
      <c r="F580" s="397" t="s">
        <v>191</v>
      </c>
      <c r="G580" s="396">
        <v>7</v>
      </c>
      <c r="H580" s="395">
        <v>165561.71100000001</v>
      </c>
      <c r="I580" s="394">
        <v>160201.24</v>
      </c>
      <c r="J580" s="394">
        <v>236516.73</v>
      </c>
      <c r="K580" s="393" t="s">
        <v>1033</v>
      </c>
      <c r="L580" s="395">
        <v>8</v>
      </c>
    </row>
    <row r="581" spans="1:12" hidden="1" x14ac:dyDescent="0.3">
      <c r="A581" s="397" t="s">
        <v>6682</v>
      </c>
      <c r="C581" s="397" t="s">
        <v>1053</v>
      </c>
      <c r="D581" s="397" t="s">
        <v>531</v>
      </c>
      <c r="E581" s="397" t="s">
        <v>525</v>
      </c>
      <c r="F581" s="397" t="s">
        <v>191</v>
      </c>
      <c r="G581" s="396">
        <v>4</v>
      </c>
      <c r="H581" s="395">
        <v>165378.269</v>
      </c>
      <c r="I581" s="394">
        <v>158439.29999999999</v>
      </c>
      <c r="J581" s="394">
        <v>236254.67</v>
      </c>
      <c r="K581" s="393" t="s">
        <v>1033</v>
      </c>
    </row>
    <row r="582" spans="1:12" hidden="1" x14ac:dyDescent="0.3">
      <c r="A582" s="397" t="s">
        <v>630</v>
      </c>
      <c r="C582" s="397" t="s">
        <v>1053</v>
      </c>
      <c r="D582" s="397" t="s">
        <v>6009</v>
      </c>
      <c r="E582" s="397" t="s">
        <v>471</v>
      </c>
      <c r="F582" s="397" t="s">
        <v>191</v>
      </c>
      <c r="G582" s="396">
        <v>3</v>
      </c>
      <c r="H582" s="395">
        <v>71374.464000000007</v>
      </c>
      <c r="I582" s="394">
        <v>251.8</v>
      </c>
      <c r="J582" s="394">
        <v>101963.52</v>
      </c>
      <c r="K582" s="393" t="s">
        <v>1033</v>
      </c>
    </row>
    <row r="583" spans="1:12" hidden="1" x14ac:dyDescent="0.3">
      <c r="A583" s="397" t="s">
        <v>6003</v>
      </c>
      <c r="C583" s="397" t="s">
        <v>1053</v>
      </c>
      <c r="D583" s="397" t="s">
        <v>6002</v>
      </c>
      <c r="E583" s="397" t="s">
        <v>471</v>
      </c>
      <c r="F583" s="397" t="s">
        <v>191</v>
      </c>
      <c r="G583" s="396">
        <v>2</v>
      </c>
      <c r="H583" s="395">
        <v>71374.464000000007</v>
      </c>
      <c r="I583" s="394">
        <v>251.8</v>
      </c>
      <c r="J583" s="394">
        <v>101963.52</v>
      </c>
      <c r="K583" s="393" t="s">
        <v>1033</v>
      </c>
    </row>
    <row r="584" spans="1:12" hidden="1" x14ac:dyDescent="0.3">
      <c r="A584" s="397" t="s">
        <v>6013</v>
      </c>
      <c r="C584" s="397" t="s">
        <v>1053</v>
      </c>
      <c r="D584" s="397" t="s">
        <v>6012</v>
      </c>
      <c r="E584" s="397" t="s">
        <v>5999</v>
      </c>
      <c r="F584" s="397" t="s">
        <v>191</v>
      </c>
      <c r="G584" s="396">
        <v>1</v>
      </c>
      <c r="H584" s="395">
        <v>32624.851000000002</v>
      </c>
      <c r="I584" s="394">
        <v>133.34</v>
      </c>
      <c r="J584" s="394">
        <v>46606.93</v>
      </c>
      <c r="K584" s="393" t="s">
        <v>1033</v>
      </c>
    </row>
    <row r="585" spans="1:12" hidden="1" x14ac:dyDescent="0.3">
      <c r="A585" s="397" t="s">
        <v>6011</v>
      </c>
      <c r="C585" s="397" t="s">
        <v>1053</v>
      </c>
      <c r="D585" s="397" t="s">
        <v>6010</v>
      </c>
      <c r="E585" s="397" t="s">
        <v>5999</v>
      </c>
      <c r="F585" s="397" t="s">
        <v>191</v>
      </c>
      <c r="G585" s="396">
        <v>2</v>
      </c>
      <c r="H585" s="395">
        <v>32624.851000000002</v>
      </c>
      <c r="I585" s="394">
        <v>133.34</v>
      </c>
      <c r="J585" s="394">
        <v>46606.93</v>
      </c>
      <c r="K585" s="393" t="s">
        <v>1033</v>
      </c>
    </row>
    <row r="586" spans="1:12" hidden="1" x14ac:dyDescent="0.3">
      <c r="A586" s="397" t="s">
        <v>6008</v>
      </c>
      <c r="C586" s="397" t="s">
        <v>1053</v>
      </c>
      <c r="D586" s="397" t="s">
        <v>6007</v>
      </c>
      <c r="E586" s="397" t="s">
        <v>5999</v>
      </c>
      <c r="F586" s="397" t="s">
        <v>191</v>
      </c>
      <c r="G586" s="396">
        <v>2</v>
      </c>
      <c r="H586" s="395">
        <v>36361.892</v>
      </c>
      <c r="I586" s="394">
        <v>149.06</v>
      </c>
      <c r="J586" s="394">
        <v>51945.56</v>
      </c>
      <c r="K586" s="393" t="s">
        <v>1033</v>
      </c>
    </row>
    <row r="587" spans="1:12" hidden="1" x14ac:dyDescent="0.3">
      <c r="A587" s="397" t="s">
        <v>6001</v>
      </c>
      <c r="C587" s="397" t="s">
        <v>1053</v>
      </c>
      <c r="D587" s="397" t="s">
        <v>6000</v>
      </c>
      <c r="E587" s="397" t="s">
        <v>5999</v>
      </c>
      <c r="F587" s="397" t="s">
        <v>191</v>
      </c>
      <c r="G587" s="396">
        <v>3</v>
      </c>
      <c r="H587" s="395">
        <v>36361.892</v>
      </c>
      <c r="I587" s="394">
        <v>198.46</v>
      </c>
      <c r="J587" s="394">
        <v>51945.56</v>
      </c>
      <c r="K587" s="393" t="s">
        <v>1033</v>
      </c>
    </row>
    <row r="588" spans="1:12" hidden="1" x14ac:dyDescent="0.3">
      <c r="A588" s="397" t="s">
        <v>6065</v>
      </c>
      <c r="C588" s="397" t="s">
        <v>1053</v>
      </c>
      <c r="D588" s="397" t="s">
        <v>6064</v>
      </c>
      <c r="E588" s="397" t="s">
        <v>6063</v>
      </c>
      <c r="F588" s="397" t="s">
        <v>191</v>
      </c>
      <c r="G588" s="396">
        <v>2</v>
      </c>
      <c r="H588" s="395">
        <v>66361.232000000004</v>
      </c>
      <c r="I588" s="394">
        <v>317.94</v>
      </c>
      <c r="J588" s="394">
        <v>94801.76</v>
      </c>
      <c r="K588" s="393" t="s">
        <v>1033</v>
      </c>
    </row>
    <row r="589" spans="1:12" hidden="1" x14ac:dyDescent="0.3">
      <c r="A589" s="397" t="s">
        <v>6062</v>
      </c>
      <c r="C589" s="397" t="s">
        <v>1053</v>
      </c>
      <c r="D589" s="397" t="s">
        <v>6061</v>
      </c>
      <c r="E589" s="397" t="s">
        <v>6060</v>
      </c>
      <c r="F589" s="397" t="s">
        <v>191</v>
      </c>
      <c r="G589" s="396">
        <v>3</v>
      </c>
      <c r="H589" s="395">
        <v>66361.232000000004</v>
      </c>
      <c r="I589" s="394">
        <v>317.94</v>
      </c>
      <c r="J589" s="394">
        <v>94801.76</v>
      </c>
      <c r="K589" s="393" t="s">
        <v>1033</v>
      </c>
    </row>
    <row r="590" spans="1:12" hidden="1" x14ac:dyDescent="0.3">
      <c r="A590" s="397" t="s">
        <v>8011</v>
      </c>
      <c r="C590" s="397" t="s">
        <v>1053</v>
      </c>
      <c r="D590" s="397" t="s">
        <v>8010</v>
      </c>
      <c r="E590" s="397" t="s">
        <v>8009</v>
      </c>
      <c r="F590" s="397" t="s">
        <v>191</v>
      </c>
      <c r="G590" s="396">
        <v>9</v>
      </c>
      <c r="H590" s="395">
        <v>7705.3969999999999</v>
      </c>
      <c r="I590" s="394">
        <v>6979.85</v>
      </c>
      <c r="J590" s="394">
        <v>11007.710000000001</v>
      </c>
      <c r="K590" s="393" t="s">
        <v>1033</v>
      </c>
    </row>
    <row r="591" spans="1:12" hidden="1" x14ac:dyDescent="0.3">
      <c r="A591" s="397" t="s">
        <v>7988</v>
      </c>
      <c r="C591" s="397" t="s">
        <v>1053</v>
      </c>
      <c r="D591" s="397" t="s">
        <v>7987</v>
      </c>
      <c r="E591" s="397" t="s">
        <v>7986</v>
      </c>
      <c r="F591" s="397" t="s">
        <v>191</v>
      </c>
      <c r="G591" s="396">
        <v>4</v>
      </c>
      <c r="H591" s="395">
        <v>11909.863000000001</v>
      </c>
      <c r="I591" s="394">
        <v>11619.37</v>
      </c>
      <c r="J591" s="394">
        <v>17014.09</v>
      </c>
      <c r="K591" s="393" t="s">
        <v>1033</v>
      </c>
    </row>
    <row r="592" spans="1:12" hidden="1" x14ac:dyDescent="0.3">
      <c r="A592" s="397" t="s">
        <v>8015</v>
      </c>
      <c r="C592" s="397" t="s">
        <v>1053</v>
      </c>
      <c r="D592" s="397" t="s">
        <v>8014</v>
      </c>
      <c r="E592" s="397" t="s">
        <v>8009</v>
      </c>
      <c r="F592" s="397" t="s">
        <v>191</v>
      </c>
      <c r="G592" s="396">
        <v>2</v>
      </c>
      <c r="H592" s="395">
        <v>15838.970000000001</v>
      </c>
      <c r="I592" s="394">
        <v>15084.73</v>
      </c>
      <c r="J592" s="394">
        <v>22627.100000000002</v>
      </c>
      <c r="K592" s="393" t="s">
        <v>1033</v>
      </c>
    </row>
    <row r="593" spans="1:11" hidden="1" x14ac:dyDescent="0.3">
      <c r="A593" s="397" t="s">
        <v>8008</v>
      </c>
      <c r="C593" s="397" t="s">
        <v>1053</v>
      </c>
      <c r="D593" s="397" t="s">
        <v>8007</v>
      </c>
      <c r="E593" s="397" t="s">
        <v>8000</v>
      </c>
      <c r="F593" s="397" t="s">
        <v>191</v>
      </c>
      <c r="G593" s="396">
        <v>8</v>
      </c>
      <c r="H593" s="395">
        <v>7520.2750000000005</v>
      </c>
      <c r="I593" s="394">
        <v>7016.53</v>
      </c>
      <c r="J593" s="394">
        <v>10743.25</v>
      </c>
      <c r="K593" s="393" t="s">
        <v>1033</v>
      </c>
    </row>
    <row r="594" spans="1:11" hidden="1" x14ac:dyDescent="0.3">
      <c r="A594" s="397" t="s">
        <v>3389</v>
      </c>
      <c r="C594" s="397" t="s">
        <v>1053</v>
      </c>
      <c r="D594" s="397" t="s">
        <v>3388</v>
      </c>
      <c r="E594" s="397" t="s">
        <v>3387</v>
      </c>
      <c r="F594" s="397" t="s">
        <v>191</v>
      </c>
      <c r="G594" s="396">
        <v>11</v>
      </c>
      <c r="H594" s="395">
        <v>44786.055999999997</v>
      </c>
      <c r="I594" s="394">
        <v>2386.06</v>
      </c>
      <c r="J594" s="394">
        <v>63980.08</v>
      </c>
      <c r="K594" s="393" t="s">
        <v>1033</v>
      </c>
    </row>
    <row r="595" spans="1:11" hidden="1" x14ac:dyDescent="0.3">
      <c r="A595" s="397" t="s">
        <v>7992</v>
      </c>
      <c r="C595" s="397" t="s">
        <v>1053</v>
      </c>
      <c r="D595" s="397" t="s">
        <v>7991</v>
      </c>
      <c r="E595" s="397" t="s">
        <v>7990</v>
      </c>
      <c r="F595" s="397" t="s">
        <v>191</v>
      </c>
      <c r="G595" s="396">
        <v>6</v>
      </c>
      <c r="H595" s="395">
        <v>14002.338000000002</v>
      </c>
      <c r="I595" s="394">
        <v>848.85</v>
      </c>
      <c r="J595" s="394">
        <v>20003.34</v>
      </c>
      <c r="K595" s="393" t="s">
        <v>1033</v>
      </c>
    </row>
    <row r="596" spans="1:11" hidden="1" x14ac:dyDescent="0.3">
      <c r="A596" s="397" t="s">
        <v>5759</v>
      </c>
      <c r="C596" s="397" t="s">
        <v>1053</v>
      </c>
      <c r="D596" s="397" t="s">
        <v>5758</v>
      </c>
      <c r="E596" s="397" t="s">
        <v>5757</v>
      </c>
      <c r="F596" s="397" t="s">
        <v>191</v>
      </c>
      <c r="G596" s="396">
        <v>1</v>
      </c>
      <c r="H596" s="395">
        <v>24391.43</v>
      </c>
      <c r="I596" s="394">
        <v>161.02000000000001</v>
      </c>
      <c r="J596" s="394">
        <v>34844.9</v>
      </c>
      <c r="K596" s="393" t="s">
        <v>1033</v>
      </c>
    </row>
    <row r="597" spans="1:11" hidden="1" x14ac:dyDescent="0.3">
      <c r="A597" s="397" t="s">
        <v>8021</v>
      </c>
      <c r="C597" s="397" t="s">
        <v>1053</v>
      </c>
      <c r="D597" s="397" t="s">
        <v>8020</v>
      </c>
      <c r="E597" s="397" t="s">
        <v>8019</v>
      </c>
      <c r="F597" s="397" t="s">
        <v>191</v>
      </c>
      <c r="G597" s="396">
        <v>1</v>
      </c>
      <c r="H597" s="395">
        <v>4941.6009999999997</v>
      </c>
      <c r="I597" s="394">
        <v>4821.08</v>
      </c>
      <c r="J597" s="394">
        <v>7059.43</v>
      </c>
      <c r="K597" s="393" t="s">
        <v>1033</v>
      </c>
    </row>
    <row r="598" spans="1:11" hidden="1" x14ac:dyDescent="0.3">
      <c r="A598" s="397" t="s">
        <v>7593</v>
      </c>
      <c r="C598" s="397" t="s">
        <v>1053</v>
      </c>
      <c r="D598" s="397" t="s">
        <v>7592</v>
      </c>
      <c r="E598" s="397" t="s">
        <v>7591</v>
      </c>
      <c r="F598" s="397" t="s">
        <v>191</v>
      </c>
      <c r="G598" s="396">
        <v>1</v>
      </c>
      <c r="H598" s="395">
        <v>4197.55</v>
      </c>
      <c r="I598" s="394">
        <v>28.21</v>
      </c>
      <c r="J598" s="394">
        <v>5996.5</v>
      </c>
      <c r="K598" s="393" t="s">
        <v>1033</v>
      </c>
    </row>
    <row r="599" spans="1:11" hidden="1" x14ac:dyDescent="0.3">
      <c r="A599" s="397" t="s">
        <v>8013</v>
      </c>
      <c r="C599" s="397" t="s">
        <v>1053</v>
      </c>
      <c r="D599" s="397" t="s">
        <v>8012</v>
      </c>
      <c r="E599" s="397" t="s">
        <v>8009</v>
      </c>
      <c r="F599" s="397" t="s">
        <v>191</v>
      </c>
      <c r="G599" s="396">
        <v>5</v>
      </c>
      <c r="H599" s="395">
        <v>8468.2430000000004</v>
      </c>
      <c r="I599" s="394">
        <v>8261.7000000000007</v>
      </c>
      <c r="J599" s="394">
        <v>12097.49</v>
      </c>
      <c r="K599" s="393" t="s">
        <v>1033</v>
      </c>
    </row>
    <row r="600" spans="1:11" hidden="1" x14ac:dyDescent="0.3">
      <c r="A600" s="397" t="s">
        <v>4792</v>
      </c>
      <c r="C600" s="397" t="s">
        <v>1053</v>
      </c>
      <c r="D600" s="397" t="s">
        <v>4791</v>
      </c>
      <c r="E600" s="397" t="s">
        <v>4790</v>
      </c>
      <c r="F600" s="397" t="s">
        <v>191</v>
      </c>
      <c r="G600" s="396">
        <v>1</v>
      </c>
      <c r="H600" s="395">
        <v>225518.06199999995</v>
      </c>
      <c r="I600" s="394">
        <v>219756.24</v>
      </c>
      <c r="J600" s="394">
        <v>322168.65999999997</v>
      </c>
      <c r="K600" s="393" t="s">
        <v>1033</v>
      </c>
    </row>
    <row r="601" spans="1:11" hidden="1" x14ac:dyDescent="0.3">
      <c r="A601" s="397" t="s">
        <v>6047</v>
      </c>
      <c r="C601" s="397" t="s">
        <v>1053</v>
      </c>
      <c r="D601" s="397" t="s">
        <v>6046</v>
      </c>
      <c r="E601" s="397" t="s">
        <v>6045</v>
      </c>
      <c r="F601" s="397" t="s">
        <v>191</v>
      </c>
      <c r="G601" s="396">
        <v>1</v>
      </c>
      <c r="H601" s="395">
        <v>89184.29800000001</v>
      </c>
      <c r="I601" s="394">
        <v>3859.1800000000003</v>
      </c>
      <c r="J601" s="394">
        <v>127406.14</v>
      </c>
      <c r="K601" s="393" t="s">
        <v>1033</v>
      </c>
    </row>
    <row r="602" spans="1:11" hidden="1" x14ac:dyDescent="0.3">
      <c r="A602" s="397" t="s">
        <v>8018</v>
      </c>
      <c r="C602" s="397" t="s">
        <v>1053</v>
      </c>
      <c r="D602" s="397" t="s">
        <v>8017</v>
      </c>
      <c r="E602" s="397" t="s">
        <v>8016</v>
      </c>
      <c r="F602" s="397" t="s">
        <v>191</v>
      </c>
      <c r="G602" s="396">
        <v>1</v>
      </c>
      <c r="H602" s="395">
        <v>10932.11</v>
      </c>
      <c r="I602" s="394">
        <v>87.9</v>
      </c>
      <c r="J602" s="394">
        <v>15617.300000000001</v>
      </c>
      <c r="K602" s="393" t="s">
        <v>1033</v>
      </c>
    </row>
    <row r="603" spans="1:11" hidden="1" x14ac:dyDescent="0.3">
      <c r="A603" s="397" t="s">
        <v>8004</v>
      </c>
      <c r="C603" s="397" t="s">
        <v>1053</v>
      </c>
      <c r="D603" s="397" t="s">
        <v>8003</v>
      </c>
      <c r="E603" s="397" t="s">
        <v>8000</v>
      </c>
      <c r="F603" s="397" t="s">
        <v>191</v>
      </c>
      <c r="G603" s="396">
        <v>3</v>
      </c>
      <c r="H603" s="395">
        <v>9379.7690000000002</v>
      </c>
      <c r="I603" s="394">
        <v>9151</v>
      </c>
      <c r="J603" s="394">
        <v>13399.67</v>
      </c>
      <c r="K603" s="393" t="s">
        <v>1033</v>
      </c>
    </row>
    <row r="604" spans="1:11" hidden="1" x14ac:dyDescent="0.3">
      <c r="A604" s="397" t="s">
        <v>8006</v>
      </c>
      <c r="C604" s="397" t="s">
        <v>1053</v>
      </c>
      <c r="D604" s="397" t="s">
        <v>8005</v>
      </c>
      <c r="E604" s="397" t="s">
        <v>8000</v>
      </c>
      <c r="F604" s="397" t="s">
        <v>191</v>
      </c>
      <c r="G604" s="396">
        <v>1</v>
      </c>
      <c r="H604" s="395">
        <v>27829.536</v>
      </c>
      <c r="I604" s="394">
        <v>26749.53</v>
      </c>
      <c r="J604" s="394">
        <v>39756.480000000003</v>
      </c>
      <c r="K604" s="393" t="s">
        <v>1033</v>
      </c>
    </row>
    <row r="605" spans="1:11" hidden="1" x14ac:dyDescent="0.3">
      <c r="A605" s="397" t="s">
        <v>8002</v>
      </c>
      <c r="C605" s="397" t="s">
        <v>1053</v>
      </c>
      <c r="D605" s="397" t="s">
        <v>8001</v>
      </c>
      <c r="E605" s="397" t="s">
        <v>8000</v>
      </c>
      <c r="F605" s="397" t="s">
        <v>191</v>
      </c>
      <c r="G605" s="396">
        <v>1</v>
      </c>
      <c r="H605" s="395">
        <v>10117.351999999999</v>
      </c>
      <c r="I605" s="394">
        <v>8826.1299999999992</v>
      </c>
      <c r="J605" s="394">
        <v>14453.36</v>
      </c>
      <c r="K605" s="393" t="s">
        <v>1033</v>
      </c>
    </row>
    <row r="606" spans="1:11" hidden="1" x14ac:dyDescent="0.3">
      <c r="A606" s="397" t="s">
        <v>8029</v>
      </c>
      <c r="C606" s="397" t="s">
        <v>1053</v>
      </c>
      <c r="D606" s="397" t="s">
        <v>8028</v>
      </c>
      <c r="E606" s="397" t="s">
        <v>8022</v>
      </c>
      <c r="F606" s="397" t="s">
        <v>191</v>
      </c>
      <c r="G606" s="396">
        <v>1</v>
      </c>
      <c r="H606" s="395">
        <v>27058.415999999997</v>
      </c>
      <c r="I606" s="394">
        <v>18954.13</v>
      </c>
      <c r="J606" s="394">
        <v>38654.879999999997</v>
      </c>
      <c r="K606" s="393" t="s">
        <v>1033</v>
      </c>
    </row>
    <row r="607" spans="1:11" hidden="1" x14ac:dyDescent="0.3">
      <c r="A607" s="397" t="s">
        <v>5521</v>
      </c>
      <c r="C607" s="397" t="s">
        <v>1053</v>
      </c>
      <c r="D607" s="397" t="s">
        <v>5520</v>
      </c>
      <c r="E607" s="397" t="s">
        <v>5514</v>
      </c>
      <c r="F607" s="397" t="s">
        <v>191</v>
      </c>
      <c r="G607" s="396">
        <v>1</v>
      </c>
      <c r="H607" s="395">
        <v>52651.430999999997</v>
      </c>
      <c r="I607" s="394">
        <v>8218.81</v>
      </c>
      <c r="J607" s="394">
        <v>75216.33</v>
      </c>
      <c r="K607" s="393" t="s">
        <v>1033</v>
      </c>
    </row>
    <row r="608" spans="1:11" hidden="1" x14ac:dyDescent="0.3">
      <c r="A608" s="397" t="s">
        <v>4997</v>
      </c>
      <c r="C608" s="397" t="s">
        <v>1053</v>
      </c>
      <c r="D608" s="397" t="s">
        <v>4996</v>
      </c>
      <c r="E608" s="397" t="s">
        <v>4993</v>
      </c>
      <c r="F608" s="397" t="s">
        <v>191</v>
      </c>
      <c r="G608" s="396">
        <v>1</v>
      </c>
      <c r="H608" s="395">
        <v>2504.7049999999999</v>
      </c>
      <c r="I608" s="394">
        <v>86.960000000000008</v>
      </c>
      <c r="J608" s="394">
        <v>3578.15</v>
      </c>
      <c r="K608" s="393" t="s">
        <v>1033</v>
      </c>
    </row>
    <row r="609" spans="1:11" hidden="1" x14ac:dyDescent="0.3">
      <c r="A609" s="397" t="s">
        <v>4989</v>
      </c>
      <c r="C609" s="397" t="s">
        <v>1053</v>
      </c>
      <c r="D609" s="397" t="s">
        <v>4988</v>
      </c>
      <c r="E609" s="397" t="s">
        <v>4987</v>
      </c>
      <c r="F609" s="397" t="s">
        <v>191</v>
      </c>
      <c r="G609" s="396">
        <v>1</v>
      </c>
      <c r="H609" s="395">
        <v>21595.363999999998</v>
      </c>
      <c r="I609" s="394">
        <v>32.049999999999997</v>
      </c>
      <c r="J609" s="394">
        <v>30850.52</v>
      </c>
      <c r="K609" s="393" t="s">
        <v>1033</v>
      </c>
    </row>
    <row r="610" spans="1:11" hidden="1" x14ac:dyDescent="0.3">
      <c r="A610" s="397" t="s">
        <v>4995</v>
      </c>
      <c r="C610" s="397" t="s">
        <v>1053</v>
      </c>
      <c r="D610" s="397" t="s">
        <v>4994</v>
      </c>
      <c r="E610" s="397" t="s">
        <v>4993</v>
      </c>
      <c r="F610" s="397" t="s">
        <v>191</v>
      </c>
      <c r="G610" s="396">
        <v>1</v>
      </c>
      <c r="H610" s="395">
        <v>27148.394</v>
      </c>
      <c r="I610" s="394">
        <v>150.71</v>
      </c>
      <c r="J610" s="394">
        <v>38783.42</v>
      </c>
      <c r="K610" s="393" t="s">
        <v>1033</v>
      </c>
    </row>
    <row r="611" spans="1:11" hidden="1" x14ac:dyDescent="0.3">
      <c r="A611" s="397" t="s">
        <v>5745</v>
      </c>
      <c r="C611" s="397" t="s">
        <v>1053</v>
      </c>
      <c r="D611" s="397" t="s">
        <v>897</v>
      </c>
      <c r="E611" s="397" t="s">
        <v>896</v>
      </c>
      <c r="F611" s="397" t="s">
        <v>191</v>
      </c>
      <c r="G611" s="396">
        <v>1</v>
      </c>
      <c r="H611" s="395">
        <v>517663.44700000004</v>
      </c>
      <c r="I611" s="394">
        <v>218204.92</v>
      </c>
      <c r="J611" s="394">
        <v>739519.21</v>
      </c>
      <c r="K611" s="393" t="s">
        <v>1033</v>
      </c>
    </row>
    <row r="612" spans="1:11" hidden="1" x14ac:dyDescent="0.3">
      <c r="A612" s="397" t="s">
        <v>5745</v>
      </c>
      <c r="C612" s="397" t="s">
        <v>1053</v>
      </c>
      <c r="D612" s="397" t="s">
        <v>5744</v>
      </c>
      <c r="E612" s="397" t="s">
        <v>5737</v>
      </c>
      <c r="F612" s="397" t="s">
        <v>191</v>
      </c>
      <c r="G612" s="396">
        <v>1</v>
      </c>
      <c r="H612" s="395">
        <v>48602.652000000002</v>
      </c>
      <c r="I612" s="394">
        <v>45101.11</v>
      </c>
      <c r="J612" s="394">
        <v>69432.36</v>
      </c>
      <c r="K612" s="393" t="s">
        <v>1033</v>
      </c>
    </row>
    <row r="613" spans="1:11" hidden="1" x14ac:dyDescent="0.3">
      <c r="A613" s="397" t="s">
        <v>5315</v>
      </c>
      <c r="C613" s="397" t="s">
        <v>1053</v>
      </c>
      <c r="D613" s="397" t="s">
        <v>5314</v>
      </c>
      <c r="E613" s="397" t="s">
        <v>5313</v>
      </c>
      <c r="F613" s="397" t="s">
        <v>191</v>
      </c>
      <c r="G613" s="396">
        <v>1</v>
      </c>
      <c r="H613" s="395">
        <v>474.404</v>
      </c>
      <c r="I613" s="394">
        <v>322.44</v>
      </c>
      <c r="J613" s="394">
        <v>677.72</v>
      </c>
      <c r="K613" s="393" t="s">
        <v>1033</v>
      </c>
    </row>
    <row r="614" spans="1:11" hidden="1" x14ac:dyDescent="0.3">
      <c r="A614" s="397" t="s">
        <v>5419</v>
      </c>
      <c r="C614" s="397" t="s">
        <v>1053</v>
      </c>
      <c r="D614" s="397" t="s">
        <v>5418</v>
      </c>
      <c r="E614" s="397" t="s">
        <v>5415</v>
      </c>
      <c r="F614" s="397" t="s">
        <v>191</v>
      </c>
      <c r="G614" s="396">
        <v>1</v>
      </c>
      <c r="H614" s="395">
        <v>38763.480000000003</v>
      </c>
      <c r="I614" s="394">
        <v>2529.2800000000002</v>
      </c>
      <c r="J614" s="394">
        <v>55376.4</v>
      </c>
      <c r="K614" s="393" t="s">
        <v>1033</v>
      </c>
    </row>
    <row r="615" spans="1:11" hidden="1" x14ac:dyDescent="0.3">
      <c r="A615" s="397" t="s">
        <v>1458</v>
      </c>
      <c r="C615" s="397" t="s">
        <v>1053</v>
      </c>
      <c r="D615" s="397" t="s">
        <v>7989</v>
      </c>
      <c r="E615" s="397" t="s">
        <v>7986</v>
      </c>
      <c r="F615" s="397" t="s">
        <v>191</v>
      </c>
      <c r="G615" s="396">
        <v>1</v>
      </c>
      <c r="H615" s="395">
        <v>7204.6730000000007</v>
      </c>
      <c r="I615" s="394">
        <v>7028.96</v>
      </c>
      <c r="J615" s="394">
        <v>10292.39</v>
      </c>
      <c r="K615" s="393" t="s">
        <v>1033</v>
      </c>
    </row>
    <row r="616" spans="1:11" hidden="1" x14ac:dyDescent="0.3">
      <c r="A616" s="397" t="s">
        <v>1458</v>
      </c>
      <c r="C616" s="397" t="s">
        <v>1053</v>
      </c>
      <c r="D616" s="397" t="s">
        <v>1457</v>
      </c>
      <c r="E616" s="397" t="s">
        <v>1454</v>
      </c>
      <c r="F616" s="397" t="s">
        <v>191</v>
      </c>
      <c r="G616" s="396">
        <v>2</v>
      </c>
      <c r="H616" s="395">
        <v>27853.923999999999</v>
      </c>
      <c r="I616" s="394">
        <v>27174.560000000001</v>
      </c>
      <c r="J616" s="394">
        <v>39791.32</v>
      </c>
      <c r="K616" s="393" t="s">
        <v>1033</v>
      </c>
    </row>
    <row r="617" spans="1:11" hidden="1" x14ac:dyDescent="0.3">
      <c r="A617" s="397" t="s">
        <v>5494</v>
      </c>
      <c r="C617" s="397" t="s">
        <v>1053</v>
      </c>
      <c r="D617" s="397" t="s">
        <v>5495</v>
      </c>
      <c r="E617" s="397" t="s">
        <v>5492</v>
      </c>
      <c r="F617" s="397" t="s">
        <v>191</v>
      </c>
      <c r="G617" s="396">
        <v>1</v>
      </c>
      <c r="H617" s="395">
        <v>85082.557000000001</v>
      </c>
      <c r="I617" s="394">
        <v>55452.46</v>
      </c>
      <c r="J617" s="394">
        <v>121546.51000000001</v>
      </c>
      <c r="K617" s="393" t="s">
        <v>1033</v>
      </c>
    </row>
    <row r="618" spans="1:11" hidden="1" x14ac:dyDescent="0.3">
      <c r="A618" s="397" t="s">
        <v>5494</v>
      </c>
      <c r="C618" s="397" t="s">
        <v>1053</v>
      </c>
      <c r="D618" s="397" t="s">
        <v>5493</v>
      </c>
      <c r="E618" s="397" t="s">
        <v>5492</v>
      </c>
      <c r="F618" s="397" t="s">
        <v>191</v>
      </c>
      <c r="G618" s="396">
        <v>1</v>
      </c>
      <c r="H618" s="395">
        <v>111800.89199999999</v>
      </c>
      <c r="I618" s="394">
        <v>90531.11</v>
      </c>
      <c r="J618" s="394">
        <v>159715.56</v>
      </c>
      <c r="K618" s="393" t="s">
        <v>1033</v>
      </c>
    </row>
    <row r="619" spans="1:11" hidden="1" x14ac:dyDescent="0.3">
      <c r="A619" s="397" t="s">
        <v>4707</v>
      </c>
      <c r="C619" s="397" t="s">
        <v>1053</v>
      </c>
      <c r="D619" s="397" t="s">
        <v>4706</v>
      </c>
      <c r="E619" s="397" t="s">
        <v>4705</v>
      </c>
      <c r="F619" s="397" t="s">
        <v>191</v>
      </c>
      <c r="G619" s="396">
        <v>1</v>
      </c>
      <c r="H619" s="395">
        <v>619902.54200000002</v>
      </c>
      <c r="I619" s="394">
        <v>89111.48</v>
      </c>
      <c r="J619" s="394">
        <v>885575.06</v>
      </c>
      <c r="K619" s="393" t="s">
        <v>1033</v>
      </c>
    </row>
    <row r="620" spans="1:11" hidden="1" x14ac:dyDescent="0.3">
      <c r="A620" s="397" t="s">
        <v>907</v>
      </c>
      <c r="C620" s="397" t="s">
        <v>1053</v>
      </c>
      <c r="D620" s="397" t="s">
        <v>906</v>
      </c>
      <c r="E620" s="397" t="s">
        <v>905</v>
      </c>
      <c r="F620" s="397" t="s">
        <v>191</v>
      </c>
      <c r="G620" s="396">
        <v>2</v>
      </c>
      <c r="H620" s="395">
        <v>256544.932</v>
      </c>
      <c r="I620" s="394">
        <v>230449.76</v>
      </c>
      <c r="J620" s="394">
        <v>366492.76</v>
      </c>
      <c r="K620" s="393" t="s">
        <v>1033</v>
      </c>
    </row>
    <row r="621" spans="1:11" hidden="1" x14ac:dyDescent="0.3">
      <c r="A621" s="397" t="s">
        <v>907</v>
      </c>
      <c r="C621" s="397" t="s">
        <v>1053</v>
      </c>
      <c r="D621" s="397" t="s">
        <v>4854</v>
      </c>
      <c r="E621" s="397" t="s">
        <v>4853</v>
      </c>
      <c r="F621" s="397" t="s">
        <v>191</v>
      </c>
      <c r="G621" s="396">
        <v>1</v>
      </c>
      <c r="H621" s="395">
        <v>24860.024000000001</v>
      </c>
      <c r="I621" s="394">
        <v>19518.77</v>
      </c>
      <c r="J621" s="394">
        <v>35514.32</v>
      </c>
      <c r="K621" s="393" t="s">
        <v>1033</v>
      </c>
    </row>
    <row r="622" spans="1:11" hidden="1" x14ac:dyDescent="0.3">
      <c r="A622" s="397" t="s">
        <v>6826</v>
      </c>
      <c r="C622" s="397" t="s">
        <v>1053</v>
      </c>
      <c r="D622" s="397" t="s">
        <v>6825</v>
      </c>
      <c r="E622" s="397" t="s">
        <v>374</v>
      </c>
      <c r="F622" s="397" t="s">
        <v>191</v>
      </c>
      <c r="G622" s="396">
        <v>1</v>
      </c>
      <c r="H622" s="395">
        <v>1644.0410000000002</v>
      </c>
      <c r="I622" s="394">
        <v>1392.04</v>
      </c>
      <c r="J622" s="394">
        <v>2348.63</v>
      </c>
      <c r="K622" s="393" t="s">
        <v>1033</v>
      </c>
    </row>
    <row r="623" spans="1:11" hidden="1" x14ac:dyDescent="0.3">
      <c r="A623" s="397" t="s">
        <v>5215</v>
      </c>
      <c r="C623" s="397" t="s">
        <v>1053</v>
      </c>
      <c r="D623" s="397" t="s">
        <v>5214</v>
      </c>
      <c r="E623" s="397" t="s">
        <v>4574</v>
      </c>
      <c r="F623" s="397" t="s">
        <v>191</v>
      </c>
      <c r="G623" s="396">
        <v>1</v>
      </c>
      <c r="H623" s="395">
        <v>7076.5240000000003</v>
      </c>
      <c r="I623" s="394">
        <v>6677.95</v>
      </c>
      <c r="J623" s="394">
        <v>10109.32</v>
      </c>
      <c r="K623" s="393" t="s">
        <v>1033</v>
      </c>
    </row>
    <row r="624" spans="1:11" hidden="1" x14ac:dyDescent="0.3">
      <c r="A624" s="397" t="s">
        <v>1354</v>
      </c>
      <c r="C624" s="397" t="s">
        <v>1053</v>
      </c>
      <c r="D624" s="397" t="s">
        <v>1353</v>
      </c>
      <c r="E624" s="397" t="s">
        <v>1352</v>
      </c>
      <c r="F624" s="397" t="s">
        <v>191</v>
      </c>
      <c r="G624" s="396">
        <v>2</v>
      </c>
      <c r="H624" s="395">
        <v>87578.511999999988</v>
      </c>
      <c r="I624" s="394">
        <v>62159.08</v>
      </c>
      <c r="J624" s="394">
        <v>125112.16</v>
      </c>
      <c r="K624" s="393" t="s">
        <v>1033</v>
      </c>
    </row>
    <row r="625" spans="1:11" hidden="1" x14ac:dyDescent="0.3">
      <c r="A625" s="397" t="s">
        <v>6021</v>
      </c>
      <c r="C625" s="397" t="s">
        <v>1053</v>
      </c>
      <c r="D625" s="397" t="s">
        <v>6020</v>
      </c>
      <c r="E625" s="397" t="s">
        <v>6019</v>
      </c>
      <c r="F625" s="397" t="s">
        <v>191</v>
      </c>
      <c r="G625" s="396">
        <v>1</v>
      </c>
      <c r="H625" s="395">
        <v>125784.72900000001</v>
      </c>
      <c r="I625" s="394">
        <v>553.57000000000005</v>
      </c>
      <c r="J625" s="394">
        <v>179692.47</v>
      </c>
      <c r="K625" s="393" t="s">
        <v>1033</v>
      </c>
    </row>
    <row r="626" spans="1:11" hidden="1" x14ac:dyDescent="0.3">
      <c r="A626" s="397" t="s">
        <v>6068</v>
      </c>
      <c r="C626" s="397" t="s">
        <v>1053</v>
      </c>
      <c r="D626" s="397" t="s">
        <v>6067</v>
      </c>
      <c r="E626" s="397" t="s">
        <v>6066</v>
      </c>
      <c r="F626" s="397" t="s">
        <v>191</v>
      </c>
      <c r="G626" s="396">
        <v>1</v>
      </c>
      <c r="H626" s="395">
        <v>59346.335999999996</v>
      </c>
      <c r="I626" s="394">
        <v>263.22000000000003</v>
      </c>
      <c r="J626" s="394">
        <v>84780.479999999996</v>
      </c>
      <c r="K626" s="393" t="s">
        <v>1033</v>
      </c>
    </row>
    <row r="627" spans="1:11" hidden="1" x14ac:dyDescent="0.3">
      <c r="A627" s="397" t="s">
        <v>6070</v>
      </c>
      <c r="C627" s="397" t="s">
        <v>1053</v>
      </c>
      <c r="D627" s="397" t="s">
        <v>6069</v>
      </c>
      <c r="E627" s="397" t="s">
        <v>6066</v>
      </c>
      <c r="F627" s="397" t="s">
        <v>191</v>
      </c>
      <c r="G627" s="396">
        <v>1</v>
      </c>
      <c r="H627" s="395">
        <v>59800.23</v>
      </c>
      <c r="I627" s="394">
        <v>265.51</v>
      </c>
      <c r="J627" s="394">
        <v>85428.900000000009</v>
      </c>
      <c r="K627" s="393" t="s">
        <v>1033</v>
      </c>
    </row>
    <row r="628" spans="1:11" hidden="1" x14ac:dyDescent="0.3">
      <c r="A628" s="397" t="s">
        <v>7866</v>
      </c>
      <c r="C628" s="397" t="s">
        <v>1053</v>
      </c>
      <c r="D628" s="397" t="s">
        <v>7865</v>
      </c>
      <c r="E628" s="397" t="s">
        <v>7864</v>
      </c>
      <c r="F628" s="397" t="s">
        <v>191</v>
      </c>
      <c r="G628" s="396">
        <v>1</v>
      </c>
      <c r="H628" s="395">
        <v>186606.21</v>
      </c>
      <c r="I628" s="394">
        <v>7891.6100000000006</v>
      </c>
      <c r="J628" s="394">
        <v>266580.3</v>
      </c>
      <c r="K628" s="393" t="s">
        <v>1033</v>
      </c>
    </row>
    <row r="629" spans="1:11" hidden="1" x14ac:dyDescent="0.3">
      <c r="A629" s="397" t="s">
        <v>6018</v>
      </c>
      <c r="C629" s="397" t="s">
        <v>1053</v>
      </c>
      <c r="D629" s="397" t="s">
        <v>6017</v>
      </c>
      <c r="E629" s="397" t="s">
        <v>6014</v>
      </c>
      <c r="F629" s="397" t="s">
        <v>191</v>
      </c>
      <c r="G629" s="396">
        <v>1</v>
      </c>
      <c r="H629" s="395">
        <v>61539.764999999999</v>
      </c>
      <c r="I629" s="394">
        <v>283.77999999999997</v>
      </c>
      <c r="J629" s="394">
        <v>87913.95</v>
      </c>
      <c r="K629" s="393" t="s">
        <v>1033</v>
      </c>
    </row>
    <row r="630" spans="1:11" hidden="1" x14ac:dyDescent="0.3">
      <c r="A630" s="397" t="s">
        <v>6016</v>
      </c>
      <c r="C630" s="397" t="s">
        <v>1053</v>
      </c>
      <c r="D630" s="397" t="s">
        <v>6015</v>
      </c>
      <c r="E630" s="397" t="s">
        <v>6014</v>
      </c>
      <c r="F630" s="397" t="s">
        <v>191</v>
      </c>
      <c r="G630" s="396">
        <v>1</v>
      </c>
      <c r="H630" s="395">
        <v>63771.777999999998</v>
      </c>
      <c r="I630" s="394">
        <v>283.77999999999997</v>
      </c>
      <c r="J630" s="394">
        <v>91102.540000000008</v>
      </c>
      <c r="K630" s="393" t="s">
        <v>1033</v>
      </c>
    </row>
    <row r="631" spans="1:11" hidden="1" x14ac:dyDescent="0.3">
      <c r="A631" s="397" t="s">
        <v>7840</v>
      </c>
      <c r="C631" s="397" t="s">
        <v>1053</v>
      </c>
      <c r="D631" s="397" t="s">
        <v>7839</v>
      </c>
      <c r="E631" s="397" t="s">
        <v>7838</v>
      </c>
      <c r="F631" s="397" t="s">
        <v>191</v>
      </c>
      <c r="G631" s="396">
        <v>3</v>
      </c>
      <c r="H631" s="395">
        <v>36765.224999999999</v>
      </c>
      <c r="I631" s="394">
        <v>8348.2199999999993</v>
      </c>
      <c r="J631" s="394">
        <v>52521.75</v>
      </c>
      <c r="K631" s="393" t="s">
        <v>1033</v>
      </c>
    </row>
    <row r="632" spans="1:11" hidden="1" x14ac:dyDescent="0.3">
      <c r="A632" s="397" t="s">
        <v>6824</v>
      </c>
      <c r="C632" s="397" t="s">
        <v>1053</v>
      </c>
      <c r="D632" s="397" t="s">
        <v>6823</v>
      </c>
      <c r="E632" s="397" t="s">
        <v>374</v>
      </c>
      <c r="F632" s="397" t="s">
        <v>191</v>
      </c>
      <c r="G632" s="396">
        <v>1</v>
      </c>
      <c r="H632" s="395">
        <v>1154.328</v>
      </c>
      <c r="I632" s="394">
        <v>980.75</v>
      </c>
      <c r="J632" s="394">
        <v>1649.04</v>
      </c>
      <c r="K632" s="393" t="s">
        <v>1033</v>
      </c>
    </row>
    <row r="633" spans="1:11" hidden="1" x14ac:dyDescent="0.3">
      <c r="A633" s="397" t="s">
        <v>6576</v>
      </c>
      <c r="C633" s="397" t="s">
        <v>1053</v>
      </c>
      <c r="D633" s="397" t="s">
        <v>6575</v>
      </c>
      <c r="E633" s="397" t="s">
        <v>6574</v>
      </c>
      <c r="F633" s="397" t="s">
        <v>191</v>
      </c>
      <c r="G633" s="396">
        <v>1</v>
      </c>
      <c r="H633" s="395">
        <v>449612.60399999999</v>
      </c>
      <c r="I633" s="394">
        <v>381591.67</v>
      </c>
      <c r="J633" s="394">
        <v>642303.72</v>
      </c>
      <c r="K633" s="393" t="s">
        <v>1033</v>
      </c>
    </row>
    <row r="634" spans="1:11" hidden="1" x14ac:dyDescent="0.3">
      <c r="A634" s="397" t="s">
        <v>4119</v>
      </c>
      <c r="C634" s="397" t="s">
        <v>1053</v>
      </c>
      <c r="D634" s="397" t="s">
        <v>4118</v>
      </c>
      <c r="E634" s="397" t="s">
        <v>4117</v>
      </c>
      <c r="F634" s="397" t="s">
        <v>191</v>
      </c>
      <c r="G634" s="396">
        <v>1</v>
      </c>
      <c r="H634" s="395">
        <v>48210.231999999996</v>
      </c>
      <c r="I634" s="394">
        <v>227.85</v>
      </c>
      <c r="J634" s="394">
        <v>68871.759999999995</v>
      </c>
      <c r="K634" s="393" t="s">
        <v>1033</v>
      </c>
    </row>
    <row r="635" spans="1:11" hidden="1" x14ac:dyDescent="0.3">
      <c r="A635" s="397" t="s">
        <v>5790</v>
      </c>
      <c r="C635" s="397" t="s">
        <v>1053</v>
      </c>
      <c r="D635" s="397" t="s">
        <v>5789</v>
      </c>
      <c r="E635" s="397" t="s">
        <v>5788</v>
      </c>
      <c r="F635" s="397" t="s">
        <v>191</v>
      </c>
      <c r="G635" s="396">
        <v>2</v>
      </c>
      <c r="H635" s="395">
        <v>44202.053</v>
      </c>
      <c r="I635" s="394">
        <v>41183.1</v>
      </c>
      <c r="J635" s="394">
        <v>63145.79</v>
      </c>
      <c r="K635" s="393" t="s">
        <v>1033</v>
      </c>
    </row>
    <row r="636" spans="1:11" hidden="1" x14ac:dyDescent="0.3">
      <c r="A636" s="397" t="s">
        <v>5787</v>
      </c>
      <c r="C636" s="397" t="s">
        <v>1053</v>
      </c>
      <c r="D636" s="397" t="s">
        <v>5786</v>
      </c>
      <c r="E636" s="397" t="s">
        <v>5785</v>
      </c>
      <c r="F636" s="397" t="s">
        <v>191</v>
      </c>
      <c r="G636" s="396">
        <v>3</v>
      </c>
      <c r="H636" s="395">
        <v>44202.053</v>
      </c>
      <c r="I636" s="394">
        <v>43063.23</v>
      </c>
      <c r="J636" s="394">
        <v>63145.79</v>
      </c>
      <c r="K636" s="393" t="s">
        <v>1033</v>
      </c>
    </row>
    <row r="637" spans="1:11" hidden="1" x14ac:dyDescent="0.3">
      <c r="A637" s="397" t="s">
        <v>3487</v>
      </c>
      <c r="C637" s="397" t="s">
        <v>1053</v>
      </c>
      <c r="D637" s="397" t="s">
        <v>3486</v>
      </c>
      <c r="E637" s="397" t="s">
        <v>3485</v>
      </c>
      <c r="F637" s="397" t="s">
        <v>191</v>
      </c>
      <c r="G637" s="396">
        <v>1</v>
      </c>
      <c r="H637" s="395">
        <v>1386721</v>
      </c>
      <c r="I637" s="394">
        <v>1083974.54</v>
      </c>
      <c r="J637" s="394">
        <v>1981030</v>
      </c>
      <c r="K637" s="393" t="s">
        <v>1033</v>
      </c>
    </row>
    <row r="638" spans="1:11" hidden="1" x14ac:dyDescent="0.3">
      <c r="A638" s="397" t="s">
        <v>7998</v>
      </c>
      <c r="C638" s="397" t="s">
        <v>1053</v>
      </c>
      <c r="D638" s="397" t="s">
        <v>7997</v>
      </c>
      <c r="E638" s="397" t="s">
        <v>7996</v>
      </c>
      <c r="F638" s="397" t="s">
        <v>191</v>
      </c>
      <c r="G638" s="396">
        <v>2</v>
      </c>
      <c r="H638" s="395">
        <v>6893.0749999999998</v>
      </c>
      <c r="I638" s="394">
        <v>6564.83</v>
      </c>
      <c r="J638" s="394">
        <v>9847.25</v>
      </c>
      <c r="K638" s="393" t="s">
        <v>1033</v>
      </c>
    </row>
    <row r="639" spans="1:11" hidden="1" x14ac:dyDescent="0.3">
      <c r="A639" s="397" t="s">
        <v>4721</v>
      </c>
      <c r="C639" s="397" t="s">
        <v>1053</v>
      </c>
      <c r="D639" s="397" t="s">
        <v>4720</v>
      </c>
      <c r="E639" s="397" t="s">
        <v>4717</v>
      </c>
      <c r="F639" s="397" t="s">
        <v>191</v>
      </c>
      <c r="G639" s="396">
        <v>1</v>
      </c>
      <c r="H639" s="395">
        <v>29729.623</v>
      </c>
      <c r="I639" s="394">
        <v>23731.119999999999</v>
      </c>
      <c r="J639" s="394">
        <v>42470.89</v>
      </c>
      <c r="K639" s="393" t="s">
        <v>1033</v>
      </c>
    </row>
    <row r="640" spans="1:11" hidden="1" x14ac:dyDescent="0.3">
      <c r="A640" s="397" t="s">
        <v>4418</v>
      </c>
      <c r="C640" s="397" t="s">
        <v>1053</v>
      </c>
      <c r="D640" s="397" t="s">
        <v>4417</v>
      </c>
      <c r="E640" s="397" t="s">
        <v>4412</v>
      </c>
      <c r="F640" s="397" t="s">
        <v>191</v>
      </c>
      <c r="G640" s="396">
        <v>1</v>
      </c>
      <c r="H640" s="395">
        <v>33010.096000000005</v>
      </c>
      <c r="I640" s="394">
        <v>32905.839999999997</v>
      </c>
      <c r="J640" s="394">
        <v>47157.279999999999</v>
      </c>
      <c r="K640" s="393" t="s">
        <v>1033</v>
      </c>
    </row>
    <row r="641" spans="1:11" hidden="1" x14ac:dyDescent="0.3">
      <c r="A641" s="397" t="s">
        <v>1306</v>
      </c>
      <c r="C641" s="397" t="s">
        <v>1053</v>
      </c>
      <c r="D641" s="397" t="s">
        <v>1305</v>
      </c>
      <c r="E641" s="397" t="s">
        <v>1304</v>
      </c>
      <c r="F641" s="397" t="s">
        <v>191</v>
      </c>
      <c r="G641" s="396">
        <v>1</v>
      </c>
      <c r="H641" s="395">
        <v>120613.815</v>
      </c>
      <c r="I641" s="394">
        <v>85140.03</v>
      </c>
      <c r="J641" s="394">
        <v>172305.45</v>
      </c>
      <c r="K641" s="393" t="s">
        <v>1033</v>
      </c>
    </row>
    <row r="642" spans="1:11" hidden="1" x14ac:dyDescent="0.3">
      <c r="A642" s="397" t="s">
        <v>4272</v>
      </c>
      <c r="C642" s="397" t="s">
        <v>1053</v>
      </c>
      <c r="D642" s="397" t="s">
        <v>4271</v>
      </c>
      <c r="E642" s="397" t="s">
        <v>4270</v>
      </c>
      <c r="F642" s="397" t="s">
        <v>191</v>
      </c>
      <c r="G642" s="396">
        <v>1</v>
      </c>
      <c r="H642" s="395">
        <v>136405.79399999999</v>
      </c>
      <c r="I642" s="394">
        <v>133927.01999999999</v>
      </c>
      <c r="J642" s="394">
        <v>194865.42</v>
      </c>
      <c r="K642" s="393" t="s">
        <v>1033</v>
      </c>
    </row>
    <row r="643" spans="1:11" hidden="1" x14ac:dyDescent="0.3">
      <c r="A643" s="397" t="s">
        <v>5220</v>
      </c>
      <c r="C643" s="397" t="s">
        <v>1053</v>
      </c>
      <c r="D643" s="397" t="s">
        <v>5219</v>
      </c>
      <c r="E643" s="397" t="s">
        <v>5216</v>
      </c>
      <c r="F643" s="397" t="s">
        <v>191</v>
      </c>
      <c r="G643" s="396">
        <v>5</v>
      </c>
      <c r="H643" s="395">
        <v>15006.25</v>
      </c>
      <c r="I643" s="394">
        <v>14611.4</v>
      </c>
      <c r="J643" s="394">
        <v>21437.5</v>
      </c>
      <c r="K643" s="393" t="s">
        <v>1033</v>
      </c>
    </row>
    <row r="644" spans="1:11" hidden="1" x14ac:dyDescent="0.3">
      <c r="A644" s="397" t="s">
        <v>5347</v>
      </c>
      <c r="C644" s="397" t="s">
        <v>1053</v>
      </c>
      <c r="D644" s="397" t="s">
        <v>5346</v>
      </c>
      <c r="E644" s="397" t="s">
        <v>5345</v>
      </c>
      <c r="F644" s="397" t="s">
        <v>191</v>
      </c>
      <c r="G644" s="396">
        <v>1</v>
      </c>
      <c r="H644" s="395">
        <v>50201.130000000005</v>
      </c>
      <c r="I644" s="394">
        <v>6705.32</v>
      </c>
      <c r="J644" s="394">
        <v>71715.899999999994</v>
      </c>
      <c r="K644" s="393" t="s">
        <v>1033</v>
      </c>
    </row>
    <row r="645" spans="1:11" hidden="1" x14ac:dyDescent="0.3">
      <c r="A645" s="397" t="s">
        <v>4719</v>
      </c>
      <c r="C645" s="397" t="s">
        <v>1053</v>
      </c>
      <c r="D645" s="397" t="s">
        <v>4718</v>
      </c>
      <c r="E645" s="397" t="s">
        <v>4717</v>
      </c>
      <c r="F645" s="397" t="s">
        <v>191</v>
      </c>
      <c r="G645" s="396">
        <v>1</v>
      </c>
      <c r="H645" s="395">
        <v>29729.623</v>
      </c>
      <c r="I645" s="394">
        <v>23731.119999999999</v>
      </c>
      <c r="J645" s="394">
        <v>42470.89</v>
      </c>
      <c r="K645" s="393" t="s">
        <v>1033</v>
      </c>
    </row>
    <row r="646" spans="1:11" hidden="1" x14ac:dyDescent="0.3">
      <c r="A646" s="397" t="s">
        <v>5344</v>
      </c>
      <c r="C646" s="397" t="s">
        <v>1053</v>
      </c>
      <c r="D646" s="397" t="s">
        <v>5343</v>
      </c>
      <c r="E646" s="397" t="s">
        <v>5342</v>
      </c>
      <c r="F646" s="397" t="s">
        <v>191</v>
      </c>
      <c r="G646" s="396">
        <v>1</v>
      </c>
      <c r="H646" s="395">
        <v>151694.375</v>
      </c>
      <c r="I646" s="394">
        <v>129619.23</v>
      </c>
      <c r="J646" s="394">
        <v>216706.25</v>
      </c>
      <c r="K646" s="393" t="s">
        <v>1033</v>
      </c>
    </row>
    <row r="647" spans="1:11" hidden="1" x14ac:dyDescent="0.3">
      <c r="A647" s="397" t="s">
        <v>4397</v>
      </c>
      <c r="C647" s="397" t="s">
        <v>1053</v>
      </c>
      <c r="D647" s="397" t="s">
        <v>4396</v>
      </c>
      <c r="E647" s="397" t="s">
        <v>4395</v>
      </c>
      <c r="F647" s="397" t="s">
        <v>191</v>
      </c>
      <c r="G647" s="396">
        <v>1</v>
      </c>
      <c r="H647" s="395">
        <v>108181.675</v>
      </c>
      <c r="I647" s="394">
        <v>48742</v>
      </c>
      <c r="J647" s="394">
        <v>154545.25</v>
      </c>
      <c r="K647" s="393" t="s">
        <v>1033</v>
      </c>
    </row>
    <row r="648" spans="1:11" hidden="1" x14ac:dyDescent="0.3">
      <c r="A648" s="397" t="s">
        <v>5991</v>
      </c>
      <c r="C648" s="397" t="s">
        <v>1053</v>
      </c>
      <c r="D648" s="397" t="s">
        <v>5990</v>
      </c>
      <c r="E648" s="397" t="s">
        <v>5989</v>
      </c>
      <c r="F648" s="397" t="s">
        <v>191</v>
      </c>
      <c r="G648" s="396">
        <v>1</v>
      </c>
      <c r="H648" s="395">
        <v>32850.412000000004</v>
      </c>
      <c r="I648" s="394">
        <v>31990.880000000001</v>
      </c>
      <c r="J648" s="394">
        <v>46929.16</v>
      </c>
      <c r="K648" s="393" t="s">
        <v>1033</v>
      </c>
    </row>
    <row r="649" spans="1:11" hidden="1" x14ac:dyDescent="0.3">
      <c r="A649" s="397" t="s">
        <v>3993</v>
      </c>
      <c r="C649" s="397" t="s">
        <v>1053</v>
      </c>
      <c r="D649" s="397" t="s">
        <v>3992</v>
      </c>
      <c r="E649" s="397" t="s">
        <v>3991</v>
      </c>
      <c r="F649" s="397" t="s">
        <v>191</v>
      </c>
      <c r="G649" s="396">
        <v>1</v>
      </c>
      <c r="H649" s="395">
        <v>468173.08299999998</v>
      </c>
      <c r="I649" s="394">
        <v>20678.66</v>
      </c>
      <c r="J649" s="394">
        <v>668818.68999999994</v>
      </c>
      <c r="K649" s="393" t="s">
        <v>1033</v>
      </c>
    </row>
    <row r="650" spans="1:11" hidden="1" x14ac:dyDescent="0.3">
      <c r="A650" s="397" t="s">
        <v>5335</v>
      </c>
      <c r="C650" s="397" t="s">
        <v>1053</v>
      </c>
      <c r="D650" s="397" t="s">
        <v>5334</v>
      </c>
      <c r="E650" s="397" t="s">
        <v>5333</v>
      </c>
      <c r="F650" s="397" t="s">
        <v>191</v>
      </c>
      <c r="G650" s="396">
        <v>1</v>
      </c>
      <c r="H650" s="395">
        <v>147157.77300000002</v>
      </c>
      <c r="I650" s="394">
        <v>546.72</v>
      </c>
      <c r="J650" s="394">
        <v>210225.39</v>
      </c>
      <c r="K650" s="393" t="s">
        <v>1033</v>
      </c>
    </row>
    <row r="651" spans="1:11" hidden="1" x14ac:dyDescent="0.3">
      <c r="A651" s="397" t="s">
        <v>6915</v>
      </c>
      <c r="C651" s="397" t="s">
        <v>1053</v>
      </c>
      <c r="D651" s="397" t="s">
        <v>6914</v>
      </c>
      <c r="E651" s="397" t="s">
        <v>4976</v>
      </c>
      <c r="F651" s="397" t="s">
        <v>191</v>
      </c>
      <c r="G651" s="396">
        <v>1</v>
      </c>
      <c r="H651" s="395">
        <v>16041.948999999999</v>
      </c>
      <c r="I651" s="394">
        <v>13046.17</v>
      </c>
      <c r="J651" s="394">
        <v>22917.07</v>
      </c>
      <c r="K651" s="393" t="s">
        <v>1033</v>
      </c>
    </row>
    <row r="652" spans="1:11" hidden="1" x14ac:dyDescent="0.3">
      <c r="A652" s="397" t="s">
        <v>5409</v>
      </c>
      <c r="C652" s="397" t="s">
        <v>1053</v>
      </c>
      <c r="D652" s="397" t="s">
        <v>5408</v>
      </c>
      <c r="E652" s="397" t="s">
        <v>5407</v>
      </c>
      <c r="F652" s="397" t="s">
        <v>191</v>
      </c>
      <c r="G652" s="396">
        <v>1</v>
      </c>
      <c r="H652" s="395">
        <v>71374.464000000007</v>
      </c>
      <c r="I652" s="394">
        <v>66001.350000000006</v>
      </c>
      <c r="J652" s="394">
        <v>101963.52</v>
      </c>
      <c r="K652" s="393" t="s">
        <v>1033</v>
      </c>
    </row>
    <row r="653" spans="1:11" hidden="1" x14ac:dyDescent="0.3">
      <c r="A653" s="397" t="s">
        <v>5519</v>
      </c>
      <c r="C653" s="397" t="s">
        <v>1053</v>
      </c>
      <c r="D653" s="397" t="s">
        <v>5518</v>
      </c>
      <c r="E653" s="397" t="s">
        <v>5517</v>
      </c>
      <c r="F653" s="397" t="s">
        <v>191</v>
      </c>
      <c r="G653" s="396">
        <v>1</v>
      </c>
      <c r="H653" s="395">
        <v>47359.340000000004</v>
      </c>
      <c r="I653" s="394">
        <v>45924.200000000004</v>
      </c>
      <c r="J653" s="394">
        <v>67656.2</v>
      </c>
      <c r="K653" s="393" t="s">
        <v>1033</v>
      </c>
    </row>
    <row r="654" spans="1:11" hidden="1" x14ac:dyDescent="0.3">
      <c r="A654" s="397" t="s">
        <v>5188</v>
      </c>
      <c r="C654" s="397" t="s">
        <v>1053</v>
      </c>
      <c r="D654" s="397" t="s">
        <v>5187</v>
      </c>
      <c r="E654" s="397" t="s">
        <v>5186</v>
      </c>
      <c r="F654" s="397" t="s">
        <v>191</v>
      </c>
      <c r="G654" s="396">
        <v>1</v>
      </c>
      <c r="H654" s="395">
        <v>184201.64</v>
      </c>
      <c r="I654" s="394">
        <v>52.33</v>
      </c>
      <c r="J654" s="394">
        <v>263145.2</v>
      </c>
      <c r="K654" s="393" t="s">
        <v>1033</v>
      </c>
    </row>
    <row r="655" spans="1:11" hidden="1" x14ac:dyDescent="0.3">
      <c r="A655" s="397" t="s">
        <v>3726</v>
      </c>
      <c r="C655" s="397" t="s">
        <v>1053</v>
      </c>
      <c r="D655" s="397" t="s">
        <v>3725</v>
      </c>
      <c r="E655" s="397" t="s">
        <v>3706</v>
      </c>
      <c r="F655" s="397" t="s">
        <v>191</v>
      </c>
      <c r="G655" s="396">
        <v>1</v>
      </c>
      <c r="H655" s="395">
        <v>44056.047000000006</v>
      </c>
      <c r="I655" s="394">
        <v>43769.18</v>
      </c>
      <c r="J655" s="394">
        <v>62937.21</v>
      </c>
      <c r="K655" s="393" t="s">
        <v>1033</v>
      </c>
    </row>
    <row r="656" spans="1:11" hidden="1" x14ac:dyDescent="0.3">
      <c r="A656" s="397" t="s">
        <v>4795</v>
      </c>
      <c r="C656" s="397" t="s">
        <v>1053</v>
      </c>
      <c r="D656" s="397" t="s">
        <v>5876</v>
      </c>
      <c r="E656" s="397" t="s">
        <v>5875</v>
      </c>
      <c r="F656" s="397" t="s">
        <v>191</v>
      </c>
      <c r="G656" s="396">
        <v>2</v>
      </c>
      <c r="H656" s="395">
        <v>74528.069000000003</v>
      </c>
      <c r="I656" s="394">
        <v>2614.39</v>
      </c>
      <c r="J656" s="394">
        <v>106468.67</v>
      </c>
      <c r="K656" s="393" t="s">
        <v>1033</v>
      </c>
    </row>
    <row r="657" spans="1:12" hidden="1" x14ac:dyDescent="0.3">
      <c r="A657" s="397" t="s">
        <v>4795</v>
      </c>
      <c r="C657" s="397" t="s">
        <v>1053</v>
      </c>
      <c r="D657" s="397" t="s">
        <v>4794</v>
      </c>
      <c r="E657" s="397" t="s">
        <v>4793</v>
      </c>
      <c r="F657" s="397" t="s">
        <v>191</v>
      </c>
      <c r="G657" s="396">
        <v>1</v>
      </c>
      <c r="H657" s="395">
        <v>225518.06199999995</v>
      </c>
      <c r="I657" s="394">
        <v>219756.24</v>
      </c>
      <c r="J657" s="394">
        <v>322168.65999999997</v>
      </c>
      <c r="K657" s="393" t="s">
        <v>1033</v>
      </c>
    </row>
    <row r="658" spans="1:12" hidden="1" x14ac:dyDescent="0.3">
      <c r="A658" s="397" t="s">
        <v>7254</v>
      </c>
      <c r="C658" s="397" t="s">
        <v>1053</v>
      </c>
      <c r="D658" s="397" t="s">
        <v>7253</v>
      </c>
      <c r="E658" s="397" t="s">
        <v>7252</v>
      </c>
      <c r="F658" s="397" t="s">
        <v>191</v>
      </c>
      <c r="G658" s="396">
        <v>1</v>
      </c>
      <c r="H658" s="395">
        <v>1250529.8540000001</v>
      </c>
      <c r="I658" s="394">
        <v>6523.39</v>
      </c>
      <c r="J658" s="394">
        <v>1786471.22</v>
      </c>
      <c r="K658" s="393" t="s">
        <v>1033</v>
      </c>
    </row>
    <row r="659" spans="1:12" hidden="1" x14ac:dyDescent="0.3">
      <c r="A659" s="397" t="s">
        <v>8024</v>
      </c>
      <c r="C659" s="397" t="s">
        <v>1053</v>
      </c>
      <c r="D659" s="397" t="s">
        <v>8023</v>
      </c>
      <c r="E659" s="397" t="s">
        <v>8022</v>
      </c>
      <c r="F659" s="397" t="s">
        <v>191</v>
      </c>
      <c r="G659" s="396">
        <v>2</v>
      </c>
      <c r="H659" s="395">
        <v>55430.83</v>
      </c>
      <c r="I659" s="394">
        <v>54078.85</v>
      </c>
      <c r="J659" s="394">
        <v>79186.899999999994</v>
      </c>
      <c r="K659" s="393" t="s">
        <v>1033</v>
      </c>
    </row>
    <row r="660" spans="1:12" hidden="1" x14ac:dyDescent="0.3">
      <c r="A660" s="397" t="s">
        <v>8027</v>
      </c>
      <c r="C660" s="397" t="s">
        <v>1053</v>
      </c>
      <c r="D660" s="397" t="s">
        <v>8026</v>
      </c>
      <c r="E660" s="397" t="s">
        <v>8025</v>
      </c>
      <c r="F660" s="397" t="s">
        <v>191</v>
      </c>
      <c r="G660" s="396">
        <v>2</v>
      </c>
      <c r="H660" s="395">
        <v>22427.762000000002</v>
      </c>
      <c r="I660" s="394">
        <v>21880.74</v>
      </c>
      <c r="J660" s="394">
        <v>32039.66</v>
      </c>
      <c r="K660" s="393" t="s">
        <v>1033</v>
      </c>
    </row>
    <row r="661" spans="1:12" hidden="1" x14ac:dyDescent="0.3">
      <c r="A661" s="397" t="s">
        <v>5218</v>
      </c>
      <c r="C661" s="397" t="s">
        <v>1053</v>
      </c>
      <c r="D661" s="397" t="s">
        <v>5217</v>
      </c>
      <c r="E661" s="397" t="s">
        <v>5216</v>
      </c>
      <c r="F661" s="397" t="s">
        <v>191</v>
      </c>
      <c r="G661" s="396">
        <v>6</v>
      </c>
      <c r="H661" s="395">
        <v>24140.487000000001</v>
      </c>
      <c r="I661" s="394">
        <v>24113.920000000002</v>
      </c>
      <c r="J661" s="394">
        <v>34486.410000000003</v>
      </c>
      <c r="K661" s="393" t="s">
        <v>1033</v>
      </c>
      <c r="L661" s="395">
        <v>1</v>
      </c>
    </row>
    <row r="662" spans="1:12" hidden="1" x14ac:dyDescent="0.3">
      <c r="A662" s="397" t="s">
        <v>5229</v>
      </c>
      <c r="C662" s="397" t="s">
        <v>1053</v>
      </c>
      <c r="D662" s="397" t="s">
        <v>5228</v>
      </c>
      <c r="E662" s="397" t="s">
        <v>5216</v>
      </c>
      <c r="F662" s="397" t="s">
        <v>191</v>
      </c>
      <c r="G662" s="396">
        <v>2</v>
      </c>
      <c r="H662" s="395">
        <v>20175.624</v>
      </c>
      <c r="I662" s="394">
        <v>20128.990000000002</v>
      </c>
      <c r="J662" s="394">
        <v>28822.32</v>
      </c>
      <c r="K662" s="393" t="s">
        <v>1033</v>
      </c>
    </row>
    <row r="663" spans="1:12" hidden="1" x14ac:dyDescent="0.3">
      <c r="A663" s="397" t="s">
        <v>4962</v>
      </c>
      <c r="C663" s="397" t="s">
        <v>1053</v>
      </c>
      <c r="D663" s="397" t="s">
        <v>4961</v>
      </c>
      <c r="E663" s="397" t="s">
        <v>4960</v>
      </c>
      <c r="F663" s="397" t="s">
        <v>191</v>
      </c>
      <c r="G663" s="396">
        <v>1</v>
      </c>
      <c r="H663" s="395">
        <v>50279.137999999999</v>
      </c>
      <c r="I663" s="394">
        <v>33881.75</v>
      </c>
      <c r="J663" s="394">
        <v>71827.34</v>
      </c>
      <c r="K663" s="393" t="s">
        <v>1033</v>
      </c>
    </row>
    <row r="664" spans="1:12" hidden="1" x14ac:dyDescent="0.3">
      <c r="A664" s="397" t="s">
        <v>5119</v>
      </c>
      <c r="C664" s="397" t="s">
        <v>1053</v>
      </c>
      <c r="D664" s="397" t="s">
        <v>5118</v>
      </c>
      <c r="E664" s="397" t="s">
        <v>5117</v>
      </c>
      <c r="F664" s="397" t="s">
        <v>191</v>
      </c>
      <c r="G664" s="396">
        <v>1</v>
      </c>
      <c r="H664" s="395">
        <v>111910.39300000001</v>
      </c>
      <c r="I664" s="394">
        <v>1984.71</v>
      </c>
      <c r="J664" s="394">
        <v>159871.99</v>
      </c>
      <c r="K664" s="393" t="s">
        <v>1033</v>
      </c>
    </row>
    <row r="665" spans="1:12" hidden="1" x14ac:dyDescent="0.3">
      <c r="A665" s="397" t="s">
        <v>4970</v>
      </c>
      <c r="C665" s="397" t="s">
        <v>1053</v>
      </c>
      <c r="D665" s="397" t="s">
        <v>4969</v>
      </c>
      <c r="E665" s="397" t="s">
        <v>4946</v>
      </c>
      <c r="F665" s="397" t="s">
        <v>191</v>
      </c>
      <c r="G665" s="396">
        <v>1</v>
      </c>
      <c r="H665" s="395">
        <v>73838.954000000012</v>
      </c>
      <c r="I665" s="394">
        <v>37553.83</v>
      </c>
      <c r="J665" s="394">
        <v>105484.22</v>
      </c>
      <c r="K665" s="393" t="s">
        <v>1033</v>
      </c>
    </row>
    <row r="666" spans="1:12" hidden="1" x14ac:dyDescent="0.3">
      <c r="A666" s="397" t="s">
        <v>5125</v>
      </c>
      <c r="C666" s="397" t="s">
        <v>1053</v>
      </c>
      <c r="D666" s="397" t="s">
        <v>5124</v>
      </c>
      <c r="E666" s="397" t="s">
        <v>5123</v>
      </c>
      <c r="F666" s="397" t="s">
        <v>191</v>
      </c>
      <c r="G666" s="396">
        <v>2</v>
      </c>
      <c r="H666" s="395">
        <v>111910.39300000001</v>
      </c>
      <c r="I666" s="394">
        <v>1984.71</v>
      </c>
      <c r="J666" s="394">
        <v>159871.99</v>
      </c>
      <c r="K666" s="393" t="s">
        <v>1033</v>
      </c>
    </row>
    <row r="667" spans="1:12" hidden="1" x14ac:dyDescent="0.3">
      <c r="A667" s="397" t="s">
        <v>4957</v>
      </c>
      <c r="C667" s="397" t="s">
        <v>1053</v>
      </c>
      <c r="D667" s="397" t="s">
        <v>4956</v>
      </c>
      <c r="E667" s="397" t="s">
        <v>4946</v>
      </c>
      <c r="F667" s="397" t="s">
        <v>191</v>
      </c>
      <c r="G667" s="396">
        <v>1</v>
      </c>
      <c r="H667" s="395">
        <v>70172.361000000004</v>
      </c>
      <c r="I667" s="394">
        <v>47358.99</v>
      </c>
      <c r="J667" s="394">
        <v>100246.23</v>
      </c>
      <c r="K667" s="393" t="s">
        <v>1033</v>
      </c>
    </row>
    <row r="668" spans="1:12" hidden="1" x14ac:dyDescent="0.3">
      <c r="A668" s="397" t="s">
        <v>4955</v>
      </c>
      <c r="C668" s="397" t="s">
        <v>1053</v>
      </c>
      <c r="D668" s="397" t="s">
        <v>4954</v>
      </c>
      <c r="E668" s="397" t="s">
        <v>4953</v>
      </c>
      <c r="F668" s="397" t="s">
        <v>191</v>
      </c>
      <c r="G668" s="396">
        <v>1</v>
      </c>
      <c r="H668" s="395">
        <v>69335.707000000009</v>
      </c>
      <c r="I668" s="394">
        <v>3541.84</v>
      </c>
      <c r="J668" s="394">
        <v>99051.010000000009</v>
      </c>
      <c r="K668" s="393" t="s">
        <v>1033</v>
      </c>
      <c r="L668" s="395">
        <v>1</v>
      </c>
    </row>
    <row r="669" spans="1:12" hidden="1" x14ac:dyDescent="0.3">
      <c r="A669" s="397" t="s">
        <v>4762</v>
      </c>
      <c r="C669" s="397" t="s">
        <v>1053</v>
      </c>
      <c r="D669" s="397" t="s">
        <v>4761</v>
      </c>
      <c r="E669" s="397" t="s">
        <v>4755</v>
      </c>
      <c r="F669" s="397" t="s">
        <v>191</v>
      </c>
      <c r="G669" s="396">
        <v>1</v>
      </c>
      <c r="H669" s="395">
        <v>250739.87399999998</v>
      </c>
      <c r="I669" s="394">
        <v>29454.53</v>
      </c>
      <c r="J669" s="394">
        <v>358199.82</v>
      </c>
      <c r="K669" s="393" t="s">
        <v>1033</v>
      </c>
    </row>
    <row r="670" spans="1:12" hidden="1" x14ac:dyDescent="0.3">
      <c r="A670" s="397" t="s">
        <v>4764</v>
      </c>
      <c r="C670" s="397" t="s">
        <v>1053</v>
      </c>
      <c r="D670" s="397" t="s">
        <v>4763</v>
      </c>
      <c r="E670" s="397" t="s">
        <v>4755</v>
      </c>
      <c r="F670" s="397" t="s">
        <v>191</v>
      </c>
      <c r="G670" s="396">
        <v>1</v>
      </c>
      <c r="H670" s="395">
        <v>250739.87399999998</v>
      </c>
      <c r="I670" s="394">
        <v>29454.53</v>
      </c>
      <c r="J670" s="394">
        <v>358199.82</v>
      </c>
      <c r="K670" s="393" t="s">
        <v>1033</v>
      </c>
      <c r="L670" s="395">
        <v>1</v>
      </c>
    </row>
    <row r="671" spans="1:12" hidden="1" x14ac:dyDescent="0.3">
      <c r="A671" s="397" t="s">
        <v>718</v>
      </c>
      <c r="C671" s="397" t="s">
        <v>1053</v>
      </c>
      <c r="D671" s="397" t="s">
        <v>253</v>
      </c>
      <c r="E671" s="397" t="s">
        <v>252</v>
      </c>
      <c r="F671" s="397" t="s">
        <v>191</v>
      </c>
      <c r="G671" s="396">
        <v>9</v>
      </c>
      <c r="H671" s="395">
        <v>115099.36199999999</v>
      </c>
      <c r="I671" s="394">
        <v>112985.25</v>
      </c>
      <c r="J671" s="394">
        <v>164427.66</v>
      </c>
      <c r="K671" s="393" t="s">
        <v>1033</v>
      </c>
      <c r="L671" s="395">
        <v>4</v>
      </c>
    </row>
    <row r="672" spans="1:12" hidden="1" x14ac:dyDescent="0.3">
      <c r="A672" s="397" t="s">
        <v>6310</v>
      </c>
      <c r="C672" s="397" t="s">
        <v>1053</v>
      </c>
      <c r="D672" s="397" t="s">
        <v>562</v>
      </c>
      <c r="E672" s="397" t="s">
        <v>563</v>
      </c>
      <c r="F672" s="397" t="s">
        <v>191</v>
      </c>
      <c r="G672" s="396">
        <v>4</v>
      </c>
      <c r="H672" s="395">
        <v>181788.65600000002</v>
      </c>
      <c r="I672" s="394">
        <v>177323.86000000002</v>
      </c>
      <c r="J672" s="394">
        <v>259698.08000000002</v>
      </c>
      <c r="K672" s="393" t="s">
        <v>1033</v>
      </c>
    </row>
    <row r="673" spans="1:12" hidden="1" x14ac:dyDescent="0.3">
      <c r="A673" s="397" t="s">
        <v>6702</v>
      </c>
      <c r="C673" s="397" t="s">
        <v>1053</v>
      </c>
      <c r="D673" s="397" t="s">
        <v>6701</v>
      </c>
      <c r="E673" s="397" t="s">
        <v>6700</v>
      </c>
      <c r="F673" s="397" t="s">
        <v>191</v>
      </c>
      <c r="G673" s="396">
        <v>1</v>
      </c>
      <c r="H673" s="395">
        <v>743281.57400000002</v>
      </c>
      <c r="I673" s="394">
        <v>720066.51</v>
      </c>
      <c r="J673" s="394">
        <v>1061830.82</v>
      </c>
      <c r="K673" s="393" t="s">
        <v>1033</v>
      </c>
    </row>
    <row r="674" spans="1:12" hidden="1" x14ac:dyDescent="0.3">
      <c r="A674" s="397" t="s">
        <v>6705</v>
      </c>
      <c r="C674" s="397" t="s">
        <v>1053</v>
      </c>
      <c r="D674" s="397" t="s">
        <v>6704</v>
      </c>
      <c r="E674" s="397" t="s">
        <v>6703</v>
      </c>
      <c r="F674" s="397" t="s">
        <v>191</v>
      </c>
      <c r="G674" s="396">
        <v>1</v>
      </c>
      <c r="H674" s="395">
        <v>829120.79599999997</v>
      </c>
      <c r="I674" s="394">
        <v>761261.99</v>
      </c>
      <c r="J674" s="394">
        <v>1184458.28</v>
      </c>
      <c r="K674" s="393" t="s">
        <v>1033</v>
      </c>
    </row>
    <row r="675" spans="1:12" hidden="1" x14ac:dyDescent="0.3">
      <c r="A675" s="397" t="s">
        <v>6596</v>
      </c>
      <c r="C675" s="397" t="s">
        <v>1053</v>
      </c>
      <c r="D675" s="397" t="s">
        <v>6595</v>
      </c>
      <c r="E675" s="397" t="s">
        <v>6592</v>
      </c>
      <c r="F675" s="397" t="s">
        <v>191</v>
      </c>
      <c r="G675" s="396">
        <v>1</v>
      </c>
      <c r="H675" s="395">
        <v>646667.91700000002</v>
      </c>
      <c r="I675" s="394">
        <v>82049.19</v>
      </c>
      <c r="J675" s="394">
        <v>923811.31</v>
      </c>
      <c r="K675" s="393" t="s">
        <v>1033</v>
      </c>
    </row>
    <row r="676" spans="1:12" hidden="1" x14ac:dyDescent="0.3">
      <c r="A676" s="397" t="s">
        <v>618</v>
      </c>
      <c r="C676" s="397" t="s">
        <v>1053</v>
      </c>
      <c r="D676" s="397" t="s">
        <v>565</v>
      </c>
      <c r="E676" s="397" t="s">
        <v>566</v>
      </c>
      <c r="F676" s="397" t="s">
        <v>191</v>
      </c>
      <c r="G676" s="396">
        <v>6</v>
      </c>
      <c r="H676" s="395">
        <v>111841.74400000001</v>
      </c>
      <c r="I676" s="394">
        <v>109805.36</v>
      </c>
      <c r="J676" s="394">
        <v>159773.92000000001</v>
      </c>
      <c r="K676" s="393" t="s">
        <v>1033</v>
      </c>
      <c r="L676" s="395">
        <v>6</v>
      </c>
    </row>
    <row r="677" spans="1:12" hidden="1" x14ac:dyDescent="0.3">
      <c r="A677" s="397" t="s">
        <v>6633</v>
      </c>
      <c r="C677" s="397" t="s">
        <v>1053</v>
      </c>
      <c r="D677" s="397" t="s">
        <v>6632</v>
      </c>
      <c r="E677" s="397" t="s">
        <v>6631</v>
      </c>
      <c r="F677" s="397" t="s">
        <v>191</v>
      </c>
      <c r="G677" s="396">
        <v>1</v>
      </c>
      <c r="H677" s="395">
        <v>1208895.0649999999</v>
      </c>
      <c r="I677" s="394">
        <v>1158908.21</v>
      </c>
      <c r="J677" s="394">
        <v>1726992.95</v>
      </c>
      <c r="K677" s="393" t="s">
        <v>1033</v>
      </c>
    </row>
    <row r="678" spans="1:12" hidden="1" x14ac:dyDescent="0.3">
      <c r="A678" s="397" t="s">
        <v>7659</v>
      </c>
      <c r="C678" s="397" t="s">
        <v>1053</v>
      </c>
      <c r="D678" s="397" t="s">
        <v>7658</v>
      </c>
      <c r="E678" s="397" t="s">
        <v>7649</v>
      </c>
      <c r="F678" s="397" t="s">
        <v>191</v>
      </c>
      <c r="G678" s="396">
        <v>1</v>
      </c>
      <c r="H678" s="395">
        <v>183553.37700000001</v>
      </c>
      <c r="I678" s="394">
        <v>180273.73</v>
      </c>
      <c r="J678" s="394">
        <v>262219.11</v>
      </c>
      <c r="K678" s="393" t="s">
        <v>1033</v>
      </c>
    </row>
    <row r="679" spans="1:12" hidden="1" x14ac:dyDescent="0.3">
      <c r="A679" s="397" t="s">
        <v>7195</v>
      </c>
      <c r="C679" s="397" t="s">
        <v>1053</v>
      </c>
      <c r="D679" s="397" t="s">
        <v>7194</v>
      </c>
      <c r="E679" s="397" t="s">
        <v>7193</v>
      </c>
      <c r="F679" s="397" t="s">
        <v>191</v>
      </c>
      <c r="G679" s="396">
        <v>1</v>
      </c>
      <c r="H679" s="395">
        <v>1273905.115</v>
      </c>
      <c r="I679" s="394">
        <v>929509.02</v>
      </c>
      <c r="J679" s="394">
        <v>1819864.45</v>
      </c>
      <c r="K679" s="393" t="s">
        <v>1033</v>
      </c>
    </row>
    <row r="680" spans="1:12" hidden="1" x14ac:dyDescent="0.3">
      <c r="A680" s="397" t="s">
        <v>915</v>
      </c>
      <c r="C680" s="397" t="s">
        <v>1053</v>
      </c>
      <c r="D680" s="397" t="s">
        <v>914</v>
      </c>
      <c r="E680" s="397" t="s">
        <v>913</v>
      </c>
      <c r="F680" s="397" t="s">
        <v>191</v>
      </c>
      <c r="G680" s="396">
        <v>1</v>
      </c>
      <c r="H680" s="395">
        <v>50933.581999999995</v>
      </c>
      <c r="I680" s="394">
        <v>6138.6500000000005</v>
      </c>
      <c r="J680" s="394">
        <v>72762.259999999995</v>
      </c>
      <c r="K680" s="393" t="s">
        <v>1033</v>
      </c>
    </row>
    <row r="681" spans="1:12" hidden="1" x14ac:dyDescent="0.3">
      <c r="A681" s="397" t="s">
        <v>915</v>
      </c>
      <c r="C681" s="397" t="s">
        <v>1053</v>
      </c>
      <c r="D681" s="397" t="s">
        <v>7689</v>
      </c>
      <c r="E681" s="397" t="s">
        <v>7688</v>
      </c>
      <c r="F681" s="397" t="s">
        <v>191</v>
      </c>
      <c r="G681" s="396">
        <v>1</v>
      </c>
      <c r="H681" s="395">
        <v>62158.754000000008</v>
      </c>
      <c r="I681" s="394">
        <v>61076.26</v>
      </c>
      <c r="J681" s="394">
        <v>88798.22</v>
      </c>
      <c r="K681" s="393" t="s">
        <v>1033</v>
      </c>
    </row>
    <row r="682" spans="1:12" hidden="1" x14ac:dyDescent="0.3">
      <c r="A682" s="397" t="s">
        <v>7220</v>
      </c>
      <c r="C682" s="397" t="s">
        <v>1053</v>
      </c>
      <c r="D682" s="397" t="s">
        <v>7219</v>
      </c>
      <c r="E682" s="397" t="s">
        <v>7217</v>
      </c>
      <c r="F682" s="397" t="s">
        <v>191</v>
      </c>
      <c r="G682" s="396">
        <v>1</v>
      </c>
      <c r="H682" s="395">
        <v>1128119.3700000001</v>
      </c>
      <c r="I682" s="394">
        <v>10215.51</v>
      </c>
      <c r="J682" s="394">
        <v>1611599.1</v>
      </c>
      <c r="K682" s="393" t="s">
        <v>1033</v>
      </c>
    </row>
    <row r="683" spans="1:12" hidden="1" x14ac:dyDescent="0.3">
      <c r="A683" s="397" t="s">
        <v>6488</v>
      </c>
      <c r="C683" s="397" t="s">
        <v>1053</v>
      </c>
      <c r="D683" s="397" t="s">
        <v>6487</v>
      </c>
      <c r="E683" s="397" t="s">
        <v>6486</v>
      </c>
      <c r="F683" s="397" t="s">
        <v>191</v>
      </c>
      <c r="G683" s="396">
        <v>1</v>
      </c>
      <c r="H683" s="395">
        <v>159324.48699999999</v>
      </c>
      <c r="I683" s="394">
        <v>123558.7</v>
      </c>
      <c r="J683" s="394">
        <v>227606.41</v>
      </c>
      <c r="K683" s="393" t="s">
        <v>1033</v>
      </c>
    </row>
    <row r="684" spans="1:12" hidden="1" x14ac:dyDescent="0.3">
      <c r="A684" s="397" t="s">
        <v>4347</v>
      </c>
      <c r="C684" s="397" t="s">
        <v>1053</v>
      </c>
      <c r="D684" s="397" t="s">
        <v>4346</v>
      </c>
      <c r="E684" s="397" t="s">
        <v>4345</v>
      </c>
      <c r="F684" s="397" t="s">
        <v>191</v>
      </c>
      <c r="G684" s="396">
        <v>1</v>
      </c>
      <c r="H684" s="395">
        <v>18761.232</v>
      </c>
      <c r="I684" s="394">
        <v>117.41</v>
      </c>
      <c r="J684" s="394">
        <v>26801.760000000002</v>
      </c>
      <c r="K684" s="393" t="s">
        <v>1033</v>
      </c>
    </row>
    <row r="685" spans="1:12" hidden="1" x14ac:dyDescent="0.3">
      <c r="A685" s="397" t="s">
        <v>6924</v>
      </c>
      <c r="C685" s="397" t="s">
        <v>1053</v>
      </c>
      <c r="D685" s="397" t="s">
        <v>255</v>
      </c>
      <c r="E685" s="397" t="s">
        <v>254</v>
      </c>
      <c r="F685" s="397" t="s">
        <v>191</v>
      </c>
      <c r="G685" s="396">
        <v>1</v>
      </c>
      <c r="H685" s="395">
        <v>1114614.3959999999</v>
      </c>
      <c r="I685" s="394">
        <v>1095062.46</v>
      </c>
      <c r="J685" s="394">
        <v>1592306.28</v>
      </c>
      <c r="K685" s="393" t="s">
        <v>1033</v>
      </c>
    </row>
    <row r="686" spans="1:12" hidden="1" x14ac:dyDescent="0.3">
      <c r="A686" s="397" t="s">
        <v>904</v>
      </c>
      <c r="C686" s="397" t="s">
        <v>1053</v>
      </c>
      <c r="D686" s="397" t="s">
        <v>903</v>
      </c>
      <c r="E686" s="397" t="s">
        <v>902</v>
      </c>
      <c r="F686" s="397" t="s">
        <v>191</v>
      </c>
      <c r="G686" s="396">
        <v>1</v>
      </c>
      <c r="H686" s="395">
        <v>88965.296000000002</v>
      </c>
      <c r="I686" s="394">
        <v>20891.189999999999</v>
      </c>
      <c r="J686" s="394">
        <v>127093.28</v>
      </c>
      <c r="K686" s="393" t="s">
        <v>1033</v>
      </c>
    </row>
    <row r="687" spans="1:12" hidden="1" x14ac:dyDescent="0.3">
      <c r="A687" s="397" t="s">
        <v>900</v>
      </c>
      <c r="C687" s="397" t="s">
        <v>1053</v>
      </c>
      <c r="D687" s="397" t="s">
        <v>899</v>
      </c>
      <c r="E687" s="397" t="s">
        <v>898</v>
      </c>
      <c r="F687" s="397" t="s">
        <v>191</v>
      </c>
      <c r="G687" s="396">
        <v>1</v>
      </c>
      <c r="H687" s="395">
        <v>296833.86600000004</v>
      </c>
      <c r="I687" s="394">
        <v>54385.840000000004</v>
      </c>
      <c r="J687" s="394">
        <v>424048.38</v>
      </c>
      <c r="K687" s="393" t="s">
        <v>1033</v>
      </c>
    </row>
    <row r="688" spans="1:12" hidden="1" x14ac:dyDescent="0.3">
      <c r="A688" s="397" t="s">
        <v>6591</v>
      </c>
      <c r="C688" s="397" t="s">
        <v>1053</v>
      </c>
      <c r="D688" s="397" t="s">
        <v>6590</v>
      </c>
      <c r="E688" s="397" t="s">
        <v>6589</v>
      </c>
      <c r="F688" s="397" t="s">
        <v>191</v>
      </c>
      <c r="G688" s="396">
        <v>1</v>
      </c>
      <c r="H688" s="395">
        <v>8159.0109999999995</v>
      </c>
      <c r="I688" s="394">
        <v>3919.85</v>
      </c>
      <c r="J688" s="394">
        <v>11655.73</v>
      </c>
      <c r="K688" s="393" t="s">
        <v>1033</v>
      </c>
    </row>
    <row r="689" spans="1:12" hidden="1" x14ac:dyDescent="0.3">
      <c r="A689" s="397" t="s">
        <v>7325</v>
      </c>
      <c r="C689" s="397" t="s">
        <v>1053</v>
      </c>
      <c r="D689" s="397" t="s">
        <v>7324</v>
      </c>
      <c r="E689" s="397" t="s">
        <v>455</v>
      </c>
      <c r="F689" s="397" t="s">
        <v>191</v>
      </c>
      <c r="G689" s="396">
        <v>3</v>
      </c>
      <c r="H689" s="395">
        <v>252162.03600000002</v>
      </c>
      <c r="I689" s="394">
        <v>185716.51</v>
      </c>
      <c r="J689" s="394">
        <v>360231.48</v>
      </c>
      <c r="K689" s="393" t="s">
        <v>1033</v>
      </c>
    </row>
    <row r="690" spans="1:12" hidden="1" x14ac:dyDescent="0.3">
      <c r="A690" s="397" t="s">
        <v>4692</v>
      </c>
      <c r="C690" s="397" t="s">
        <v>1053</v>
      </c>
      <c r="D690" s="397" t="s">
        <v>4691</v>
      </c>
      <c r="E690" s="397" t="s">
        <v>4670</v>
      </c>
      <c r="F690" s="397" t="s">
        <v>191</v>
      </c>
      <c r="G690" s="396">
        <v>1</v>
      </c>
      <c r="H690" s="395">
        <v>39601.477999999996</v>
      </c>
      <c r="I690" s="394">
        <v>1112.18</v>
      </c>
      <c r="J690" s="394">
        <v>56573.54</v>
      </c>
      <c r="K690" s="393" t="s">
        <v>1033</v>
      </c>
    </row>
    <row r="691" spans="1:12" hidden="1" x14ac:dyDescent="0.3">
      <c r="A691" s="397" t="s">
        <v>8219</v>
      </c>
      <c r="C691" s="397" t="s">
        <v>1053</v>
      </c>
      <c r="D691" s="397" t="s">
        <v>8218</v>
      </c>
      <c r="E691" s="397" t="s">
        <v>8215</v>
      </c>
      <c r="F691" s="397" t="s">
        <v>191</v>
      </c>
      <c r="G691" s="396">
        <v>3</v>
      </c>
      <c r="H691" s="395">
        <v>200594.89800000002</v>
      </c>
      <c r="I691" s="394">
        <v>8154.33</v>
      </c>
      <c r="J691" s="394">
        <v>286564.14</v>
      </c>
      <c r="K691" s="393" t="s">
        <v>1033</v>
      </c>
    </row>
    <row r="692" spans="1:12" hidden="1" x14ac:dyDescent="0.3">
      <c r="A692" s="397" t="s">
        <v>6491</v>
      </c>
      <c r="C692" s="397" t="s">
        <v>1053</v>
      </c>
      <c r="D692" s="397" t="s">
        <v>6490</v>
      </c>
      <c r="E692" s="397" t="s">
        <v>6489</v>
      </c>
      <c r="F692" s="397" t="s">
        <v>191</v>
      </c>
      <c r="G692" s="396">
        <v>1</v>
      </c>
      <c r="H692" s="395">
        <v>782223.00099999993</v>
      </c>
      <c r="I692" s="394">
        <v>4276.8900000000003</v>
      </c>
      <c r="J692" s="394">
        <v>1117461.43</v>
      </c>
      <c r="K692" s="393" t="s">
        <v>1033</v>
      </c>
    </row>
    <row r="693" spans="1:12" hidden="1" x14ac:dyDescent="0.3">
      <c r="A693" s="397" t="s">
        <v>6585</v>
      </c>
      <c r="C693" s="397" t="s">
        <v>1053</v>
      </c>
      <c r="D693" s="397" t="s">
        <v>6584</v>
      </c>
      <c r="E693" s="397" t="s">
        <v>6583</v>
      </c>
      <c r="F693" s="397" t="s">
        <v>191</v>
      </c>
      <c r="G693" s="396">
        <v>1</v>
      </c>
      <c r="H693" s="395">
        <v>1089135.7540000002</v>
      </c>
      <c r="I693" s="394">
        <v>4168.18</v>
      </c>
      <c r="J693" s="394">
        <v>1555908.22</v>
      </c>
      <c r="K693" s="393" t="s">
        <v>1033</v>
      </c>
    </row>
    <row r="694" spans="1:12" hidden="1" x14ac:dyDescent="0.3">
      <c r="A694" s="397" t="s">
        <v>4663</v>
      </c>
      <c r="C694" s="397" t="s">
        <v>1053</v>
      </c>
      <c r="D694" s="397" t="s">
        <v>4662</v>
      </c>
      <c r="E694" s="397" t="s">
        <v>4661</v>
      </c>
      <c r="F694" s="397" t="s">
        <v>191</v>
      </c>
      <c r="G694" s="396">
        <v>1</v>
      </c>
      <c r="H694" s="395">
        <v>1358091.1469999999</v>
      </c>
      <c r="I694" s="394">
        <v>20200.14</v>
      </c>
      <c r="J694" s="394">
        <v>1940130.21</v>
      </c>
      <c r="K694" s="393" t="s">
        <v>1033</v>
      </c>
    </row>
    <row r="695" spans="1:12" hidden="1" x14ac:dyDescent="0.3">
      <c r="A695" s="397" t="s">
        <v>4427</v>
      </c>
      <c r="C695" s="397" t="s">
        <v>1053</v>
      </c>
      <c r="D695" s="397" t="s">
        <v>4426</v>
      </c>
      <c r="E695" s="397" t="s">
        <v>4425</v>
      </c>
      <c r="F695" s="397" t="s">
        <v>191</v>
      </c>
      <c r="G695" s="396">
        <v>1</v>
      </c>
      <c r="H695" s="395">
        <v>177431.079</v>
      </c>
      <c r="I695" s="394">
        <v>12186.44</v>
      </c>
      <c r="J695" s="394">
        <v>253472.97</v>
      </c>
      <c r="K695" s="393" t="s">
        <v>1033</v>
      </c>
    </row>
    <row r="696" spans="1:12" hidden="1" x14ac:dyDescent="0.3">
      <c r="A696" s="397" t="s">
        <v>8254</v>
      </c>
      <c r="C696" s="397" t="s">
        <v>1053</v>
      </c>
      <c r="D696" s="397" t="s">
        <v>8253</v>
      </c>
      <c r="E696" s="397" t="s">
        <v>8252</v>
      </c>
      <c r="F696" s="397" t="s">
        <v>191</v>
      </c>
      <c r="G696" s="396">
        <v>1</v>
      </c>
      <c r="H696" s="395">
        <v>130454.149</v>
      </c>
      <c r="I696" s="394">
        <v>85294.46</v>
      </c>
      <c r="J696" s="394">
        <v>186363.07</v>
      </c>
      <c r="K696" s="393" t="s">
        <v>1033</v>
      </c>
      <c r="L696" s="395">
        <v>1</v>
      </c>
    </row>
    <row r="697" spans="1:12" hidden="1" x14ac:dyDescent="0.3">
      <c r="A697" s="397" t="s">
        <v>4073</v>
      </c>
      <c r="C697" s="397" t="s">
        <v>1053</v>
      </c>
      <c r="D697" s="397" t="s">
        <v>6492</v>
      </c>
      <c r="E697" s="397" t="s">
        <v>6451</v>
      </c>
      <c r="F697" s="397" t="s">
        <v>191</v>
      </c>
      <c r="G697" s="396">
        <v>1</v>
      </c>
      <c r="H697" s="395">
        <v>565355.54599999997</v>
      </c>
      <c r="I697" s="394">
        <v>25327.8</v>
      </c>
      <c r="J697" s="394">
        <v>807650.78</v>
      </c>
      <c r="K697" s="393" t="s">
        <v>1033</v>
      </c>
    </row>
    <row r="698" spans="1:12" hidden="1" x14ac:dyDescent="0.3">
      <c r="A698" s="397" t="s">
        <v>4073</v>
      </c>
      <c r="C698" s="397" t="s">
        <v>1053</v>
      </c>
      <c r="D698" s="397" t="s">
        <v>4072</v>
      </c>
      <c r="E698" s="397" t="s">
        <v>4071</v>
      </c>
      <c r="F698" s="397" t="s">
        <v>191</v>
      </c>
      <c r="G698" s="396">
        <v>1</v>
      </c>
      <c r="H698" s="395">
        <v>818133.42799999996</v>
      </c>
      <c r="I698" s="394">
        <v>639295.78</v>
      </c>
      <c r="J698" s="394">
        <v>1168762.04</v>
      </c>
      <c r="K698" s="393" t="s">
        <v>1033</v>
      </c>
    </row>
    <row r="699" spans="1:12" hidden="1" x14ac:dyDescent="0.3">
      <c r="A699" s="397" t="s">
        <v>7243</v>
      </c>
      <c r="C699" s="397" t="s">
        <v>1053</v>
      </c>
      <c r="D699" s="397" t="s">
        <v>7242</v>
      </c>
      <c r="E699" s="397" t="s">
        <v>7241</v>
      </c>
      <c r="F699" s="397" t="s">
        <v>191</v>
      </c>
      <c r="G699" s="396">
        <v>1</v>
      </c>
      <c r="H699" s="395">
        <v>490620.86499999999</v>
      </c>
      <c r="I699" s="394">
        <v>481996.60000000003</v>
      </c>
      <c r="J699" s="394">
        <v>700886.95000000007</v>
      </c>
      <c r="K699" s="393" t="s">
        <v>1033</v>
      </c>
    </row>
    <row r="700" spans="1:12" hidden="1" x14ac:dyDescent="0.3">
      <c r="A700" s="397" t="s">
        <v>4450</v>
      </c>
      <c r="C700" s="397" t="s">
        <v>1053</v>
      </c>
      <c r="D700" s="397" t="s">
        <v>4449</v>
      </c>
      <c r="E700" s="397" t="s">
        <v>4425</v>
      </c>
      <c r="F700" s="397" t="s">
        <v>191</v>
      </c>
      <c r="G700" s="396">
        <v>1</v>
      </c>
      <c r="H700" s="395">
        <v>74895.527000000002</v>
      </c>
      <c r="I700" s="394">
        <v>5118.3</v>
      </c>
      <c r="J700" s="394">
        <v>106993.61</v>
      </c>
      <c r="K700" s="393" t="s">
        <v>1033</v>
      </c>
    </row>
    <row r="701" spans="1:12" hidden="1" x14ac:dyDescent="0.3">
      <c r="A701" s="397" t="s">
        <v>3786</v>
      </c>
      <c r="C701" s="397" t="s">
        <v>1053</v>
      </c>
      <c r="D701" s="397" t="s">
        <v>3785</v>
      </c>
      <c r="E701" s="397" t="s">
        <v>3784</v>
      </c>
      <c r="F701" s="397" t="s">
        <v>191</v>
      </c>
      <c r="G701" s="396">
        <v>1</v>
      </c>
      <c r="H701" s="395">
        <v>549439.01600000006</v>
      </c>
      <c r="I701" s="394">
        <v>274423.67999999999</v>
      </c>
      <c r="J701" s="394">
        <v>784912.88</v>
      </c>
      <c r="K701" s="393" t="s">
        <v>1033</v>
      </c>
    </row>
    <row r="702" spans="1:12" hidden="1" x14ac:dyDescent="0.3">
      <c r="A702" s="397" t="s">
        <v>4669</v>
      </c>
      <c r="C702" s="397" t="s">
        <v>1053</v>
      </c>
      <c r="D702" s="397" t="s">
        <v>4668</v>
      </c>
      <c r="E702" s="397" t="s">
        <v>4667</v>
      </c>
      <c r="F702" s="397" t="s">
        <v>191</v>
      </c>
      <c r="G702" s="396">
        <v>1</v>
      </c>
      <c r="H702" s="395">
        <v>72776.487000000008</v>
      </c>
      <c r="I702" s="394">
        <v>541.39</v>
      </c>
      <c r="J702" s="394">
        <v>103966.41</v>
      </c>
      <c r="K702" s="393" t="s">
        <v>1033</v>
      </c>
    </row>
    <row r="703" spans="1:12" hidden="1" x14ac:dyDescent="0.3">
      <c r="A703" s="397" t="s">
        <v>6441</v>
      </c>
      <c r="C703" s="397" t="s">
        <v>1053</v>
      </c>
      <c r="D703" s="397" t="s">
        <v>6440</v>
      </c>
      <c r="E703" s="397" t="s">
        <v>6439</v>
      </c>
      <c r="F703" s="397" t="s">
        <v>191</v>
      </c>
      <c r="G703" s="396">
        <v>1</v>
      </c>
      <c r="H703" s="395">
        <v>765907.29599999997</v>
      </c>
      <c r="I703" s="394">
        <v>12978.18</v>
      </c>
      <c r="J703" s="394">
        <v>1094153.28</v>
      </c>
      <c r="K703" s="393" t="s">
        <v>1033</v>
      </c>
    </row>
    <row r="704" spans="1:12" hidden="1" x14ac:dyDescent="0.3">
      <c r="A704" s="397" t="s">
        <v>6363</v>
      </c>
      <c r="C704" s="397" t="s">
        <v>1053</v>
      </c>
      <c r="D704" s="397" t="s">
        <v>6362</v>
      </c>
      <c r="E704" s="397" t="s">
        <v>6359</v>
      </c>
      <c r="F704" s="397" t="s">
        <v>191</v>
      </c>
      <c r="G704" s="396">
        <v>3</v>
      </c>
      <c r="H704" s="395">
        <v>286917.05699999997</v>
      </c>
      <c r="I704" s="394">
        <v>268718.84000000003</v>
      </c>
      <c r="J704" s="394">
        <v>409881.51</v>
      </c>
      <c r="K704" s="393" t="s">
        <v>1033</v>
      </c>
    </row>
    <row r="705" spans="1:12" hidden="1" x14ac:dyDescent="0.3">
      <c r="A705" s="397" t="s">
        <v>7444</v>
      </c>
      <c r="C705" s="397" t="s">
        <v>1053</v>
      </c>
      <c r="D705" s="397" t="s">
        <v>7443</v>
      </c>
      <c r="E705" s="397" t="s">
        <v>7442</v>
      </c>
      <c r="F705" s="397" t="s">
        <v>191</v>
      </c>
      <c r="G705" s="396">
        <v>1</v>
      </c>
      <c r="H705" s="395">
        <v>475652.63899999997</v>
      </c>
      <c r="I705" s="394">
        <v>403677.93</v>
      </c>
      <c r="J705" s="394">
        <v>679503.77</v>
      </c>
      <c r="K705" s="393" t="s">
        <v>1033</v>
      </c>
    </row>
    <row r="706" spans="1:12" hidden="1" x14ac:dyDescent="0.3">
      <c r="A706" s="397" t="s">
        <v>4079</v>
      </c>
      <c r="C706" s="397" t="s">
        <v>1053</v>
      </c>
      <c r="D706" s="397" t="s">
        <v>4078</v>
      </c>
      <c r="E706" s="397" t="s">
        <v>4077</v>
      </c>
      <c r="F706" s="397" t="s">
        <v>191</v>
      </c>
      <c r="G706" s="396">
        <v>1</v>
      </c>
      <c r="H706" s="395">
        <v>855053.10099999991</v>
      </c>
      <c r="I706" s="394">
        <v>563332.53</v>
      </c>
      <c r="J706" s="394">
        <v>1221504.43</v>
      </c>
      <c r="K706" s="393" t="s">
        <v>1033</v>
      </c>
    </row>
    <row r="707" spans="1:12" hidden="1" x14ac:dyDescent="0.3">
      <c r="A707" s="397" t="s">
        <v>7653</v>
      </c>
      <c r="C707" s="397" t="s">
        <v>1053</v>
      </c>
      <c r="D707" s="397" t="s">
        <v>7652</v>
      </c>
      <c r="E707" s="397" t="s">
        <v>7649</v>
      </c>
      <c r="F707" s="397" t="s">
        <v>191</v>
      </c>
      <c r="G707" s="396">
        <v>1</v>
      </c>
      <c r="H707" s="395">
        <v>197073.94</v>
      </c>
      <c r="I707" s="394">
        <v>48156.480000000003</v>
      </c>
      <c r="J707" s="394">
        <v>281534.2</v>
      </c>
      <c r="K707" s="393" t="s">
        <v>1033</v>
      </c>
      <c r="L707" s="395">
        <v>1</v>
      </c>
    </row>
    <row r="708" spans="1:12" hidden="1" x14ac:dyDescent="0.3">
      <c r="A708" s="397" t="s">
        <v>7662</v>
      </c>
      <c r="C708" s="397" t="s">
        <v>1053</v>
      </c>
      <c r="D708" s="397" t="s">
        <v>7661</v>
      </c>
      <c r="E708" s="397" t="s">
        <v>7660</v>
      </c>
      <c r="F708" s="397" t="s">
        <v>191</v>
      </c>
      <c r="G708" s="396">
        <v>1</v>
      </c>
      <c r="H708" s="395">
        <v>307347.06800000003</v>
      </c>
      <c r="I708" s="394">
        <v>297450.88</v>
      </c>
      <c r="J708" s="394">
        <v>439067.24</v>
      </c>
      <c r="K708" s="393" t="s">
        <v>1033</v>
      </c>
    </row>
    <row r="709" spans="1:12" hidden="1" x14ac:dyDescent="0.3">
      <c r="A709" s="397" t="s">
        <v>4093</v>
      </c>
      <c r="C709" s="397" t="s">
        <v>1053</v>
      </c>
      <c r="D709" s="397" t="s">
        <v>4092</v>
      </c>
      <c r="E709" s="397" t="s">
        <v>4091</v>
      </c>
      <c r="F709" s="397" t="s">
        <v>191</v>
      </c>
      <c r="G709" s="396">
        <v>1</v>
      </c>
      <c r="H709" s="395">
        <v>339851.386</v>
      </c>
      <c r="I709" s="394">
        <v>261956.81</v>
      </c>
      <c r="J709" s="394">
        <v>485501.98</v>
      </c>
      <c r="K709" s="393" t="s">
        <v>1033</v>
      </c>
    </row>
    <row r="710" spans="1:12" hidden="1" x14ac:dyDescent="0.3">
      <c r="A710" s="397" t="s">
        <v>7498</v>
      </c>
      <c r="C710" s="397" t="s">
        <v>1053</v>
      </c>
      <c r="D710" s="397" t="s">
        <v>7497</v>
      </c>
      <c r="E710" s="397" t="s">
        <v>7496</v>
      </c>
      <c r="F710" s="397" t="s">
        <v>191</v>
      </c>
      <c r="G710" s="396">
        <v>1</v>
      </c>
      <c r="H710" s="395">
        <v>3492160.5389999999</v>
      </c>
      <c r="I710" s="394">
        <v>239025.55000000002</v>
      </c>
      <c r="J710" s="394">
        <v>4988800.7699999996</v>
      </c>
      <c r="K710" s="393" t="s">
        <v>1033</v>
      </c>
    </row>
    <row r="711" spans="1:12" hidden="1" x14ac:dyDescent="0.3">
      <c r="A711" s="397" t="s">
        <v>7816</v>
      </c>
      <c r="C711" s="397" t="s">
        <v>1053</v>
      </c>
      <c r="D711" s="397" t="s">
        <v>7815</v>
      </c>
      <c r="E711" s="397" t="s">
        <v>7814</v>
      </c>
      <c r="F711" s="397" t="s">
        <v>191</v>
      </c>
      <c r="G711" s="396">
        <v>1</v>
      </c>
      <c r="H711" s="395">
        <v>425746.37</v>
      </c>
      <c r="I711" s="394">
        <v>30436.93</v>
      </c>
      <c r="J711" s="394">
        <v>608209.1</v>
      </c>
      <c r="K711" s="393" t="s">
        <v>1033</v>
      </c>
    </row>
    <row r="712" spans="1:12" hidden="1" x14ac:dyDescent="0.3">
      <c r="A712" s="397" t="s">
        <v>7655</v>
      </c>
      <c r="C712" s="397" t="s">
        <v>1053</v>
      </c>
      <c r="D712" s="397" t="s">
        <v>7654</v>
      </c>
      <c r="E712" s="397" t="s">
        <v>7649</v>
      </c>
      <c r="F712" s="397" t="s">
        <v>191</v>
      </c>
      <c r="G712" s="396">
        <v>1</v>
      </c>
      <c r="H712" s="395">
        <v>304101.74200000003</v>
      </c>
      <c r="I712" s="394">
        <v>51991.520000000004</v>
      </c>
      <c r="J712" s="394">
        <v>434431.06</v>
      </c>
      <c r="K712" s="393" t="s">
        <v>1033</v>
      </c>
    </row>
    <row r="713" spans="1:12" hidden="1" x14ac:dyDescent="0.3">
      <c r="A713" s="397" t="s">
        <v>4674</v>
      </c>
      <c r="C713" s="397" t="s">
        <v>1053</v>
      </c>
      <c r="D713" s="397" t="s">
        <v>4673</v>
      </c>
      <c r="E713" s="397" t="s">
        <v>4670</v>
      </c>
      <c r="F713" s="397" t="s">
        <v>191</v>
      </c>
      <c r="G713" s="396">
        <v>1</v>
      </c>
      <c r="H713" s="395">
        <v>65516.423000000003</v>
      </c>
      <c r="I713" s="394">
        <v>32569.760000000002</v>
      </c>
      <c r="J713" s="394">
        <v>93594.89</v>
      </c>
      <c r="K713" s="393" t="s">
        <v>1033</v>
      </c>
    </row>
    <row r="714" spans="1:12" hidden="1" x14ac:dyDescent="0.3">
      <c r="A714" s="397" t="s">
        <v>7657</v>
      </c>
      <c r="C714" s="397" t="s">
        <v>1053</v>
      </c>
      <c r="D714" s="397" t="s">
        <v>7656</v>
      </c>
      <c r="E714" s="397" t="s">
        <v>7649</v>
      </c>
      <c r="F714" s="397" t="s">
        <v>191</v>
      </c>
      <c r="G714" s="396">
        <v>1</v>
      </c>
      <c r="H714" s="395">
        <v>360819.13</v>
      </c>
      <c r="I714" s="394">
        <v>20756.13</v>
      </c>
      <c r="J714" s="394">
        <v>515455.9</v>
      </c>
      <c r="K714" s="393" t="s">
        <v>1033</v>
      </c>
    </row>
    <row r="715" spans="1:12" hidden="1" x14ac:dyDescent="0.3">
      <c r="A715" s="397" t="s">
        <v>7192</v>
      </c>
      <c r="C715" s="397" t="s">
        <v>1053</v>
      </c>
      <c r="D715" s="397" t="s">
        <v>7218</v>
      </c>
      <c r="E715" s="397" t="s">
        <v>7217</v>
      </c>
      <c r="F715" s="397" t="s">
        <v>191</v>
      </c>
      <c r="G715" s="396">
        <v>1</v>
      </c>
      <c r="H715" s="395">
        <v>1061534.8800000001</v>
      </c>
      <c r="I715" s="394">
        <v>944210.02</v>
      </c>
      <c r="J715" s="394">
        <v>1516478.4000000001</v>
      </c>
      <c r="K715" s="393" t="s">
        <v>1033</v>
      </c>
    </row>
    <row r="716" spans="1:12" hidden="1" x14ac:dyDescent="0.3">
      <c r="A716" s="397" t="s">
        <v>7192</v>
      </c>
      <c r="C716" s="397" t="s">
        <v>1053</v>
      </c>
      <c r="D716" s="397" t="s">
        <v>7191</v>
      </c>
      <c r="E716" s="397" t="s">
        <v>7190</v>
      </c>
      <c r="F716" s="397" t="s">
        <v>191</v>
      </c>
      <c r="G716" s="396">
        <v>1</v>
      </c>
      <c r="H716" s="395">
        <v>1162519.0009999999</v>
      </c>
      <c r="I716" s="394">
        <v>766676.14</v>
      </c>
      <c r="J716" s="394">
        <v>1660741.43</v>
      </c>
      <c r="K716" s="393" t="s">
        <v>1033</v>
      </c>
    </row>
    <row r="717" spans="1:12" hidden="1" x14ac:dyDescent="0.3">
      <c r="A717" s="397" t="s">
        <v>6630</v>
      </c>
      <c r="C717" s="397" t="s">
        <v>1053</v>
      </c>
      <c r="D717" s="397" t="s">
        <v>6629</v>
      </c>
      <c r="E717" s="397" t="s">
        <v>6626</v>
      </c>
      <c r="F717" s="397" t="s">
        <v>191</v>
      </c>
      <c r="G717" s="396">
        <v>2</v>
      </c>
      <c r="H717" s="395">
        <v>1208895.0649999999</v>
      </c>
      <c r="I717" s="394">
        <v>1188054.74</v>
      </c>
      <c r="J717" s="394">
        <v>1726992.95</v>
      </c>
      <c r="K717" s="393" t="s">
        <v>1033</v>
      </c>
    </row>
    <row r="718" spans="1:12" hidden="1" x14ac:dyDescent="0.3">
      <c r="A718" s="397" t="s">
        <v>6378</v>
      </c>
      <c r="C718" s="397" t="s">
        <v>1053</v>
      </c>
      <c r="D718" s="397" t="s">
        <v>6377</v>
      </c>
      <c r="E718" s="397" t="s">
        <v>6167</v>
      </c>
      <c r="F718" s="397" t="s">
        <v>191</v>
      </c>
      <c r="G718" s="396">
        <v>3</v>
      </c>
      <c r="H718" s="395">
        <v>286917.05699999997</v>
      </c>
      <c r="I718" s="394">
        <v>275477.11</v>
      </c>
      <c r="J718" s="394">
        <v>409881.51</v>
      </c>
      <c r="K718" s="393" t="s">
        <v>1033</v>
      </c>
    </row>
    <row r="719" spans="1:12" hidden="1" x14ac:dyDescent="0.3">
      <c r="A719" s="397" t="s">
        <v>6588</v>
      </c>
      <c r="C719" s="397" t="s">
        <v>1053</v>
      </c>
      <c r="D719" s="397" t="s">
        <v>6587</v>
      </c>
      <c r="E719" s="397" t="s">
        <v>6586</v>
      </c>
      <c r="F719" s="397" t="s">
        <v>191</v>
      </c>
      <c r="G719" s="396">
        <v>1</v>
      </c>
      <c r="H719" s="395">
        <v>1024567.768</v>
      </c>
      <c r="I719" s="394">
        <v>8997.31</v>
      </c>
      <c r="J719" s="394">
        <v>1463668.24</v>
      </c>
      <c r="K719" s="393" t="s">
        <v>1033</v>
      </c>
    </row>
    <row r="720" spans="1:12" hidden="1" x14ac:dyDescent="0.3">
      <c r="A720" s="397" t="s">
        <v>6822</v>
      </c>
      <c r="C720" s="397" t="s">
        <v>1053</v>
      </c>
      <c r="D720" s="397" t="s">
        <v>6821</v>
      </c>
      <c r="E720" s="397" t="s">
        <v>6820</v>
      </c>
      <c r="F720" s="397" t="s">
        <v>191</v>
      </c>
      <c r="G720" s="396">
        <v>2</v>
      </c>
      <c r="H720" s="395">
        <v>606801.81099999999</v>
      </c>
      <c r="I720" s="394">
        <v>348240.88</v>
      </c>
      <c r="J720" s="394">
        <v>866859.73</v>
      </c>
      <c r="K720" s="393" t="s">
        <v>1033</v>
      </c>
    </row>
    <row r="721" spans="1:12" hidden="1" x14ac:dyDescent="0.3">
      <c r="A721" s="397" t="s">
        <v>1450</v>
      </c>
      <c r="C721" s="397" t="s">
        <v>1053</v>
      </c>
      <c r="D721" s="397" t="s">
        <v>1449</v>
      </c>
      <c r="E721" s="397" t="s">
        <v>1448</v>
      </c>
      <c r="F721" s="397" t="s">
        <v>191</v>
      </c>
      <c r="G721" s="396">
        <v>2</v>
      </c>
      <c r="H721" s="395">
        <v>129152.00900000001</v>
      </c>
      <c r="I721" s="394">
        <v>109757.96</v>
      </c>
      <c r="J721" s="394">
        <v>184502.87</v>
      </c>
      <c r="K721" s="393" t="s">
        <v>1033</v>
      </c>
    </row>
    <row r="722" spans="1:12" hidden="1" x14ac:dyDescent="0.3">
      <c r="A722" s="397" t="s">
        <v>7846</v>
      </c>
      <c r="C722" s="397" t="s">
        <v>1053</v>
      </c>
      <c r="D722" s="397" t="s">
        <v>7845</v>
      </c>
      <c r="E722" s="397" t="s">
        <v>7835</v>
      </c>
      <c r="F722" s="397" t="s">
        <v>191</v>
      </c>
      <c r="G722" s="396">
        <v>1</v>
      </c>
      <c r="H722" s="395">
        <v>183031.81399999998</v>
      </c>
      <c r="I722" s="394">
        <v>13521.73</v>
      </c>
      <c r="J722" s="394">
        <v>261474.02000000002</v>
      </c>
      <c r="K722" s="393" t="s">
        <v>1033</v>
      </c>
    </row>
    <row r="723" spans="1:12" hidden="1" x14ac:dyDescent="0.3">
      <c r="A723" s="397" t="s">
        <v>4695</v>
      </c>
      <c r="C723" s="397" t="s">
        <v>1053</v>
      </c>
      <c r="D723" s="397" t="s">
        <v>4694</v>
      </c>
      <c r="E723" s="397" t="s">
        <v>4693</v>
      </c>
      <c r="F723" s="397" t="s">
        <v>191</v>
      </c>
      <c r="G723" s="396">
        <v>2</v>
      </c>
      <c r="H723" s="395">
        <v>257325.16600000003</v>
      </c>
      <c r="I723" s="394">
        <v>251641.61000000002</v>
      </c>
      <c r="J723" s="394">
        <v>367607.38</v>
      </c>
      <c r="K723" s="393" t="s">
        <v>1033</v>
      </c>
    </row>
    <row r="724" spans="1:12" hidden="1" x14ac:dyDescent="0.3">
      <c r="A724" s="397" t="s">
        <v>4701</v>
      </c>
      <c r="C724" s="397" t="s">
        <v>1053</v>
      </c>
      <c r="D724" s="397" t="s">
        <v>4700</v>
      </c>
      <c r="E724" s="397" t="s">
        <v>4699</v>
      </c>
      <c r="F724" s="397" t="s">
        <v>191</v>
      </c>
      <c r="G724" s="396">
        <v>1</v>
      </c>
      <c r="H724" s="395">
        <v>257325.16600000003</v>
      </c>
      <c r="I724" s="394">
        <v>251641.61000000002</v>
      </c>
      <c r="J724" s="394">
        <v>367607.38</v>
      </c>
      <c r="K724" s="393" t="s">
        <v>1033</v>
      </c>
    </row>
    <row r="725" spans="1:12" hidden="1" x14ac:dyDescent="0.3">
      <c r="A725" s="397" t="s">
        <v>7651</v>
      </c>
      <c r="C725" s="397" t="s">
        <v>1053</v>
      </c>
      <c r="D725" s="397" t="s">
        <v>7650</v>
      </c>
      <c r="E725" s="397" t="s">
        <v>7649</v>
      </c>
      <c r="F725" s="397" t="s">
        <v>191</v>
      </c>
      <c r="G725" s="396">
        <v>1</v>
      </c>
      <c r="H725" s="395">
        <v>424538.14899999992</v>
      </c>
      <c r="I725" s="394">
        <v>410753.14</v>
      </c>
      <c r="J725" s="394">
        <v>606483.06999999995</v>
      </c>
      <c r="K725" s="393" t="s">
        <v>1033</v>
      </c>
    </row>
    <row r="726" spans="1:12" hidden="1" x14ac:dyDescent="0.3">
      <c r="A726" s="397" t="s">
        <v>6694</v>
      </c>
      <c r="C726" s="397" t="s">
        <v>1053</v>
      </c>
      <c r="D726" s="397" t="s">
        <v>6693</v>
      </c>
      <c r="E726" s="397" t="s">
        <v>6692</v>
      </c>
      <c r="F726" s="397" t="s">
        <v>191</v>
      </c>
      <c r="G726" s="396">
        <v>1</v>
      </c>
      <c r="H726" s="395">
        <v>179659.228</v>
      </c>
      <c r="I726" s="394">
        <v>118923.86</v>
      </c>
      <c r="J726" s="394">
        <v>256656.04</v>
      </c>
      <c r="K726" s="393" t="s">
        <v>1033</v>
      </c>
    </row>
    <row r="727" spans="1:12" hidden="1" x14ac:dyDescent="0.3">
      <c r="A727" s="397" t="s">
        <v>6696</v>
      </c>
      <c r="C727" s="397" t="s">
        <v>1053</v>
      </c>
      <c r="D727" s="397" t="s">
        <v>6695</v>
      </c>
      <c r="E727" s="397" t="s">
        <v>6692</v>
      </c>
      <c r="F727" s="397" t="s">
        <v>191</v>
      </c>
      <c r="G727" s="396">
        <v>1</v>
      </c>
      <c r="H727" s="395">
        <v>179659.228</v>
      </c>
      <c r="I727" s="394">
        <v>160332.98000000001</v>
      </c>
      <c r="J727" s="394">
        <v>256656.04</v>
      </c>
      <c r="K727" s="393" t="s">
        <v>1033</v>
      </c>
      <c r="L727" s="395">
        <v>1</v>
      </c>
    </row>
    <row r="728" spans="1:12" hidden="1" x14ac:dyDescent="0.3">
      <c r="A728" s="397" t="s">
        <v>6773</v>
      </c>
      <c r="C728" s="397" t="s">
        <v>1053</v>
      </c>
      <c r="D728" s="397" t="s">
        <v>6772</v>
      </c>
      <c r="E728" s="397" t="s">
        <v>6771</v>
      </c>
      <c r="F728" s="397" t="s">
        <v>191</v>
      </c>
      <c r="G728" s="396">
        <v>1</v>
      </c>
      <c r="H728" s="395">
        <v>219986.16500000001</v>
      </c>
      <c r="I728" s="394">
        <v>9305.94</v>
      </c>
      <c r="J728" s="394">
        <v>314265.95</v>
      </c>
      <c r="K728" s="393" t="s">
        <v>1033</v>
      </c>
    </row>
    <row r="729" spans="1:12" hidden="1" x14ac:dyDescent="0.3">
      <c r="A729" s="397" t="s">
        <v>6761</v>
      </c>
      <c r="C729" s="397" t="s">
        <v>1053</v>
      </c>
      <c r="D729" s="397" t="s">
        <v>6760</v>
      </c>
      <c r="E729" s="397" t="s">
        <v>6759</v>
      </c>
      <c r="F729" s="397" t="s">
        <v>191</v>
      </c>
      <c r="G729" s="396">
        <v>1</v>
      </c>
      <c r="H729" s="395">
        <v>766093.48900000006</v>
      </c>
      <c r="I729" s="394">
        <v>719656.02</v>
      </c>
      <c r="J729" s="394">
        <v>1094419.27</v>
      </c>
      <c r="K729" s="393" t="s">
        <v>1033</v>
      </c>
    </row>
    <row r="730" spans="1:12" hidden="1" x14ac:dyDescent="0.3">
      <c r="A730" s="397" t="s">
        <v>6764</v>
      </c>
      <c r="C730" s="397" t="s">
        <v>1053</v>
      </c>
      <c r="D730" s="397" t="s">
        <v>6763</v>
      </c>
      <c r="E730" s="397" t="s">
        <v>6762</v>
      </c>
      <c r="F730" s="397" t="s">
        <v>191</v>
      </c>
      <c r="G730" s="396">
        <v>1</v>
      </c>
      <c r="H730" s="395">
        <v>766093.48900000006</v>
      </c>
      <c r="I730" s="394">
        <v>719656.02</v>
      </c>
      <c r="J730" s="394">
        <v>1094419.27</v>
      </c>
      <c r="K730" s="393" t="s">
        <v>1033</v>
      </c>
    </row>
    <row r="731" spans="1:12" hidden="1" x14ac:dyDescent="0.3">
      <c r="A731" s="397" t="s">
        <v>7530</v>
      </c>
      <c r="C731" s="397" t="s">
        <v>1053</v>
      </c>
      <c r="D731" s="397" t="s">
        <v>7529</v>
      </c>
      <c r="E731" s="397" t="s">
        <v>7524</v>
      </c>
      <c r="F731" s="397" t="s">
        <v>191</v>
      </c>
      <c r="G731" s="396">
        <v>1</v>
      </c>
      <c r="H731" s="395">
        <v>214082.42100000003</v>
      </c>
      <c r="I731" s="394">
        <v>167259.32</v>
      </c>
      <c r="J731" s="394">
        <v>305832.03000000003</v>
      </c>
      <c r="K731" s="393" t="s">
        <v>1033</v>
      </c>
      <c r="L731" s="395">
        <v>-6</v>
      </c>
    </row>
    <row r="732" spans="1:12" hidden="1" x14ac:dyDescent="0.3">
      <c r="A732" s="397" t="s">
        <v>7246</v>
      </c>
      <c r="C732" s="397" t="s">
        <v>1053</v>
      </c>
      <c r="D732" s="397" t="s">
        <v>7245</v>
      </c>
      <c r="E732" s="397" t="s">
        <v>7244</v>
      </c>
      <c r="F732" s="397" t="s">
        <v>191</v>
      </c>
      <c r="G732" s="396">
        <v>1</v>
      </c>
      <c r="H732" s="395">
        <v>963271.58900000004</v>
      </c>
      <c r="I732" s="394">
        <v>904214.57000000007</v>
      </c>
      <c r="J732" s="394">
        <v>1376102.27</v>
      </c>
      <c r="K732" s="393" t="s">
        <v>1033</v>
      </c>
    </row>
    <row r="733" spans="1:12" hidden="1" x14ac:dyDescent="0.3">
      <c r="A733" s="397" t="s">
        <v>7533</v>
      </c>
      <c r="C733" s="397" t="s">
        <v>1053</v>
      </c>
      <c r="D733" s="397" t="s">
        <v>7532</v>
      </c>
      <c r="E733" s="397" t="s">
        <v>7531</v>
      </c>
      <c r="F733" s="397" t="s">
        <v>191</v>
      </c>
      <c r="G733" s="396">
        <v>1</v>
      </c>
      <c r="H733" s="395">
        <v>36755.767999999996</v>
      </c>
      <c r="I733" s="394">
        <v>34870.65</v>
      </c>
      <c r="J733" s="394">
        <v>52508.24</v>
      </c>
      <c r="K733" s="393" t="s">
        <v>1033</v>
      </c>
    </row>
    <row r="734" spans="1:12" hidden="1" x14ac:dyDescent="0.3">
      <c r="A734" s="397" t="s">
        <v>7925</v>
      </c>
      <c r="C734" s="397" t="s">
        <v>1053</v>
      </c>
      <c r="D734" s="397" t="s">
        <v>7924</v>
      </c>
      <c r="E734" s="397" t="s">
        <v>7923</v>
      </c>
      <c r="F734" s="397" t="s">
        <v>191</v>
      </c>
      <c r="G734" s="396">
        <v>4</v>
      </c>
      <c r="H734" s="395">
        <v>1262556.4070000001</v>
      </c>
      <c r="I734" s="394">
        <v>1240232.23</v>
      </c>
      <c r="J734" s="394">
        <v>1803652.01</v>
      </c>
      <c r="K734" s="393" t="s">
        <v>1033</v>
      </c>
    </row>
    <row r="735" spans="1:12" hidden="1" x14ac:dyDescent="0.3">
      <c r="A735" s="397" t="s">
        <v>6628</v>
      </c>
      <c r="C735" s="397" t="s">
        <v>1053</v>
      </c>
      <c r="D735" s="397" t="s">
        <v>6627</v>
      </c>
      <c r="E735" s="397" t="s">
        <v>6626</v>
      </c>
      <c r="F735" s="397" t="s">
        <v>191</v>
      </c>
      <c r="G735" s="396">
        <v>1</v>
      </c>
      <c r="H735" s="395">
        <v>1007412.56</v>
      </c>
      <c r="I735" s="394">
        <v>965756.84</v>
      </c>
      <c r="J735" s="394">
        <v>1439160.8</v>
      </c>
      <c r="K735" s="393" t="s">
        <v>1033</v>
      </c>
    </row>
    <row r="736" spans="1:12" hidden="1" x14ac:dyDescent="0.3">
      <c r="A736" s="397" t="s">
        <v>6907</v>
      </c>
      <c r="C736" s="397" t="s">
        <v>1053</v>
      </c>
      <c r="D736" s="397" t="s">
        <v>6906</v>
      </c>
      <c r="E736" s="397" t="s">
        <v>6905</v>
      </c>
      <c r="F736" s="397" t="s">
        <v>191</v>
      </c>
      <c r="G736" s="396">
        <v>2</v>
      </c>
      <c r="H736" s="395">
        <v>165586.49100000001</v>
      </c>
      <c r="I736" s="394">
        <v>148750.04999999999</v>
      </c>
      <c r="J736" s="394">
        <v>236552.13</v>
      </c>
      <c r="K736" s="393" t="s">
        <v>1033</v>
      </c>
    </row>
    <row r="737" spans="1:12" hidden="1" x14ac:dyDescent="0.3">
      <c r="A737" s="397" t="s">
        <v>7335</v>
      </c>
      <c r="C737" s="397" t="s">
        <v>1053</v>
      </c>
      <c r="D737" s="397" t="s">
        <v>7334</v>
      </c>
      <c r="E737" s="397" t="s">
        <v>7333</v>
      </c>
      <c r="F737" s="397" t="s">
        <v>191</v>
      </c>
      <c r="G737" s="396">
        <v>1</v>
      </c>
      <c r="H737" s="395">
        <v>679619.24099999992</v>
      </c>
      <c r="I737" s="394">
        <v>31351.100000000002</v>
      </c>
      <c r="J737" s="394">
        <v>970884.63</v>
      </c>
      <c r="K737" s="393" t="s">
        <v>1033</v>
      </c>
    </row>
    <row r="738" spans="1:12" hidden="1" x14ac:dyDescent="0.3">
      <c r="A738" s="397" t="s">
        <v>7602</v>
      </c>
      <c r="C738" s="397" t="s">
        <v>1053</v>
      </c>
      <c r="D738" s="397" t="s">
        <v>7601</v>
      </c>
      <c r="E738" s="397" t="s">
        <v>664</v>
      </c>
      <c r="F738" s="397" t="s">
        <v>191</v>
      </c>
      <c r="G738" s="396">
        <v>1</v>
      </c>
      <c r="H738" s="395">
        <v>462914.34</v>
      </c>
      <c r="I738" s="394">
        <v>2984.81</v>
      </c>
      <c r="J738" s="394">
        <v>661306.19999999995</v>
      </c>
      <c r="K738" s="393" t="s">
        <v>1033</v>
      </c>
    </row>
    <row r="739" spans="1:12" hidden="1" x14ac:dyDescent="0.3">
      <c r="A739" s="397" t="s">
        <v>1438</v>
      </c>
      <c r="C739" s="397" t="s">
        <v>1053</v>
      </c>
      <c r="D739" s="397" t="s">
        <v>1437</v>
      </c>
      <c r="E739" s="397" t="s">
        <v>1436</v>
      </c>
      <c r="F739" s="397" t="s">
        <v>191</v>
      </c>
      <c r="G739" s="396">
        <v>1</v>
      </c>
      <c r="H739" s="395">
        <v>22094.477999999999</v>
      </c>
      <c r="I739" s="394">
        <v>21026.77</v>
      </c>
      <c r="J739" s="394">
        <v>31563.54</v>
      </c>
      <c r="K739" s="393" t="s">
        <v>1033</v>
      </c>
    </row>
    <row r="740" spans="1:12" hidden="1" x14ac:dyDescent="0.3">
      <c r="A740" s="397" t="s">
        <v>1256</v>
      </c>
      <c r="C740" s="397" t="s">
        <v>1053</v>
      </c>
      <c r="D740" s="397" t="s">
        <v>1255</v>
      </c>
      <c r="E740" s="397" t="s">
        <v>1254</v>
      </c>
      <c r="F740" s="397" t="s">
        <v>191</v>
      </c>
      <c r="G740" s="396">
        <v>1</v>
      </c>
      <c r="H740" s="395">
        <v>550844.42700000003</v>
      </c>
      <c r="I740" s="394">
        <v>42345.05</v>
      </c>
      <c r="J740" s="394">
        <v>786920.61</v>
      </c>
      <c r="K740" s="393" t="s">
        <v>1033</v>
      </c>
    </row>
    <row r="741" spans="1:12" hidden="1" x14ac:dyDescent="0.3">
      <c r="A741" s="397" t="s">
        <v>3996</v>
      </c>
      <c r="C741" s="397" t="s">
        <v>1053</v>
      </c>
      <c r="D741" s="397" t="s">
        <v>3995</v>
      </c>
      <c r="E741" s="397" t="s">
        <v>3994</v>
      </c>
      <c r="F741" s="397" t="s">
        <v>191</v>
      </c>
      <c r="G741" s="396">
        <v>3</v>
      </c>
      <c r="H741" s="395">
        <v>393389.73799999995</v>
      </c>
      <c r="I741" s="394">
        <v>6284.07</v>
      </c>
      <c r="J741" s="394">
        <v>561985.34</v>
      </c>
      <c r="K741" s="393" t="s">
        <v>1033</v>
      </c>
      <c r="L741" s="395">
        <v>-4</v>
      </c>
    </row>
    <row r="742" spans="1:12" hidden="1" x14ac:dyDescent="0.3">
      <c r="A742" s="397" t="s">
        <v>6750</v>
      </c>
      <c r="B742" s="397" t="s">
        <v>6749</v>
      </c>
      <c r="C742" s="397" t="s">
        <v>1053</v>
      </c>
      <c r="D742" s="397" t="s">
        <v>6748</v>
      </c>
      <c r="E742" s="397" t="s">
        <v>6747</v>
      </c>
      <c r="F742" s="397" t="s">
        <v>191</v>
      </c>
      <c r="G742" s="396">
        <v>3</v>
      </c>
      <c r="H742" s="395">
        <v>471968.658</v>
      </c>
      <c r="I742" s="394">
        <v>463816.64</v>
      </c>
      <c r="J742" s="394">
        <v>674240.94000000006</v>
      </c>
      <c r="K742" s="393" t="s">
        <v>1033</v>
      </c>
    </row>
    <row r="743" spans="1:12" hidden="1" x14ac:dyDescent="0.3">
      <c r="A743" s="397" t="s">
        <v>6746</v>
      </c>
      <c r="C743" s="397" t="s">
        <v>1053</v>
      </c>
      <c r="D743" s="397" t="s">
        <v>6745</v>
      </c>
      <c r="E743" s="397" t="s">
        <v>6744</v>
      </c>
      <c r="F743" s="397" t="s">
        <v>191</v>
      </c>
      <c r="G743" s="396">
        <v>2</v>
      </c>
      <c r="H743" s="395">
        <v>502987.61799999996</v>
      </c>
      <c r="I743" s="394">
        <v>439168.99</v>
      </c>
      <c r="J743" s="394">
        <v>718553.74</v>
      </c>
      <c r="K743" s="393" t="s">
        <v>1033</v>
      </c>
    </row>
    <row r="744" spans="1:12" hidden="1" x14ac:dyDescent="0.3">
      <c r="A744" s="397" t="s">
        <v>6783</v>
      </c>
      <c r="C744" s="397" t="s">
        <v>1053</v>
      </c>
      <c r="D744" s="397" t="s">
        <v>6782</v>
      </c>
      <c r="E744" s="397" t="s">
        <v>510</v>
      </c>
      <c r="F744" s="397" t="s">
        <v>191</v>
      </c>
      <c r="G744" s="396">
        <v>6</v>
      </c>
      <c r="H744" s="395">
        <v>48119.61</v>
      </c>
      <c r="I744" s="394">
        <v>36672.74</v>
      </c>
      <c r="J744" s="394">
        <v>68742.3</v>
      </c>
      <c r="K744" s="393" t="s">
        <v>1033</v>
      </c>
    </row>
    <row r="745" spans="1:12" hidden="1" x14ac:dyDescent="0.3">
      <c r="A745" s="397" t="s">
        <v>6786</v>
      </c>
      <c r="C745" s="397" t="s">
        <v>1053</v>
      </c>
      <c r="D745" s="397" t="s">
        <v>6785</v>
      </c>
      <c r="E745" s="397" t="s">
        <v>6784</v>
      </c>
      <c r="F745" s="397" t="s">
        <v>191</v>
      </c>
      <c r="G745" s="396">
        <v>6</v>
      </c>
      <c r="H745" s="395">
        <v>50044.392999999996</v>
      </c>
      <c r="I745" s="394">
        <v>48141.14</v>
      </c>
      <c r="J745" s="394">
        <v>71491.990000000005</v>
      </c>
      <c r="K745" s="393" t="s">
        <v>1033</v>
      </c>
    </row>
    <row r="746" spans="1:12" hidden="1" x14ac:dyDescent="0.3">
      <c r="A746" s="397" t="s">
        <v>6807</v>
      </c>
      <c r="C746" s="397" t="s">
        <v>1053</v>
      </c>
      <c r="D746" s="397" t="s">
        <v>6806</v>
      </c>
      <c r="E746" s="397" t="s">
        <v>6779</v>
      </c>
      <c r="F746" s="397" t="s">
        <v>191</v>
      </c>
      <c r="G746" s="396">
        <v>1</v>
      </c>
      <c r="H746" s="395">
        <v>44284.177000000003</v>
      </c>
      <c r="I746" s="394">
        <v>61.64</v>
      </c>
      <c r="J746" s="394">
        <v>63263.11</v>
      </c>
      <c r="K746" s="393" t="s">
        <v>1033</v>
      </c>
    </row>
    <row r="747" spans="1:12" hidden="1" x14ac:dyDescent="0.3">
      <c r="A747" s="397" t="s">
        <v>6778</v>
      </c>
      <c r="C747" s="397" t="s">
        <v>1053</v>
      </c>
      <c r="D747" s="397" t="s">
        <v>6777</v>
      </c>
      <c r="E747" s="397" t="s">
        <v>6776</v>
      </c>
      <c r="F747" s="397" t="s">
        <v>191</v>
      </c>
      <c r="G747" s="396">
        <v>3</v>
      </c>
      <c r="H747" s="395">
        <v>44284.177000000003</v>
      </c>
      <c r="I747" s="394">
        <v>30344.43</v>
      </c>
      <c r="J747" s="394">
        <v>63263.11</v>
      </c>
      <c r="K747" s="393" t="s">
        <v>1033</v>
      </c>
    </row>
    <row r="748" spans="1:12" hidden="1" x14ac:dyDescent="0.3">
      <c r="A748" s="397" t="s">
        <v>6796</v>
      </c>
      <c r="C748" s="397" t="s">
        <v>1053</v>
      </c>
      <c r="D748" s="397" t="s">
        <v>6795</v>
      </c>
      <c r="E748" s="397" t="s">
        <v>510</v>
      </c>
      <c r="F748" s="397" t="s">
        <v>191</v>
      </c>
      <c r="G748" s="396">
        <v>3</v>
      </c>
      <c r="H748" s="395">
        <v>44284.177000000003</v>
      </c>
      <c r="I748" s="394">
        <v>35989.57</v>
      </c>
      <c r="J748" s="394">
        <v>63263.11</v>
      </c>
      <c r="K748" s="393" t="s">
        <v>1033</v>
      </c>
    </row>
    <row r="749" spans="1:12" hidden="1" x14ac:dyDescent="0.3">
      <c r="A749" s="397" t="s">
        <v>6794</v>
      </c>
      <c r="C749" s="397" t="s">
        <v>1053</v>
      </c>
      <c r="D749" s="397" t="s">
        <v>6793</v>
      </c>
      <c r="E749" s="397" t="s">
        <v>6792</v>
      </c>
      <c r="F749" s="397" t="s">
        <v>191</v>
      </c>
      <c r="G749" s="396">
        <v>5</v>
      </c>
      <c r="H749" s="395">
        <v>44284.177000000003</v>
      </c>
      <c r="I749" s="394">
        <v>38249.42</v>
      </c>
      <c r="J749" s="394">
        <v>63263.11</v>
      </c>
      <c r="K749" s="393" t="s">
        <v>1033</v>
      </c>
    </row>
    <row r="750" spans="1:12" hidden="1" x14ac:dyDescent="0.3">
      <c r="A750" s="397" t="s">
        <v>6276</v>
      </c>
      <c r="C750" s="397" t="s">
        <v>1053</v>
      </c>
      <c r="D750" s="397" t="s">
        <v>6275</v>
      </c>
      <c r="E750" s="397" t="s">
        <v>566</v>
      </c>
      <c r="F750" s="397" t="s">
        <v>191</v>
      </c>
      <c r="G750" s="396">
        <v>1</v>
      </c>
      <c r="H750" s="395">
        <v>281103.30499999999</v>
      </c>
      <c r="I750" s="394">
        <v>9413.1200000000008</v>
      </c>
      <c r="J750" s="394">
        <v>401576.15</v>
      </c>
      <c r="K750" s="393" t="s">
        <v>1033</v>
      </c>
    </row>
    <row r="751" spans="1:12" hidden="1" x14ac:dyDescent="0.3">
      <c r="A751" s="397" t="s">
        <v>6755</v>
      </c>
      <c r="C751" s="397" t="s">
        <v>1053</v>
      </c>
      <c r="D751" s="397" t="s">
        <v>520</v>
      </c>
      <c r="E751" s="397" t="s">
        <v>521</v>
      </c>
      <c r="F751" s="397" t="s">
        <v>191</v>
      </c>
      <c r="G751" s="396">
        <v>15</v>
      </c>
      <c r="H751" s="395">
        <v>212265.57799999998</v>
      </c>
      <c r="I751" s="394">
        <v>208462.84</v>
      </c>
      <c r="J751" s="394">
        <v>303236.53999999998</v>
      </c>
      <c r="K751" s="393" t="s">
        <v>1033</v>
      </c>
      <c r="L751" s="395">
        <v>1</v>
      </c>
    </row>
    <row r="752" spans="1:12" hidden="1" x14ac:dyDescent="0.3">
      <c r="A752" s="397" t="s">
        <v>6758</v>
      </c>
      <c r="C752" s="397" t="s">
        <v>1053</v>
      </c>
      <c r="D752" s="397" t="s">
        <v>6757</v>
      </c>
      <c r="E752" s="397" t="s">
        <v>6756</v>
      </c>
      <c r="F752" s="397" t="s">
        <v>191</v>
      </c>
      <c r="G752" s="396">
        <v>2</v>
      </c>
      <c r="H752" s="395">
        <v>465836.58099999995</v>
      </c>
      <c r="I752" s="394">
        <v>21435.33</v>
      </c>
      <c r="J752" s="394">
        <v>665480.82999999996</v>
      </c>
      <c r="K752" s="393" t="s">
        <v>1033</v>
      </c>
    </row>
    <row r="753" spans="1:12" hidden="1" x14ac:dyDescent="0.3">
      <c r="A753" s="397" t="s">
        <v>6752</v>
      </c>
      <c r="C753" s="397" t="s">
        <v>1053</v>
      </c>
      <c r="D753" s="397" t="s">
        <v>6751</v>
      </c>
      <c r="E753" s="397" t="s">
        <v>6744</v>
      </c>
      <c r="F753" s="397" t="s">
        <v>191</v>
      </c>
      <c r="G753" s="396">
        <v>1</v>
      </c>
      <c r="H753" s="395">
        <v>453816.02</v>
      </c>
      <c r="I753" s="394">
        <v>90762.180000000008</v>
      </c>
      <c r="J753" s="394">
        <v>648308.6</v>
      </c>
      <c r="K753" s="393" t="s">
        <v>1033</v>
      </c>
    </row>
    <row r="754" spans="1:12" hidden="1" x14ac:dyDescent="0.3">
      <c r="A754" s="397" t="s">
        <v>6753</v>
      </c>
      <c r="C754" s="397" t="s">
        <v>1053</v>
      </c>
      <c r="D754" s="397" t="s">
        <v>523</v>
      </c>
      <c r="E754" s="397" t="s">
        <v>524</v>
      </c>
      <c r="F754" s="397" t="s">
        <v>191</v>
      </c>
      <c r="G754" s="396">
        <v>5</v>
      </c>
      <c r="H754" s="395">
        <v>198664.07399999999</v>
      </c>
      <c r="I754" s="394">
        <v>195101.88</v>
      </c>
      <c r="J754" s="394">
        <v>283805.82</v>
      </c>
      <c r="K754" s="393" t="s">
        <v>1033</v>
      </c>
    </row>
    <row r="755" spans="1:12" hidden="1" x14ac:dyDescent="0.3">
      <c r="A755" s="397" t="s">
        <v>6791</v>
      </c>
      <c r="C755" s="397" t="s">
        <v>1053</v>
      </c>
      <c r="D755" s="397" t="s">
        <v>512</v>
      </c>
      <c r="E755" s="397" t="s">
        <v>513</v>
      </c>
      <c r="F755" s="397" t="s">
        <v>191</v>
      </c>
      <c r="G755" s="396">
        <v>1</v>
      </c>
      <c r="H755" s="395">
        <v>44284.177000000003</v>
      </c>
      <c r="I755" s="394">
        <v>35318.519999999997</v>
      </c>
      <c r="J755" s="394">
        <v>63263.11</v>
      </c>
      <c r="K755" s="393" t="s">
        <v>1033</v>
      </c>
      <c r="L755" s="395">
        <v>2</v>
      </c>
    </row>
    <row r="756" spans="1:12" hidden="1" x14ac:dyDescent="0.3">
      <c r="A756" s="397" t="s">
        <v>6789</v>
      </c>
      <c r="C756" s="397" t="s">
        <v>1053</v>
      </c>
      <c r="D756" s="397" t="s">
        <v>6788</v>
      </c>
      <c r="E756" s="397" t="s">
        <v>6787</v>
      </c>
      <c r="F756" s="397" t="s">
        <v>191</v>
      </c>
      <c r="G756" s="396">
        <v>4</v>
      </c>
      <c r="H756" s="395">
        <v>50044.392999999996</v>
      </c>
      <c r="I756" s="394">
        <v>48141.14</v>
      </c>
      <c r="J756" s="394">
        <v>71491.990000000005</v>
      </c>
      <c r="K756" s="393" t="s">
        <v>1033</v>
      </c>
    </row>
    <row r="757" spans="1:12" hidden="1" x14ac:dyDescent="0.3">
      <c r="A757" s="397" t="s">
        <v>6790</v>
      </c>
      <c r="C757" s="397" t="s">
        <v>1053</v>
      </c>
      <c r="D757" s="397" t="s">
        <v>515</v>
      </c>
      <c r="E757" s="397" t="s">
        <v>510</v>
      </c>
      <c r="F757" s="397" t="s">
        <v>191</v>
      </c>
      <c r="G757" s="396">
        <v>11</v>
      </c>
      <c r="H757" s="395">
        <v>98411.593000000008</v>
      </c>
      <c r="I757" s="394">
        <v>5069.42</v>
      </c>
      <c r="J757" s="394">
        <v>140587.99</v>
      </c>
      <c r="K757" s="393" t="s">
        <v>1033</v>
      </c>
      <c r="L757" s="395">
        <v>2</v>
      </c>
    </row>
    <row r="758" spans="1:12" hidden="1" x14ac:dyDescent="0.3">
      <c r="A758" s="397" t="s">
        <v>6798</v>
      </c>
      <c r="C758" s="397" t="s">
        <v>1053</v>
      </c>
      <c r="D758" s="397" t="s">
        <v>6797</v>
      </c>
      <c r="E758" s="397" t="s">
        <v>510</v>
      </c>
      <c r="F758" s="397" t="s">
        <v>191</v>
      </c>
      <c r="G758" s="396">
        <v>1</v>
      </c>
      <c r="H758" s="395">
        <v>43409.505999999994</v>
      </c>
      <c r="I758" s="394">
        <v>1652.78</v>
      </c>
      <c r="J758" s="394">
        <v>62013.58</v>
      </c>
      <c r="K758" s="393" t="s">
        <v>1033</v>
      </c>
    </row>
    <row r="759" spans="1:12" hidden="1" x14ac:dyDescent="0.3">
      <c r="A759" s="397" t="s">
        <v>1473</v>
      </c>
      <c r="C759" s="397" t="s">
        <v>1053</v>
      </c>
      <c r="D759" s="397" t="s">
        <v>1472</v>
      </c>
      <c r="E759" s="397" t="s">
        <v>1471</v>
      </c>
      <c r="F759" s="397" t="s">
        <v>191</v>
      </c>
      <c r="G759" s="396">
        <v>2</v>
      </c>
      <c r="H759" s="395">
        <v>55482.252</v>
      </c>
      <c r="I759" s="394">
        <v>449.76</v>
      </c>
      <c r="J759" s="394">
        <v>79260.36</v>
      </c>
      <c r="K759" s="393" t="s">
        <v>1033</v>
      </c>
      <c r="L759" s="395">
        <v>2</v>
      </c>
    </row>
    <row r="760" spans="1:12" hidden="1" x14ac:dyDescent="0.3">
      <c r="A760" s="397" t="s">
        <v>6801</v>
      </c>
      <c r="C760" s="397" t="s">
        <v>1053</v>
      </c>
      <c r="D760" s="397" t="s">
        <v>6800</v>
      </c>
      <c r="E760" s="397" t="s">
        <v>6799</v>
      </c>
      <c r="F760" s="397" t="s">
        <v>191</v>
      </c>
      <c r="G760" s="396">
        <v>1</v>
      </c>
      <c r="H760" s="395">
        <v>78658.797000000006</v>
      </c>
      <c r="I760" s="394">
        <v>165.17000000000002</v>
      </c>
      <c r="J760" s="394">
        <v>112369.71</v>
      </c>
      <c r="K760" s="393" t="s">
        <v>1033</v>
      </c>
    </row>
    <row r="761" spans="1:12" hidden="1" x14ac:dyDescent="0.3">
      <c r="A761" s="397" t="s">
        <v>7441</v>
      </c>
      <c r="C761" s="397" t="s">
        <v>1053</v>
      </c>
      <c r="D761" s="397" t="s">
        <v>7440</v>
      </c>
      <c r="E761" s="397" t="s">
        <v>7433</v>
      </c>
      <c r="F761" s="397" t="s">
        <v>191</v>
      </c>
      <c r="G761" s="396">
        <v>1</v>
      </c>
      <c r="H761" s="395">
        <v>205680.06199999995</v>
      </c>
      <c r="I761" s="394">
        <v>200148.97</v>
      </c>
      <c r="J761" s="394">
        <v>293828.65999999997</v>
      </c>
      <c r="K761" s="393" t="s">
        <v>1033</v>
      </c>
    </row>
    <row r="762" spans="1:12" hidden="1" x14ac:dyDescent="0.3">
      <c r="A762" s="397" t="s">
        <v>6309</v>
      </c>
      <c r="C762" s="397" t="s">
        <v>1053</v>
      </c>
      <c r="D762" s="397" t="s">
        <v>6308</v>
      </c>
      <c r="E762" s="397" t="s">
        <v>6284</v>
      </c>
      <c r="F762" s="397" t="s">
        <v>191</v>
      </c>
      <c r="G762" s="396">
        <v>5</v>
      </c>
      <c r="H762" s="395">
        <v>276547.68400000001</v>
      </c>
      <c r="I762" s="394">
        <v>267702.37</v>
      </c>
      <c r="J762" s="394">
        <v>395068.12</v>
      </c>
      <c r="K762" s="393" t="s">
        <v>1033</v>
      </c>
    </row>
    <row r="763" spans="1:12" hidden="1" x14ac:dyDescent="0.3">
      <c r="A763" s="397" t="s">
        <v>6767</v>
      </c>
      <c r="C763" s="397" t="s">
        <v>1053</v>
      </c>
      <c r="D763" s="397" t="s">
        <v>6766</v>
      </c>
      <c r="E763" s="397" t="s">
        <v>6765</v>
      </c>
      <c r="F763" s="397" t="s">
        <v>191</v>
      </c>
      <c r="G763" s="396">
        <v>1</v>
      </c>
      <c r="H763" s="395">
        <v>766093.48900000006</v>
      </c>
      <c r="I763" s="394">
        <v>38154.86</v>
      </c>
      <c r="J763" s="394">
        <v>1094419.27</v>
      </c>
      <c r="K763" s="393" t="s">
        <v>1033</v>
      </c>
    </row>
    <row r="764" spans="1:12" hidden="1" x14ac:dyDescent="0.3">
      <c r="A764" s="397" t="s">
        <v>859</v>
      </c>
      <c r="C764" s="397" t="s">
        <v>1053</v>
      </c>
      <c r="D764" s="397" t="s">
        <v>6743</v>
      </c>
      <c r="E764" s="397" t="s">
        <v>6742</v>
      </c>
      <c r="F764" s="397" t="s">
        <v>191</v>
      </c>
      <c r="G764" s="396">
        <v>2</v>
      </c>
      <c r="H764" s="395">
        <v>503253.66000000003</v>
      </c>
      <c r="I764" s="394">
        <v>82669.490000000005</v>
      </c>
      <c r="J764" s="394">
        <v>718933.8</v>
      </c>
      <c r="K764" s="393" t="s">
        <v>1033</v>
      </c>
    </row>
    <row r="765" spans="1:12" hidden="1" x14ac:dyDescent="0.3">
      <c r="A765" s="397" t="s">
        <v>838</v>
      </c>
      <c r="C765" s="397" t="s">
        <v>1053</v>
      </c>
      <c r="D765" s="397" t="s">
        <v>564</v>
      </c>
      <c r="E765" s="397" t="s">
        <v>563</v>
      </c>
      <c r="F765" s="397" t="s">
        <v>191</v>
      </c>
      <c r="G765" s="396">
        <v>8</v>
      </c>
      <c r="H765" s="395">
        <v>160698.454</v>
      </c>
      <c r="I765" s="394">
        <v>147504.74</v>
      </c>
      <c r="J765" s="394">
        <v>229569.22</v>
      </c>
      <c r="K765" s="393" t="s">
        <v>1033</v>
      </c>
      <c r="L765" s="395">
        <v>2</v>
      </c>
    </row>
    <row r="766" spans="1:12" hidden="1" x14ac:dyDescent="0.3">
      <c r="A766" s="397" t="s">
        <v>1470</v>
      </c>
      <c r="C766" s="397" t="s">
        <v>1053</v>
      </c>
      <c r="D766" s="397" t="s">
        <v>1469</v>
      </c>
      <c r="E766" s="397" t="s">
        <v>1468</v>
      </c>
      <c r="F766" s="397" t="s">
        <v>191</v>
      </c>
      <c r="G766" s="396">
        <v>1</v>
      </c>
      <c r="H766" s="395">
        <v>998807.69799999997</v>
      </c>
      <c r="I766" s="394">
        <v>848822.23</v>
      </c>
      <c r="J766" s="394">
        <v>1426868.1400000001</v>
      </c>
      <c r="K766" s="393" t="s">
        <v>1033</v>
      </c>
    </row>
    <row r="767" spans="1:12" hidden="1" x14ac:dyDescent="0.3">
      <c r="A767" s="397" t="s">
        <v>6286</v>
      </c>
      <c r="C767" s="397" t="s">
        <v>1053</v>
      </c>
      <c r="D767" s="397" t="s">
        <v>6285</v>
      </c>
      <c r="E767" s="397" t="s">
        <v>6284</v>
      </c>
      <c r="F767" s="397" t="s">
        <v>191</v>
      </c>
      <c r="G767" s="396">
        <v>2</v>
      </c>
      <c r="H767" s="395">
        <v>202884.535</v>
      </c>
      <c r="I767" s="394">
        <v>196232.32000000001</v>
      </c>
      <c r="J767" s="394">
        <v>289835.05</v>
      </c>
      <c r="K767" s="393" t="s">
        <v>1033</v>
      </c>
    </row>
    <row r="768" spans="1:12" hidden="1" x14ac:dyDescent="0.3">
      <c r="A768" s="397" t="s">
        <v>6274</v>
      </c>
      <c r="C768" s="397" t="s">
        <v>1053</v>
      </c>
      <c r="D768" s="397" t="s">
        <v>6273</v>
      </c>
      <c r="E768" s="397" t="s">
        <v>6272</v>
      </c>
      <c r="F768" s="397" t="s">
        <v>191</v>
      </c>
      <c r="G768" s="396">
        <v>1</v>
      </c>
      <c r="H768" s="395">
        <v>269299.59700000001</v>
      </c>
      <c r="I768" s="394">
        <v>227594.08000000002</v>
      </c>
      <c r="J768" s="394">
        <v>384713.71</v>
      </c>
      <c r="K768" s="393" t="s">
        <v>1033</v>
      </c>
    </row>
    <row r="769" spans="1:12" hidden="1" x14ac:dyDescent="0.3">
      <c r="A769" s="397" t="s">
        <v>556</v>
      </c>
      <c r="C769" s="397" t="s">
        <v>1053</v>
      </c>
      <c r="D769" s="397" t="s">
        <v>6770</v>
      </c>
      <c r="E769" s="397" t="s">
        <v>6744</v>
      </c>
      <c r="F769" s="397" t="s">
        <v>191</v>
      </c>
      <c r="G769" s="396">
        <v>1</v>
      </c>
      <c r="H769" s="395">
        <v>584430.91</v>
      </c>
      <c r="I769" s="394">
        <v>4011.51</v>
      </c>
      <c r="J769" s="394">
        <v>834901.3</v>
      </c>
      <c r="K769" s="393" t="s">
        <v>1033</v>
      </c>
    </row>
    <row r="770" spans="1:12" hidden="1" x14ac:dyDescent="0.3">
      <c r="A770" s="397" t="s">
        <v>6754</v>
      </c>
      <c r="C770" s="397" t="s">
        <v>1053</v>
      </c>
      <c r="D770" s="397" t="s">
        <v>858</v>
      </c>
      <c r="E770" s="397" t="s">
        <v>857</v>
      </c>
      <c r="F770" s="397" t="s">
        <v>191</v>
      </c>
      <c r="G770" s="396">
        <v>1</v>
      </c>
      <c r="H770" s="395">
        <v>288266.60100000002</v>
      </c>
      <c r="I770" s="394">
        <v>221299.08000000002</v>
      </c>
      <c r="J770" s="394">
        <v>411809.43</v>
      </c>
      <c r="K770" s="393" t="s">
        <v>1033</v>
      </c>
    </row>
    <row r="771" spans="1:12" hidden="1" x14ac:dyDescent="0.3">
      <c r="A771" s="397" t="s">
        <v>7446</v>
      </c>
      <c r="C771" s="397" t="s">
        <v>1053</v>
      </c>
      <c r="D771" s="397" t="s">
        <v>7445</v>
      </c>
      <c r="E771" s="397" t="s">
        <v>7442</v>
      </c>
      <c r="F771" s="397" t="s">
        <v>191</v>
      </c>
      <c r="G771" s="396">
        <v>1</v>
      </c>
      <c r="H771" s="395">
        <v>520935.68100000004</v>
      </c>
      <c r="I771" s="394">
        <v>414535.63</v>
      </c>
      <c r="J771" s="394">
        <v>744193.83</v>
      </c>
      <c r="K771" s="393" t="s">
        <v>1033</v>
      </c>
    </row>
    <row r="772" spans="1:12" hidden="1" x14ac:dyDescent="0.3">
      <c r="A772" s="397" t="s">
        <v>6358</v>
      </c>
      <c r="C772" s="397" t="s">
        <v>1053</v>
      </c>
      <c r="D772" s="397" t="s">
        <v>6357</v>
      </c>
      <c r="E772" s="397" t="s">
        <v>6356</v>
      </c>
      <c r="F772" s="397" t="s">
        <v>191</v>
      </c>
      <c r="G772" s="396">
        <v>1</v>
      </c>
      <c r="H772" s="395">
        <v>233470.52399999998</v>
      </c>
      <c r="I772" s="394">
        <v>8364.23</v>
      </c>
      <c r="J772" s="394">
        <v>333529.32</v>
      </c>
      <c r="K772" s="393" t="s">
        <v>1033</v>
      </c>
    </row>
    <row r="773" spans="1:12" hidden="1" x14ac:dyDescent="0.3">
      <c r="A773" s="397" t="s">
        <v>6355</v>
      </c>
      <c r="C773" s="397" t="s">
        <v>1053</v>
      </c>
      <c r="D773" s="397" t="s">
        <v>6354</v>
      </c>
      <c r="E773" s="397" t="s">
        <v>6353</v>
      </c>
      <c r="F773" s="397" t="s">
        <v>191</v>
      </c>
      <c r="G773" s="396">
        <v>2</v>
      </c>
      <c r="H773" s="395">
        <v>173670.30100000001</v>
      </c>
      <c r="I773" s="394">
        <v>8313.93</v>
      </c>
      <c r="J773" s="394">
        <v>248100.43</v>
      </c>
      <c r="K773" s="393" t="s">
        <v>1033</v>
      </c>
    </row>
    <row r="774" spans="1:12" hidden="1" x14ac:dyDescent="0.3">
      <c r="A774" s="397" t="s">
        <v>6329</v>
      </c>
      <c r="C774" s="397" t="s">
        <v>1053</v>
      </c>
      <c r="D774" s="397" t="s">
        <v>6328</v>
      </c>
      <c r="E774" s="397" t="s">
        <v>6327</v>
      </c>
      <c r="F774" s="397" t="s">
        <v>191</v>
      </c>
      <c r="G774" s="396">
        <v>2</v>
      </c>
      <c r="H774" s="395">
        <v>163154.19400000002</v>
      </c>
      <c r="I774" s="394">
        <v>8218.7800000000007</v>
      </c>
      <c r="J774" s="394">
        <v>233077.42</v>
      </c>
      <c r="K774" s="393" t="s">
        <v>1033</v>
      </c>
    </row>
    <row r="775" spans="1:12" hidden="1" x14ac:dyDescent="0.3">
      <c r="A775" s="397" t="s">
        <v>6299</v>
      </c>
      <c r="C775" s="397" t="s">
        <v>1053</v>
      </c>
      <c r="D775" s="397" t="s">
        <v>6298</v>
      </c>
      <c r="E775" s="397" t="s">
        <v>6289</v>
      </c>
      <c r="F775" s="397" t="s">
        <v>191</v>
      </c>
      <c r="G775" s="396">
        <v>1</v>
      </c>
      <c r="H775" s="395">
        <v>269299.59700000001</v>
      </c>
      <c r="I775" s="394">
        <v>216872.45</v>
      </c>
      <c r="J775" s="394">
        <v>384713.71</v>
      </c>
      <c r="K775" s="393" t="s">
        <v>1033</v>
      </c>
    </row>
    <row r="776" spans="1:12" hidden="1" x14ac:dyDescent="0.3">
      <c r="A776" s="397" t="s">
        <v>6288</v>
      </c>
      <c r="C776" s="397" t="s">
        <v>1053</v>
      </c>
      <c r="D776" s="397" t="s">
        <v>6287</v>
      </c>
      <c r="E776" s="397" t="s">
        <v>563</v>
      </c>
      <c r="F776" s="397" t="s">
        <v>191</v>
      </c>
      <c r="G776" s="396">
        <v>1</v>
      </c>
      <c r="H776" s="395">
        <v>281103.30499999999</v>
      </c>
      <c r="I776" s="394">
        <v>264163.17</v>
      </c>
      <c r="J776" s="394">
        <v>401576.15</v>
      </c>
      <c r="K776" s="393" t="s">
        <v>1033</v>
      </c>
    </row>
    <row r="777" spans="1:12" hidden="1" x14ac:dyDescent="0.3">
      <c r="A777" s="397" t="s">
        <v>1072</v>
      </c>
      <c r="C777" s="397" t="s">
        <v>1034</v>
      </c>
      <c r="D777" s="397" t="s">
        <v>1071</v>
      </c>
      <c r="E777" s="397" t="s">
        <v>1070</v>
      </c>
      <c r="F777" s="397" t="s">
        <v>416</v>
      </c>
      <c r="G777" s="396">
        <v>1</v>
      </c>
      <c r="H777" s="395">
        <v>197005.8321</v>
      </c>
      <c r="I777" s="394">
        <v>197005.83000000002</v>
      </c>
      <c r="J777" s="394">
        <v>312707.67</v>
      </c>
      <c r="K777" s="393" t="s">
        <v>1033</v>
      </c>
    </row>
    <row r="778" spans="1:12" hidden="1" x14ac:dyDescent="0.3">
      <c r="A778" s="397" t="s">
        <v>7427</v>
      </c>
      <c r="C778" s="397" t="s">
        <v>1053</v>
      </c>
      <c r="D778" s="397" t="s">
        <v>7426</v>
      </c>
      <c r="E778" s="397" t="s">
        <v>442</v>
      </c>
      <c r="F778" s="397" t="s">
        <v>191</v>
      </c>
      <c r="G778" s="396">
        <v>204</v>
      </c>
      <c r="H778" s="395">
        <v>47566.904000000002</v>
      </c>
      <c r="I778" s="394">
        <v>46725.83</v>
      </c>
      <c r="J778" s="394">
        <v>67952.72</v>
      </c>
      <c r="K778" s="393" t="s">
        <v>1033</v>
      </c>
    </row>
    <row r="779" spans="1:12" hidden="1" x14ac:dyDescent="0.3">
      <c r="A779" s="397" t="s">
        <v>3783</v>
      </c>
      <c r="C779" s="397" t="s">
        <v>1053</v>
      </c>
      <c r="D779" s="397" t="s">
        <v>666</v>
      </c>
      <c r="E779" s="397" t="s">
        <v>667</v>
      </c>
      <c r="F779" s="397" t="s">
        <v>191</v>
      </c>
      <c r="G779" s="396">
        <v>80</v>
      </c>
      <c r="H779" s="395">
        <v>28888.782999999999</v>
      </c>
      <c r="I779" s="394">
        <v>27877.75</v>
      </c>
      <c r="J779" s="394">
        <v>41269.69</v>
      </c>
      <c r="K779" s="393" t="s">
        <v>1033</v>
      </c>
      <c r="L779" s="395">
        <v>22</v>
      </c>
    </row>
    <row r="780" spans="1:12" hidden="1" x14ac:dyDescent="0.3">
      <c r="A780" s="397" t="s">
        <v>3780</v>
      </c>
      <c r="B780" s="397" t="s">
        <v>3779</v>
      </c>
      <c r="C780" s="397" t="s">
        <v>1053</v>
      </c>
      <c r="D780" s="397" t="s">
        <v>669</v>
      </c>
      <c r="E780" s="397" t="s">
        <v>670</v>
      </c>
      <c r="F780" s="397" t="s">
        <v>191</v>
      </c>
      <c r="G780" s="396">
        <v>173</v>
      </c>
      <c r="H780" s="395">
        <v>20595.337</v>
      </c>
      <c r="I780" s="394">
        <v>20208.18</v>
      </c>
      <c r="J780" s="394">
        <v>29421.91</v>
      </c>
      <c r="K780" s="393" t="s">
        <v>1033</v>
      </c>
      <c r="L780" s="395">
        <v>68</v>
      </c>
    </row>
    <row r="781" spans="1:12" hidden="1" x14ac:dyDescent="0.3">
      <c r="A781" s="397" t="s">
        <v>4203</v>
      </c>
      <c r="C781" s="397" t="s">
        <v>1053</v>
      </c>
      <c r="D781" s="397" t="s">
        <v>4240</v>
      </c>
      <c r="E781" s="397" t="s">
        <v>4239</v>
      </c>
      <c r="F781" s="397" t="s">
        <v>191</v>
      </c>
      <c r="G781" s="396">
        <v>1</v>
      </c>
      <c r="H781" s="395">
        <v>412747.14600000001</v>
      </c>
      <c r="I781" s="394">
        <v>411274.3</v>
      </c>
      <c r="J781" s="394">
        <v>589638.78</v>
      </c>
      <c r="K781" s="393" t="s">
        <v>1033</v>
      </c>
    </row>
    <row r="782" spans="1:12" hidden="1" x14ac:dyDescent="0.3">
      <c r="A782" s="397" t="s">
        <v>4203</v>
      </c>
      <c r="C782" s="397" t="s">
        <v>1053</v>
      </c>
      <c r="D782" s="397" t="s">
        <v>4202</v>
      </c>
      <c r="E782" s="397" t="s">
        <v>4201</v>
      </c>
      <c r="F782" s="397" t="s">
        <v>191</v>
      </c>
      <c r="G782" s="396">
        <v>3</v>
      </c>
      <c r="H782" s="395">
        <v>136785.55100000001</v>
      </c>
      <c r="I782" s="394">
        <v>134333.13</v>
      </c>
      <c r="J782" s="394">
        <v>195407.93</v>
      </c>
      <c r="K782" s="393" t="s">
        <v>1033</v>
      </c>
      <c r="L782" s="395">
        <v>1</v>
      </c>
    </row>
    <row r="783" spans="1:12" hidden="1" x14ac:dyDescent="0.3">
      <c r="A783" s="397" t="s">
        <v>4238</v>
      </c>
      <c r="C783" s="397" t="s">
        <v>1053</v>
      </c>
      <c r="D783" s="397" t="s">
        <v>4237</v>
      </c>
      <c r="E783" s="397" t="s">
        <v>4236</v>
      </c>
      <c r="F783" s="397" t="s">
        <v>191</v>
      </c>
      <c r="G783" s="396">
        <v>1</v>
      </c>
      <c r="H783" s="395">
        <v>132276.13699999999</v>
      </c>
      <c r="I783" s="394">
        <v>109299.8</v>
      </c>
      <c r="J783" s="394">
        <v>188965.91</v>
      </c>
      <c r="K783" s="393" t="s">
        <v>1033</v>
      </c>
    </row>
    <row r="784" spans="1:12" hidden="1" x14ac:dyDescent="0.3">
      <c r="A784" s="397" t="s">
        <v>4206</v>
      </c>
      <c r="C784" s="397" t="s">
        <v>1053</v>
      </c>
      <c r="D784" s="397" t="s">
        <v>4205</v>
      </c>
      <c r="E784" s="397" t="s">
        <v>4204</v>
      </c>
      <c r="F784" s="397" t="s">
        <v>191</v>
      </c>
      <c r="G784" s="396">
        <v>1</v>
      </c>
      <c r="H784" s="395">
        <v>157171.33600000001</v>
      </c>
      <c r="I784" s="394">
        <v>2003.2</v>
      </c>
      <c r="J784" s="394">
        <v>224530.48</v>
      </c>
      <c r="K784" s="393" t="s">
        <v>1033</v>
      </c>
    </row>
    <row r="785" spans="1:12" hidden="1" x14ac:dyDescent="0.3">
      <c r="A785" s="397" t="s">
        <v>3751</v>
      </c>
      <c r="C785" s="397" t="s">
        <v>1053</v>
      </c>
      <c r="D785" s="397" t="s">
        <v>3750</v>
      </c>
      <c r="E785" s="397" t="s">
        <v>3698</v>
      </c>
      <c r="F785" s="397" t="s">
        <v>191</v>
      </c>
      <c r="G785" s="396">
        <v>2</v>
      </c>
      <c r="H785" s="395">
        <v>426574.05</v>
      </c>
      <c r="I785" s="394">
        <v>375518.29</v>
      </c>
      <c r="J785" s="394">
        <v>609391.5</v>
      </c>
      <c r="K785" s="393" t="s">
        <v>1033</v>
      </c>
    </row>
    <row r="786" spans="1:12" hidden="1" x14ac:dyDescent="0.3">
      <c r="A786" s="397" t="s">
        <v>3745</v>
      </c>
      <c r="C786" s="397" t="s">
        <v>1053</v>
      </c>
      <c r="D786" s="397" t="s">
        <v>3744</v>
      </c>
      <c r="E786" s="397" t="s">
        <v>3698</v>
      </c>
      <c r="F786" s="397" t="s">
        <v>191</v>
      </c>
      <c r="G786" s="396">
        <v>1</v>
      </c>
      <c r="H786" s="395">
        <v>395829.84700000007</v>
      </c>
      <c r="I786" s="394">
        <v>7021.12</v>
      </c>
      <c r="J786" s="394">
        <v>565471.21</v>
      </c>
      <c r="K786" s="393" t="s">
        <v>1033</v>
      </c>
    </row>
    <row r="787" spans="1:12" hidden="1" x14ac:dyDescent="0.3">
      <c r="A787" s="397" t="s">
        <v>3679</v>
      </c>
      <c r="C787" s="397" t="s">
        <v>1053</v>
      </c>
      <c r="D787" s="397" t="s">
        <v>3678</v>
      </c>
      <c r="E787" s="397" t="s">
        <v>3677</v>
      </c>
      <c r="F787" s="397" t="s">
        <v>191</v>
      </c>
      <c r="G787" s="396">
        <v>1</v>
      </c>
      <c r="H787" s="395">
        <v>151859.17600000001</v>
      </c>
      <c r="I787" s="394">
        <v>1158.25</v>
      </c>
      <c r="J787" s="394">
        <v>216941.68</v>
      </c>
      <c r="K787" s="393" t="s">
        <v>1033</v>
      </c>
    </row>
    <row r="788" spans="1:12" hidden="1" x14ac:dyDescent="0.3">
      <c r="A788" s="397" t="s">
        <v>3743</v>
      </c>
      <c r="C788" s="397" t="s">
        <v>1053</v>
      </c>
      <c r="D788" s="397" t="s">
        <v>3742</v>
      </c>
      <c r="E788" s="397" t="s">
        <v>3698</v>
      </c>
      <c r="F788" s="397" t="s">
        <v>191</v>
      </c>
      <c r="G788" s="396">
        <v>1</v>
      </c>
      <c r="H788" s="395">
        <v>151859.17600000001</v>
      </c>
      <c r="I788" s="394">
        <v>1158.25</v>
      </c>
      <c r="J788" s="394">
        <v>216941.68</v>
      </c>
      <c r="K788" s="393" t="s">
        <v>1033</v>
      </c>
    </row>
    <row r="789" spans="1:12" hidden="1" x14ac:dyDescent="0.3">
      <c r="A789" s="397" t="s">
        <v>3747</v>
      </c>
      <c r="C789" s="397" t="s">
        <v>1053</v>
      </c>
      <c r="D789" s="397" t="s">
        <v>3746</v>
      </c>
      <c r="E789" s="397" t="s">
        <v>3698</v>
      </c>
      <c r="F789" s="397" t="s">
        <v>191</v>
      </c>
      <c r="G789" s="396">
        <v>1</v>
      </c>
      <c r="H789" s="395">
        <v>163179.954</v>
      </c>
      <c r="I789" s="394">
        <v>12407.94</v>
      </c>
      <c r="J789" s="394">
        <v>233114.22</v>
      </c>
      <c r="K789" s="393" t="s">
        <v>1033</v>
      </c>
    </row>
    <row r="790" spans="1:12" hidden="1" x14ac:dyDescent="0.3">
      <c r="A790" s="397" t="s">
        <v>3681</v>
      </c>
      <c r="C790" s="397" t="s">
        <v>1053</v>
      </c>
      <c r="D790" s="397" t="s">
        <v>3680</v>
      </c>
      <c r="E790" s="397" t="s">
        <v>3674</v>
      </c>
      <c r="F790" s="397" t="s">
        <v>191</v>
      </c>
      <c r="G790" s="396">
        <v>1</v>
      </c>
      <c r="H790" s="395">
        <v>599657.08600000001</v>
      </c>
      <c r="I790" s="394">
        <v>482160.88</v>
      </c>
      <c r="J790" s="394">
        <v>856652.98</v>
      </c>
      <c r="K790" s="393" t="s">
        <v>1033</v>
      </c>
    </row>
    <row r="791" spans="1:12" hidden="1" x14ac:dyDescent="0.3">
      <c r="A791" s="397" t="s">
        <v>3741</v>
      </c>
      <c r="C791" s="397" t="s">
        <v>1053</v>
      </c>
      <c r="D791" s="397" t="s">
        <v>3740</v>
      </c>
      <c r="E791" s="397" t="s">
        <v>3739</v>
      </c>
      <c r="F791" s="397" t="s">
        <v>191</v>
      </c>
      <c r="G791" s="396">
        <v>1</v>
      </c>
      <c r="H791" s="395">
        <v>308617.967</v>
      </c>
      <c r="I791" s="394">
        <v>298731.18</v>
      </c>
      <c r="J791" s="394">
        <v>440882.81</v>
      </c>
      <c r="K791" s="393" t="s">
        <v>1033</v>
      </c>
      <c r="L791" s="395">
        <v>1</v>
      </c>
    </row>
    <row r="792" spans="1:12" hidden="1" x14ac:dyDescent="0.3">
      <c r="A792" s="397" t="s">
        <v>3749</v>
      </c>
      <c r="C792" s="397" t="s">
        <v>1053</v>
      </c>
      <c r="D792" s="397" t="s">
        <v>3748</v>
      </c>
      <c r="E792" s="397" t="s">
        <v>3698</v>
      </c>
      <c r="F792" s="397" t="s">
        <v>191</v>
      </c>
      <c r="G792" s="396">
        <v>1</v>
      </c>
      <c r="H792" s="395">
        <v>113242.77300000002</v>
      </c>
      <c r="I792" s="394">
        <v>29966.58</v>
      </c>
      <c r="J792" s="394">
        <v>161775.39000000001</v>
      </c>
      <c r="K792" s="393" t="s">
        <v>1033</v>
      </c>
    </row>
    <row r="793" spans="1:12" hidden="1" x14ac:dyDescent="0.3">
      <c r="A793" s="397" t="s">
        <v>3676</v>
      </c>
      <c r="C793" s="397" t="s">
        <v>1053</v>
      </c>
      <c r="D793" s="397" t="s">
        <v>3675</v>
      </c>
      <c r="E793" s="397" t="s">
        <v>3674</v>
      </c>
      <c r="F793" s="397" t="s">
        <v>191</v>
      </c>
      <c r="G793" s="396">
        <v>2</v>
      </c>
      <c r="H793" s="395">
        <v>308617.967</v>
      </c>
      <c r="I793" s="394">
        <v>303212.15000000002</v>
      </c>
      <c r="J793" s="394">
        <v>440882.81</v>
      </c>
      <c r="K793" s="393" t="s">
        <v>1033</v>
      </c>
      <c r="L793" s="395">
        <v>1</v>
      </c>
    </row>
    <row r="794" spans="1:12" hidden="1" x14ac:dyDescent="0.3">
      <c r="A794" s="397" t="s">
        <v>3673</v>
      </c>
      <c r="C794" s="397" t="s">
        <v>1053</v>
      </c>
      <c r="D794" s="397" t="s">
        <v>3672</v>
      </c>
      <c r="E794" s="397" t="s">
        <v>3671</v>
      </c>
      <c r="F794" s="397" t="s">
        <v>191</v>
      </c>
      <c r="G794" s="396">
        <v>2</v>
      </c>
      <c r="H794" s="395">
        <v>1428463.274</v>
      </c>
      <c r="I794" s="394">
        <v>1144817.1100000001</v>
      </c>
      <c r="J794" s="394">
        <v>2040661.82</v>
      </c>
      <c r="K794" s="393" t="s">
        <v>1033</v>
      </c>
    </row>
    <row r="795" spans="1:12" hidden="1" x14ac:dyDescent="0.3">
      <c r="A795" s="397" t="s">
        <v>4182</v>
      </c>
      <c r="C795" s="397" t="s">
        <v>1053</v>
      </c>
      <c r="D795" s="397" t="s">
        <v>4181</v>
      </c>
      <c r="E795" s="397" t="s">
        <v>4149</v>
      </c>
      <c r="F795" s="397" t="s">
        <v>191</v>
      </c>
      <c r="G795" s="396">
        <v>1</v>
      </c>
      <c r="H795" s="395">
        <v>260789.13</v>
      </c>
      <c r="I795" s="394">
        <v>201998.23</v>
      </c>
      <c r="J795" s="394">
        <v>372555.9</v>
      </c>
      <c r="K795" s="393" t="s">
        <v>1033</v>
      </c>
    </row>
    <row r="796" spans="1:12" hidden="1" x14ac:dyDescent="0.3">
      <c r="A796" s="397" t="s">
        <v>1602</v>
      </c>
      <c r="C796" s="397" t="s">
        <v>1053</v>
      </c>
      <c r="D796" s="397" t="s">
        <v>1601</v>
      </c>
      <c r="E796" s="397" t="s">
        <v>1600</v>
      </c>
      <c r="F796" s="397" t="s">
        <v>191</v>
      </c>
      <c r="G796" s="396">
        <v>4</v>
      </c>
      <c r="H796" s="395">
        <v>410493.64299999998</v>
      </c>
      <c r="I796" s="394">
        <v>390656.60000000003</v>
      </c>
      <c r="J796" s="394">
        <v>586419.49</v>
      </c>
      <c r="K796" s="393" t="s">
        <v>1033</v>
      </c>
    </row>
    <row r="797" spans="1:12" hidden="1" x14ac:dyDescent="0.3">
      <c r="A797" s="397" t="s">
        <v>4262</v>
      </c>
      <c r="C797" s="397" t="s">
        <v>1053</v>
      </c>
      <c r="D797" s="397" t="s">
        <v>4261</v>
      </c>
      <c r="E797" s="397" t="s">
        <v>4260</v>
      </c>
      <c r="F797" s="397" t="s">
        <v>191</v>
      </c>
      <c r="G797" s="396">
        <v>1</v>
      </c>
      <c r="H797" s="395">
        <v>57568.595000000001</v>
      </c>
      <c r="I797" s="394">
        <v>70.41</v>
      </c>
      <c r="J797" s="394">
        <v>82240.850000000006</v>
      </c>
      <c r="K797" s="393" t="s">
        <v>1033</v>
      </c>
    </row>
    <row r="798" spans="1:12" hidden="1" x14ac:dyDescent="0.3">
      <c r="A798" s="397" t="s">
        <v>3700</v>
      </c>
      <c r="C798" s="397" t="s">
        <v>1053</v>
      </c>
      <c r="D798" s="397" t="s">
        <v>3699</v>
      </c>
      <c r="E798" s="397" t="s">
        <v>3698</v>
      </c>
      <c r="F798" s="397" t="s">
        <v>191</v>
      </c>
      <c r="G798" s="396">
        <v>1</v>
      </c>
      <c r="H798" s="395">
        <v>49987.370999999999</v>
      </c>
      <c r="I798" s="394">
        <v>38684.01</v>
      </c>
      <c r="J798" s="394">
        <v>71410.53</v>
      </c>
      <c r="K798" s="393" t="s">
        <v>1033</v>
      </c>
      <c r="L798" s="395">
        <v>2</v>
      </c>
    </row>
    <row r="799" spans="1:12" hidden="1" x14ac:dyDescent="0.3">
      <c r="A799" s="397" t="s">
        <v>4166</v>
      </c>
      <c r="C799" s="397" t="s">
        <v>1053</v>
      </c>
      <c r="D799" s="397" t="s">
        <v>4165</v>
      </c>
      <c r="E799" s="397" t="s">
        <v>4164</v>
      </c>
      <c r="F799" s="397" t="s">
        <v>191</v>
      </c>
      <c r="G799" s="396">
        <v>1</v>
      </c>
      <c r="H799" s="395">
        <v>63015.294999999998</v>
      </c>
      <c r="I799" s="394">
        <v>230.15</v>
      </c>
      <c r="J799" s="394">
        <v>90021.85</v>
      </c>
      <c r="K799" s="393" t="s">
        <v>1033</v>
      </c>
    </row>
    <row r="800" spans="1:12" hidden="1" x14ac:dyDescent="0.3">
      <c r="A800" s="397" t="s">
        <v>4161</v>
      </c>
      <c r="C800" s="397" t="s">
        <v>1053</v>
      </c>
      <c r="D800" s="397" t="s">
        <v>4160</v>
      </c>
      <c r="E800" s="397" t="s">
        <v>4159</v>
      </c>
      <c r="F800" s="397" t="s">
        <v>191</v>
      </c>
      <c r="G800" s="396">
        <v>1</v>
      </c>
      <c r="H800" s="395">
        <v>389.95600000000002</v>
      </c>
      <c r="I800" s="394">
        <v>104.71000000000001</v>
      </c>
      <c r="J800" s="394">
        <v>557.08000000000004</v>
      </c>
      <c r="K800" s="393" t="s">
        <v>1033</v>
      </c>
    </row>
    <row r="801" spans="1:11" hidden="1" x14ac:dyDescent="0.3">
      <c r="A801" s="397" t="s">
        <v>4172</v>
      </c>
      <c r="C801" s="397" t="s">
        <v>1053</v>
      </c>
      <c r="D801" s="397" t="s">
        <v>4171</v>
      </c>
      <c r="E801" s="397" t="s">
        <v>4170</v>
      </c>
      <c r="F801" s="397" t="s">
        <v>191</v>
      </c>
      <c r="G801" s="396">
        <v>1</v>
      </c>
      <c r="H801" s="395">
        <v>63015.294999999998</v>
      </c>
      <c r="I801" s="394">
        <v>209.78</v>
      </c>
      <c r="J801" s="394">
        <v>90021.85</v>
      </c>
      <c r="K801" s="393" t="s">
        <v>1033</v>
      </c>
    </row>
    <row r="802" spans="1:11" hidden="1" x14ac:dyDescent="0.3">
      <c r="A802" s="397" t="s">
        <v>4319</v>
      </c>
      <c r="C802" s="397" t="s">
        <v>1053</v>
      </c>
      <c r="D802" s="397" t="s">
        <v>4318</v>
      </c>
      <c r="E802" s="397" t="s">
        <v>4293</v>
      </c>
      <c r="F802" s="397" t="s">
        <v>191</v>
      </c>
      <c r="G802" s="396">
        <v>1</v>
      </c>
      <c r="H802" s="395">
        <v>188661.58499999999</v>
      </c>
      <c r="I802" s="394">
        <v>164575.29999999999</v>
      </c>
      <c r="J802" s="394">
        <v>269516.55</v>
      </c>
      <c r="K802" s="393" t="s">
        <v>1033</v>
      </c>
    </row>
    <row r="803" spans="1:11" hidden="1" x14ac:dyDescent="0.3">
      <c r="A803" s="397" t="s">
        <v>3732</v>
      </c>
      <c r="C803" s="397" t="s">
        <v>1053</v>
      </c>
      <c r="D803" s="397" t="s">
        <v>3731</v>
      </c>
      <c r="E803" s="397" t="s">
        <v>3629</v>
      </c>
      <c r="F803" s="397" t="s">
        <v>191</v>
      </c>
      <c r="G803" s="396">
        <v>1</v>
      </c>
      <c r="H803" s="395">
        <v>560.17500000000007</v>
      </c>
      <c r="I803" s="394">
        <v>360.01</v>
      </c>
      <c r="J803" s="394">
        <v>800.25</v>
      </c>
      <c r="K803" s="393" t="s">
        <v>1033</v>
      </c>
    </row>
    <row r="804" spans="1:11" hidden="1" x14ac:dyDescent="0.3">
      <c r="A804" s="397" t="s">
        <v>3670</v>
      </c>
      <c r="C804" s="397" t="s">
        <v>1053</v>
      </c>
      <c r="D804" s="397" t="s">
        <v>3669</v>
      </c>
      <c r="E804" s="397" t="s">
        <v>3668</v>
      </c>
      <c r="F804" s="397" t="s">
        <v>191</v>
      </c>
      <c r="G804" s="396">
        <v>1</v>
      </c>
      <c r="H804" s="395">
        <v>674073.33700000006</v>
      </c>
      <c r="I804" s="394">
        <v>26860.65</v>
      </c>
      <c r="J804" s="394">
        <v>962961.91</v>
      </c>
      <c r="K804" s="393" t="s">
        <v>1033</v>
      </c>
    </row>
    <row r="805" spans="1:11" hidden="1" x14ac:dyDescent="0.3">
      <c r="A805" s="397" t="s">
        <v>3639</v>
      </c>
      <c r="C805" s="397" t="s">
        <v>1053</v>
      </c>
      <c r="D805" s="397" t="s">
        <v>3638</v>
      </c>
      <c r="E805" s="397" t="s">
        <v>3635</v>
      </c>
      <c r="F805" s="397" t="s">
        <v>191</v>
      </c>
      <c r="G805" s="396">
        <v>1</v>
      </c>
      <c r="H805" s="395">
        <v>49987.370999999999</v>
      </c>
      <c r="I805" s="394">
        <v>37145.449999999997</v>
      </c>
      <c r="J805" s="394">
        <v>71410.53</v>
      </c>
      <c r="K805" s="393" t="s">
        <v>1033</v>
      </c>
    </row>
    <row r="806" spans="1:11" hidden="1" x14ac:dyDescent="0.3">
      <c r="A806" s="397" t="s">
        <v>3758</v>
      </c>
      <c r="C806" s="397" t="s">
        <v>1053</v>
      </c>
      <c r="D806" s="397" t="s">
        <v>3757</v>
      </c>
      <c r="E806" s="397" t="s">
        <v>3698</v>
      </c>
      <c r="F806" s="397" t="s">
        <v>191</v>
      </c>
      <c r="G806" s="396">
        <v>1</v>
      </c>
      <c r="H806" s="395">
        <v>111658.23199999999</v>
      </c>
      <c r="I806" s="394">
        <v>92755.72</v>
      </c>
      <c r="J806" s="394">
        <v>159511.76</v>
      </c>
      <c r="K806" s="393" t="s">
        <v>1033</v>
      </c>
    </row>
    <row r="807" spans="1:11" hidden="1" x14ac:dyDescent="0.3">
      <c r="A807" s="397" t="s">
        <v>1294</v>
      </c>
      <c r="C807" s="397" t="s">
        <v>1053</v>
      </c>
      <c r="D807" s="397" t="s">
        <v>1293</v>
      </c>
      <c r="E807" s="397" t="s">
        <v>1292</v>
      </c>
      <c r="F807" s="397" t="s">
        <v>191</v>
      </c>
      <c r="G807" s="396">
        <v>1</v>
      </c>
      <c r="H807" s="395">
        <v>5572.12</v>
      </c>
      <c r="I807" s="394">
        <v>1081.72</v>
      </c>
      <c r="J807" s="394">
        <v>5572.12</v>
      </c>
      <c r="K807" s="393" t="s">
        <v>1033</v>
      </c>
    </row>
    <row r="808" spans="1:11" hidden="1" x14ac:dyDescent="0.3">
      <c r="A808" s="397" t="s">
        <v>4178</v>
      </c>
      <c r="C808" s="397" t="s">
        <v>1053</v>
      </c>
      <c r="D808" s="397" t="s">
        <v>4254</v>
      </c>
      <c r="E808" s="397" t="s">
        <v>4253</v>
      </c>
      <c r="F808" s="397" t="s">
        <v>191</v>
      </c>
      <c r="G808" s="396">
        <v>1</v>
      </c>
      <c r="H808" s="395">
        <v>655419.56900000002</v>
      </c>
      <c r="I808" s="394">
        <v>452238.60000000003</v>
      </c>
      <c r="J808" s="394">
        <v>936313.67</v>
      </c>
      <c r="K808" s="393" t="s">
        <v>1033</v>
      </c>
    </row>
    <row r="809" spans="1:11" hidden="1" x14ac:dyDescent="0.3">
      <c r="A809" s="397" t="s">
        <v>4178</v>
      </c>
      <c r="C809" s="397" t="s">
        <v>1053</v>
      </c>
      <c r="D809" s="397" t="s">
        <v>4186</v>
      </c>
      <c r="E809" s="397" t="s">
        <v>4185</v>
      </c>
      <c r="F809" s="397" t="s">
        <v>191</v>
      </c>
      <c r="G809" s="396">
        <v>1</v>
      </c>
      <c r="H809" s="395">
        <v>172866.155</v>
      </c>
      <c r="I809" s="394">
        <v>70444.25</v>
      </c>
      <c r="J809" s="394">
        <v>246951.65</v>
      </c>
      <c r="K809" s="393" t="s">
        <v>1033</v>
      </c>
    </row>
    <row r="810" spans="1:11" hidden="1" x14ac:dyDescent="0.3">
      <c r="A810" s="397" t="s">
        <v>4178</v>
      </c>
      <c r="C810" s="397" t="s">
        <v>1053</v>
      </c>
      <c r="D810" s="397" t="s">
        <v>4177</v>
      </c>
      <c r="E810" s="397" t="s">
        <v>4176</v>
      </c>
      <c r="F810" s="397" t="s">
        <v>191</v>
      </c>
      <c r="G810" s="396">
        <v>1</v>
      </c>
      <c r="H810" s="395">
        <v>189726.71899999998</v>
      </c>
      <c r="I810" s="394">
        <v>5387.5</v>
      </c>
      <c r="J810" s="394">
        <v>271038.17</v>
      </c>
      <c r="K810" s="393" t="s">
        <v>1033</v>
      </c>
    </row>
    <row r="811" spans="1:11" hidden="1" x14ac:dyDescent="0.3">
      <c r="A811" s="397" t="s">
        <v>3683</v>
      </c>
      <c r="C811" s="397" t="s">
        <v>1053</v>
      </c>
      <c r="D811" s="397" t="s">
        <v>3682</v>
      </c>
      <c r="E811" s="397" t="s">
        <v>3677</v>
      </c>
      <c r="F811" s="397" t="s">
        <v>191</v>
      </c>
      <c r="G811" s="396">
        <v>1</v>
      </c>
      <c r="H811" s="395">
        <v>113242.77300000002</v>
      </c>
      <c r="I811" s="394">
        <v>92442.680000000008</v>
      </c>
      <c r="J811" s="394">
        <v>161775.39000000001</v>
      </c>
      <c r="K811" s="393" t="s">
        <v>1033</v>
      </c>
    </row>
    <row r="812" spans="1:11" hidden="1" x14ac:dyDescent="0.3">
      <c r="A812" s="397" t="s">
        <v>3735</v>
      </c>
      <c r="C812" s="397" t="s">
        <v>1053</v>
      </c>
      <c r="D812" s="397" t="s">
        <v>3734</v>
      </c>
      <c r="E812" s="397" t="s">
        <v>3733</v>
      </c>
      <c r="F812" s="397" t="s">
        <v>191</v>
      </c>
      <c r="G812" s="396">
        <v>1</v>
      </c>
      <c r="H812" s="395">
        <v>40008.92</v>
      </c>
      <c r="I812" s="394">
        <v>1603.95</v>
      </c>
      <c r="J812" s="394">
        <v>57155.6</v>
      </c>
      <c r="K812" s="393" t="s">
        <v>1033</v>
      </c>
    </row>
    <row r="813" spans="1:11" hidden="1" x14ac:dyDescent="0.3">
      <c r="A813" s="397" t="s">
        <v>4284</v>
      </c>
      <c r="C813" s="397" t="s">
        <v>1053</v>
      </c>
      <c r="D813" s="397" t="s">
        <v>4283</v>
      </c>
      <c r="E813" s="397" t="s">
        <v>4282</v>
      </c>
      <c r="F813" s="397" t="s">
        <v>191</v>
      </c>
      <c r="G813" s="396">
        <v>1</v>
      </c>
      <c r="H813" s="395">
        <v>57123.212999999996</v>
      </c>
      <c r="I813" s="394">
        <v>13414</v>
      </c>
      <c r="J813" s="394">
        <v>81604.59</v>
      </c>
      <c r="K813" s="393" t="s">
        <v>1033</v>
      </c>
    </row>
    <row r="814" spans="1:11" hidden="1" x14ac:dyDescent="0.3">
      <c r="A814" s="397" t="s">
        <v>3754</v>
      </c>
      <c r="C814" s="397" t="s">
        <v>1053</v>
      </c>
      <c r="D814" s="397" t="s">
        <v>3753</v>
      </c>
      <c r="E814" s="397" t="s">
        <v>3752</v>
      </c>
      <c r="F814" s="397" t="s">
        <v>191</v>
      </c>
      <c r="G814" s="396">
        <v>2</v>
      </c>
      <c r="H814" s="395">
        <v>305996.99900000001</v>
      </c>
      <c r="I814" s="394">
        <v>11839.03</v>
      </c>
      <c r="J814" s="394">
        <v>437138.57</v>
      </c>
      <c r="K814" s="393" t="s">
        <v>1033</v>
      </c>
    </row>
    <row r="815" spans="1:11" hidden="1" x14ac:dyDescent="0.3">
      <c r="A815" s="397" t="s">
        <v>4334</v>
      </c>
      <c r="C815" s="397" t="s">
        <v>1053</v>
      </c>
      <c r="D815" s="397" t="s">
        <v>4333</v>
      </c>
      <c r="E815" s="397" t="s">
        <v>4332</v>
      </c>
      <c r="F815" s="397" t="s">
        <v>191</v>
      </c>
      <c r="G815" s="396">
        <v>1</v>
      </c>
      <c r="H815" s="395">
        <v>192949.35100000002</v>
      </c>
      <c r="I815" s="394">
        <v>168315.65</v>
      </c>
      <c r="J815" s="394">
        <v>275641.93</v>
      </c>
      <c r="K815" s="393" t="s">
        <v>1033</v>
      </c>
    </row>
    <row r="816" spans="1:11" hidden="1" x14ac:dyDescent="0.3">
      <c r="A816" s="397" t="s">
        <v>3637</v>
      </c>
      <c r="C816" s="397" t="s">
        <v>1053</v>
      </c>
      <c r="D816" s="397" t="s">
        <v>3636</v>
      </c>
      <c r="E816" s="397" t="s">
        <v>3635</v>
      </c>
      <c r="F816" s="397" t="s">
        <v>191</v>
      </c>
      <c r="G816" s="396">
        <v>1</v>
      </c>
      <c r="H816" s="395">
        <v>47578.342000000004</v>
      </c>
      <c r="I816" s="394">
        <v>33346.46</v>
      </c>
      <c r="J816" s="394">
        <v>67969.06</v>
      </c>
      <c r="K816" s="393" t="s">
        <v>1033</v>
      </c>
    </row>
    <row r="817" spans="1:11" hidden="1" x14ac:dyDescent="0.3">
      <c r="A817" s="397" t="s">
        <v>4325</v>
      </c>
      <c r="C817" s="397" t="s">
        <v>1053</v>
      </c>
      <c r="D817" s="397" t="s">
        <v>4324</v>
      </c>
      <c r="E817" s="397" t="s">
        <v>4141</v>
      </c>
      <c r="F817" s="397" t="s">
        <v>191</v>
      </c>
      <c r="G817" s="396">
        <v>1</v>
      </c>
      <c r="H817" s="395">
        <v>618.91200000000003</v>
      </c>
      <c r="I817" s="394">
        <v>223.93</v>
      </c>
      <c r="J817" s="394">
        <v>884.16</v>
      </c>
      <c r="K817" s="393" t="s">
        <v>1033</v>
      </c>
    </row>
    <row r="818" spans="1:11" hidden="1" x14ac:dyDescent="0.3">
      <c r="A818" s="397" t="s">
        <v>4292</v>
      </c>
      <c r="C818" s="397" t="s">
        <v>1053</v>
      </c>
      <c r="D818" s="397" t="s">
        <v>4291</v>
      </c>
      <c r="E818" s="397" t="s">
        <v>4290</v>
      </c>
      <c r="F818" s="397" t="s">
        <v>191</v>
      </c>
      <c r="G818" s="396">
        <v>1</v>
      </c>
      <c r="H818" s="395">
        <v>53363.667000000001</v>
      </c>
      <c r="I818" s="394">
        <v>204.33</v>
      </c>
      <c r="J818" s="394">
        <v>76233.81</v>
      </c>
      <c r="K818" s="393" t="s">
        <v>1033</v>
      </c>
    </row>
    <row r="819" spans="1:11" hidden="1" x14ac:dyDescent="0.3">
      <c r="A819" s="397" t="s">
        <v>4169</v>
      </c>
      <c r="C819" s="397" t="s">
        <v>1053</v>
      </c>
      <c r="D819" s="397" t="s">
        <v>4168</v>
      </c>
      <c r="E819" s="397" t="s">
        <v>4167</v>
      </c>
      <c r="F819" s="397" t="s">
        <v>191</v>
      </c>
      <c r="G819" s="396">
        <v>1</v>
      </c>
      <c r="H819" s="395">
        <v>580.202</v>
      </c>
      <c r="I819" s="394">
        <v>381.02</v>
      </c>
      <c r="J819" s="394">
        <v>828.86</v>
      </c>
      <c r="K819" s="393" t="s">
        <v>1033</v>
      </c>
    </row>
    <row r="820" spans="1:11" hidden="1" x14ac:dyDescent="0.3">
      <c r="A820" s="397" t="s">
        <v>4259</v>
      </c>
      <c r="C820" s="397" t="s">
        <v>1034</v>
      </c>
      <c r="D820" s="397" t="s">
        <v>4258</v>
      </c>
      <c r="E820" s="397" t="s">
        <v>4257</v>
      </c>
      <c r="F820" s="397" t="s">
        <v>416</v>
      </c>
      <c r="G820" s="396">
        <v>1</v>
      </c>
      <c r="H820" s="395">
        <v>23.1462</v>
      </c>
      <c r="I820" s="394">
        <v>7.21</v>
      </c>
      <c r="J820" s="394">
        <v>30.060000000000002</v>
      </c>
      <c r="K820" s="393" t="s">
        <v>1033</v>
      </c>
    </row>
    <row r="821" spans="1:11" hidden="1" x14ac:dyDescent="0.3">
      <c r="A821" s="397" t="s">
        <v>3628</v>
      </c>
      <c r="C821" s="397" t="s">
        <v>1053</v>
      </c>
      <c r="D821" s="397" t="s">
        <v>3627</v>
      </c>
      <c r="E821" s="397" t="s">
        <v>3626</v>
      </c>
      <c r="F821" s="397" t="s">
        <v>191</v>
      </c>
      <c r="G821" s="396">
        <v>1</v>
      </c>
      <c r="H821" s="395">
        <v>58790.319000000003</v>
      </c>
      <c r="I821" s="394">
        <v>230.48000000000002</v>
      </c>
      <c r="J821" s="394">
        <v>83986.17</v>
      </c>
      <c r="K821" s="393" t="s">
        <v>1033</v>
      </c>
    </row>
    <row r="822" spans="1:11" hidden="1" x14ac:dyDescent="0.3">
      <c r="A822" s="397" t="s">
        <v>1174</v>
      </c>
      <c r="C822" s="397" t="s">
        <v>1053</v>
      </c>
      <c r="D822" s="397" t="s">
        <v>1173</v>
      </c>
      <c r="E822" s="397" t="s">
        <v>1172</v>
      </c>
      <c r="F822" s="397" t="s">
        <v>191</v>
      </c>
      <c r="G822" s="396">
        <v>1</v>
      </c>
      <c r="H822" s="395">
        <v>358.36500000000001</v>
      </c>
      <c r="I822" s="394">
        <v>355.27</v>
      </c>
      <c r="J822" s="394">
        <v>511.95</v>
      </c>
      <c r="K822" s="393" t="s">
        <v>1033</v>
      </c>
    </row>
    <row r="823" spans="1:11" hidden="1" x14ac:dyDescent="0.3">
      <c r="A823" s="397" t="s">
        <v>4256</v>
      </c>
      <c r="C823" s="397" t="s">
        <v>1053</v>
      </c>
      <c r="D823" s="397" t="s">
        <v>4255</v>
      </c>
      <c r="E823" s="397" t="s">
        <v>4141</v>
      </c>
      <c r="F823" s="397" t="s">
        <v>191</v>
      </c>
      <c r="G823" s="396">
        <v>1</v>
      </c>
      <c r="H823" s="395">
        <v>933.75100000000009</v>
      </c>
      <c r="I823" s="394">
        <v>380.02</v>
      </c>
      <c r="J823" s="394">
        <v>1333.93</v>
      </c>
      <c r="K823" s="393" t="s">
        <v>1033</v>
      </c>
    </row>
    <row r="824" spans="1:11" hidden="1" x14ac:dyDescent="0.3">
      <c r="A824" s="397" t="s">
        <v>4158</v>
      </c>
      <c r="C824" s="397" t="s">
        <v>1053</v>
      </c>
      <c r="D824" s="397" t="s">
        <v>4157</v>
      </c>
      <c r="E824" s="397" t="s">
        <v>4141</v>
      </c>
      <c r="F824" s="397" t="s">
        <v>191</v>
      </c>
      <c r="G824" s="396">
        <v>1</v>
      </c>
      <c r="H824" s="395">
        <v>71071.868000000002</v>
      </c>
      <c r="I824" s="394">
        <v>66.3</v>
      </c>
      <c r="J824" s="394">
        <v>101531.24</v>
      </c>
      <c r="K824" s="393" t="s">
        <v>1033</v>
      </c>
    </row>
    <row r="825" spans="1:11" hidden="1" x14ac:dyDescent="0.3">
      <c r="A825" s="397" t="s">
        <v>3691</v>
      </c>
      <c r="C825" s="397" t="s">
        <v>1053</v>
      </c>
      <c r="D825" s="397" t="s">
        <v>3690</v>
      </c>
      <c r="E825" s="397" t="s">
        <v>3689</v>
      </c>
      <c r="F825" s="397" t="s">
        <v>191</v>
      </c>
      <c r="G825" s="396">
        <v>1</v>
      </c>
      <c r="H825" s="395">
        <v>109581.745</v>
      </c>
      <c r="I825" s="394">
        <v>169.6</v>
      </c>
      <c r="J825" s="394">
        <v>156545.35</v>
      </c>
      <c r="K825" s="393" t="s">
        <v>1033</v>
      </c>
    </row>
    <row r="826" spans="1:11" hidden="1" x14ac:dyDescent="0.3">
      <c r="A826" s="397" t="s">
        <v>4275</v>
      </c>
      <c r="C826" s="397" t="s">
        <v>1053</v>
      </c>
      <c r="D826" s="397" t="s">
        <v>4274</v>
      </c>
      <c r="E826" s="397" t="s">
        <v>4273</v>
      </c>
      <c r="F826" s="397" t="s">
        <v>191</v>
      </c>
      <c r="G826" s="396">
        <v>2</v>
      </c>
      <c r="H826" s="395">
        <v>53655.672000000006</v>
      </c>
      <c r="I826" s="394">
        <v>361.5</v>
      </c>
      <c r="J826" s="394">
        <v>76650.960000000006</v>
      </c>
      <c r="K826" s="393" t="s">
        <v>1033</v>
      </c>
    </row>
    <row r="827" spans="1:11" hidden="1" x14ac:dyDescent="0.3">
      <c r="A827" s="397" t="s">
        <v>3761</v>
      </c>
      <c r="C827" s="397" t="s">
        <v>1053</v>
      </c>
      <c r="D827" s="397" t="s">
        <v>3760</v>
      </c>
      <c r="E827" s="397" t="s">
        <v>3736</v>
      </c>
      <c r="F827" s="397" t="s">
        <v>191</v>
      </c>
      <c r="G827" s="396">
        <v>1</v>
      </c>
      <c r="H827" s="395">
        <v>98295.910999999993</v>
      </c>
      <c r="I827" s="394">
        <v>177.56</v>
      </c>
      <c r="J827" s="394">
        <v>140422.73000000001</v>
      </c>
      <c r="K827" s="393" t="s">
        <v>1033</v>
      </c>
    </row>
    <row r="828" spans="1:11" hidden="1" x14ac:dyDescent="0.3">
      <c r="A828" s="397" t="s">
        <v>3697</v>
      </c>
      <c r="C828" s="397" t="s">
        <v>1053</v>
      </c>
      <c r="D828" s="397" t="s">
        <v>3696</v>
      </c>
      <c r="E828" s="397" t="s">
        <v>3695</v>
      </c>
      <c r="F828" s="397" t="s">
        <v>191</v>
      </c>
      <c r="G828" s="396">
        <v>1</v>
      </c>
      <c r="H828" s="395">
        <v>134389.75900000002</v>
      </c>
      <c r="I828" s="394">
        <v>2344.5500000000002</v>
      </c>
      <c r="J828" s="394">
        <v>191985.37</v>
      </c>
      <c r="K828" s="393" t="s">
        <v>1033</v>
      </c>
    </row>
    <row r="829" spans="1:11" hidden="1" x14ac:dyDescent="0.3">
      <c r="A829" s="397" t="s">
        <v>3694</v>
      </c>
      <c r="C829" s="397" t="s">
        <v>1053</v>
      </c>
      <c r="D829" s="397" t="s">
        <v>3693</v>
      </c>
      <c r="E829" s="397" t="s">
        <v>3692</v>
      </c>
      <c r="F829" s="397" t="s">
        <v>191</v>
      </c>
      <c r="G829" s="396">
        <v>1</v>
      </c>
      <c r="H829" s="395">
        <v>126780.927</v>
      </c>
      <c r="I829" s="394">
        <v>1319.56</v>
      </c>
      <c r="J829" s="394">
        <v>181115.61000000002</v>
      </c>
      <c r="K829" s="393" t="s">
        <v>1033</v>
      </c>
    </row>
    <row r="830" spans="1:11" hidden="1" x14ac:dyDescent="0.3">
      <c r="A830" s="397" t="s">
        <v>4148</v>
      </c>
      <c r="C830" s="397" t="s">
        <v>1053</v>
      </c>
      <c r="D830" s="397" t="s">
        <v>4147</v>
      </c>
      <c r="E830" s="397" t="s">
        <v>4144</v>
      </c>
      <c r="F830" s="397" t="s">
        <v>191</v>
      </c>
      <c r="G830" s="396">
        <v>9</v>
      </c>
      <c r="H830" s="395">
        <v>60912.264000000003</v>
      </c>
      <c r="I830" s="394">
        <v>3081.64</v>
      </c>
      <c r="J830" s="394">
        <v>87017.52</v>
      </c>
      <c r="K830" s="393" t="s">
        <v>1033</v>
      </c>
    </row>
    <row r="831" spans="1:11" hidden="1" x14ac:dyDescent="0.3">
      <c r="A831" s="397" t="s">
        <v>3688</v>
      </c>
      <c r="C831" s="397" t="s">
        <v>1053</v>
      </c>
      <c r="D831" s="397" t="s">
        <v>4294</v>
      </c>
      <c r="E831" s="397" t="s">
        <v>4293</v>
      </c>
      <c r="F831" s="397" t="s">
        <v>191</v>
      </c>
      <c r="G831" s="396">
        <v>1</v>
      </c>
      <c r="H831" s="395">
        <v>288764.93100000004</v>
      </c>
      <c r="I831" s="394">
        <v>264620.95</v>
      </c>
      <c r="J831" s="394">
        <v>412521.33</v>
      </c>
      <c r="K831" s="393" t="s">
        <v>1033</v>
      </c>
    </row>
    <row r="832" spans="1:11" hidden="1" x14ac:dyDescent="0.3">
      <c r="A832" s="397" t="s">
        <v>3688</v>
      </c>
      <c r="C832" s="397" t="s">
        <v>1053</v>
      </c>
      <c r="D832" s="397" t="s">
        <v>3687</v>
      </c>
      <c r="E832" s="397" t="s">
        <v>3684</v>
      </c>
      <c r="F832" s="397" t="s">
        <v>191</v>
      </c>
      <c r="G832" s="396">
        <v>1</v>
      </c>
      <c r="H832" s="395">
        <v>111658.23199999999</v>
      </c>
      <c r="I832" s="394">
        <v>12294.82</v>
      </c>
      <c r="J832" s="394">
        <v>159511.76</v>
      </c>
      <c r="K832" s="393" t="s">
        <v>1033</v>
      </c>
    </row>
    <row r="833" spans="1:11" hidden="1" x14ac:dyDescent="0.3">
      <c r="A833" s="397" t="s">
        <v>3702</v>
      </c>
      <c r="C833" s="397" t="s">
        <v>1053</v>
      </c>
      <c r="D833" s="397" t="s">
        <v>3701</v>
      </c>
      <c r="E833" s="397" t="s">
        <v>3629</v>
      </c>
      <c r="F833" s="397" t="s">
        <v>191</v>
      </c>
      <c r="G833" s="396">
        <v>1</v>
      </c>
      <c r="H833" s="395">
        <v>49987.370999999999</v>
      </c>
      <c r="I833" s="394">
        <v>37145.449999999997</v>
      </c>
      <c r="J833" s="394">
        <v>71410.53</v>
      </c>
      <c r="K833" s="393" t="s">
        <v>1033</v>
      </c>
    </row>
    <row r="834" spans="1:11" hidden="1" x14ac:dyDescent="0.3">
      <c r="A834" s="397" t="s">
        <v>1824</v>
      </c>
      <c r="C834" s="397" t="s">
        <v>1053</v>
      </c>
      <c r="D834" s="397" t="s">
        <v>1823</v>
      </c>
      <c r="E834" s="397" t="s">
        <v>1822</v>
      </c>
      <c r="F834" s="397" t="s">
        <v>191</v>
      </c>
      <c r="G834" s="396">
        <v>10</v>
      </c>
      <c r="H834" s="395">
        <v>129478.16800000001</v>
      </c>
      <c r="I834" s="394">
        <v>129478.51000000001</v>
      </c>
      <c r="J834" s="394">
        <v>161847.71</v>
      </c>
      <c r="K834" s="393" t="s">
        <v>1033</v>
      </c>
    </row>
    <row r="835" spans="1:11" hidden="1" x14ac:dyDescent="0.3">
      <c r="A835" s="397" t="s">
        <v>1281</v>
      </c>
      <c r="C835" s="397" t="s">
        <v>1053</v>
      </c>
      <c r="D835" s="397" t="s">
        <v>731</v>
      </c>
      <c r="E835" s="397" t="s">
        <v>732</v>
      </c>
      <c r="F835" s="397" t="s">
        <v>191</v>
      </c>
      <c r="G835" s="396">
        <v>21</v>
      </c>
      <c r="H835" s="395">
        <v>111767.978</v>
      </c>
      <c r="I835" s="394">
        <v>107430.47</v>
      </c>
      <c r="J835" s="394">
        <v>159668.54</v>
      </c>
      <c r="K835" s="393" t="s">
        <v>1033</v>
      </c>
    </row>
    <row r="836" spans="1:11" hidden="1" x14ac:dyDescent="0.3">
      <c r="A836" s="397" t="s">
        <v>1605</v>
      </c>
      <c r="C836" s="397" t="s">
        <v>1053</v>
      </c>
      <c r="D836" s="397" t="s">
        <v>1604</v>
      </c>
      <c r="E836" s="397" t="s">
        <v>1603</v>
      </c>
      <c r="F836" s="397" t="s">
        <v>191</v>
      </c>
      <c r="G836" s="396">
        <v>8</v>
      </c>
      <c r="H836" s="395">
        <v>79840.516000000003</v>
      </c>
      <c r="I836" s="394">
        <v>79050.009999999995</v>
      </c>
      <c r="J836" s="394">
        <v>114057.88</v>
      </c>
      <c r="K836" s="393" t="s">
        <v>1033</v>
      </c>
    </row>
    <row r="837" spans="1:11" hidden="1" x14ac:dyDescent="0.3">
      <c r="A837" s="397" t="s">
        <v>1853</v>
      </c>
      <c r="C837" s="397" t="s">
        <v>1053</v>
      </c>
      <c r="D837" s="397" t="s">
        <v>1855</v>
      </c>
      <c r="E837" s="397" t="s">
        <v>1851</v>
      </c>
      <c r="F837" s="397" t="s">
        <v>191</v>
      </c>
      <c r="G837" s="396">
        <v>3</v>
      </c>
      <c r="H837" s="395">
        <v>55893.798499999997</v>
      </c>
      <c r="I837" s="394">
        <v>55893.8</v>
      </c>
      <c r="J837" s="394">
        <v>65757.41</v>
      </c>
      <c r="K837" s="393" t="s">
        <v>1033</v>
      </c>
    </row>
    <row r="838" spans="1:11" hidden="1" x14ac:dyDescent="0.3">
      <c r="A838" s="397" t="s">
        <v>1853</v>
      </c>
      <c r="C838" s="397" t="s">
        <v>1053</v>
      </c>
      <c r="D838" s="397" t="s">
        <v>1854</v>
      </c>
      <c r="E838" s="397" t="s">
        <v>1851</v>
      </c>
      <c r="F838" s="397" t="s">
        <v>191</v>
      </c>
      <c r="G838" s="396">
        <v>5</v>
      </c>
      <c r="H838" s="395">
        <v>55893.798499999997</v>
      </c>
      <c r="I838" s="394">
        <v>55893.8</v>
      </c>
      <c r="J838" s="394">
        <v>65757.41</v>
      </c>
      <c r="K838" s="393" t="s">
        <v>1033</v>
      </c>
    </row>
    <row r="839" spans="1:11" hidden="1" x14ac:dyDescent="0.3">
      <c r="A839" s="397" t="s">
        <v>1853</v>
      </c>
      <c r="C839" s="397" t="s">
        <v>1053</v>
      </c>
      <c r="D839" s="397" t="s">
        <v>1852</v>
      </c>
      <c r="E839" s="397" t="s">
        <v>1851</v>
      </c>
      <c r="F839" s="397" t="s">
        <v>191</v>
      </c>
      <c r="G839" s="396">
        <v>1</v>
      </c>
      <c r="H839" s="395">
        <v>55893.798499999997</v>
      </c>
      <c r="I839" s="394">
        <v>55893.8</v>
      </c>
      <c r="J839" s="394">
        <v>65757.41</v>
      </c>
      <c r="K839" s="393" t="s">
        <v>1033</v>
      </c>
    </row>
    <row r="840" spans="1:11" hidden="1" x14ac:dyDescent="0.3">
      <c r="A840" s="397" t="s">
        <v>1803</v>
      </c>
      <c r="C840" s="397" t="s">
        <v>1053</v>
      </c>
      <c r="D840" s="397" t="s">
        <v>1860</v>
      </c>
      <c r="E840" s="397" t="s">
        <v>1856</v>
      </c>
      <c r="F840" s="397" t="s">
        <v>191</v>
      </c>
      <c r="G840" s="396">
        <v>2</v>
      </c>
      <c r="H840" s="395">
        <v>35035.287000000004</v>
      </c>
      <c r="I840" s="394">
        <v>27305.83</v>
      </c>
      <c r="J840" s="394">
        <v>50050.41</v>
      </c>
      <c r="K840" s="393" t="s">
        <v>1033</v>
      </c>
    </row>
    <row r="841" spans="1:11" hidden="1" x14ac:dyDescent="0.3">
      <c r="A841" s="397" t="s">
        <v>1803</v>
      </c>
      <c r="C841" s="397" t="s">
        <v>1053</v>
      </c>
      <c r="D841" s="397" t="s">
        <v>1859</v>
      </c>
      <c r="E841" s="397" t="s">
        <v>1856</v>
      </c>
      <c r="F841" s="397" t="s">
        <v>191</v>
      </c>
      <c r="G841" s="396">
        <v>5</v>
      </c>
      <c r="H841" s="395">
        <v>35035.287000000004</v>
      </c>
      <c r="I841" s="394">
        <v>27305.83</v>
      </c>
      <c r="J841" s="394">
        <v>50050.41</v>
      </c>
      <c r="K841" s="393" t="s">
        <v>1033</v>
      </c>
    </row>
    <row r="842" spans="1:11" hidden="1" x14ac:dyDescent="0.3">
      <c r="A842" s="397" t="s">
        <v>1803</v>
      </c>
      <c r="C842" s="397" t="s">
        <v>1053</v>
      </c>
      <c r="D842" s="397" t="s">
        <v>1858</v>
      </c>
      <c r="E842" s="397" t="s">
        <v>1856</v>
      </c>
      <c r="F842" s="397" t="s">
        <v>191</v>
      </c>
      <c r="G842" s="396">
        <v>3</v>
      </c>
      <c r="H842" s="395">
        <v>35035.287000000004</v>
      </c>
      <c r="I842" s="394">
        <v>27305.83</v>
      </c>
      <c r="J842" s="394">
        <v>50050.41</v>
      </c>
      <c r="K842" s="393" t="s">
        <v>1033</v>
      </c>
    </row>
    <row r="843" spans="1:11" hidden="1" x14ac:dyDescent="0.3">
      <c r="A843" s="397" t="s">
        <v>1803</v>
      </c>
      <c r="C843" s="397" t="s">
        <v>1053</v>
      </c>
      <c r="D843" s="397" t="s">
        <v>1857</v>
      </c>
      <c r="E843" s="397" t="s">
        <v>1856</v>
      </c>
      <c r="F843" s="397" t="s">
        <v>191</v>
      </c>
      <c r="G843" s="396">
        <v>2</v>
      </c>
      <c r="H843" s="395">
        <v>35035.287000000004</v>
      </c>
      <c r="I843" s="394">
        <v>27305.83</v>
      </c>
      <c r="J843" s="394">
        <v>50050.41</v>
      </c>
      <c r="K843" s="393" t="s">
        <v>1033</v>
      </c>
    </row>
    <row r="844" spans="1:11" hidden="1" x14ac:dyDescent="0.3">
      <c r="A844" s="397" t="s">
        <v>1803</v>
      </c>
      <c r="C844" s="397" t="s">
        <v>1053</v>
      </c>
      <c r="D844" s="397" t="s">
        <v>1850</v>
      </c>
      <c r="E844" s="397" t="s">
        <v>1846</v>
      </c>
      <c r="F844" s="397" t="s">
        <v>191</v>
      </c>
      <c r="G844" s="396">
        <v>4</v>
      </c>
      <c r="H844" s="395">
        <v>39696.767999999996</v>
      </c>
      <c r="I844" s="394">
        <v>35300</v>
      </c>
      <c r="J844" s="394">
        <v>49620.959999999999</v>
      </c>
      <c r="K844" s="393" t="s">
        <v>1033</v>
      </c>
    </row>
    <row r="845" spans="1:11" hidden="1" x14ac:dyDescent="0.3">
      <c r="A845" s="397" t="s">
        <v>1803</v>
      </c>
      <c r="C845" s="397" t="s">
        <v>1053</v>
      </c>
      <c r="D845" s="397" t="s">
        <v>1849</v>
      </c>
      <c r="E845" s="397" t="s">
        <v>1846</v>
      </c>
      <c r="F845" s="397" t="s">
        <v>191</v>
      </c>
      <c r="G845" s="396">
        <v>1</v>
      </c>
      <c r="H845" s="395">
        <v>39696.767999999996</v>
      </c>
      <c r="I845" s="394">
        <v>35300</v>
      </c>
      <c r="J845" s="394">
        <v>49620.959999999999</v>
      </c>
      <c r="K845" s="393" t="s">
        <v>1033</v>
      </c>
    </row>
    <row r="846" spans="1:11" hidden="1" x14ac:dyDescent="0.3">
      <c r="A846" s="397" t="s">
        <v>1803</v>
      </c>
      <c r="C846" s="397" t="s">
        <v>1053</v>
      </c>
      <c r="D846" s="397" t="s">
        <v>1848</v>
      </c>
      <c r="E846" s="397" t="s">
        <v>1846</v>
      </c>
      <c r="F846" s="397" t="s">
        <v>191</v>
      </c>
      <c r="G846" s="396">
        <v>4</v>
      </c>
      <c r="H846" s="395">
        <v>39696.767999999996</v>
      </c>
      <c r="I846" s="394">
        <v>36005.79</v>
      </c>
      <c r="J846" s="394">
        <v>49620.959999999999</v>
      </c>
      <c r="K846" s="393" t="s">
        <v>1033</v>
      </c>
    </row>
    <row r="847" spans="1:11" hidden="1" x14ac:dyDescent="0.3">
      <c r="A847" s="397" t="s">
        <v>1803</v>
      </c>
      <c r="C847" s="397" t="s">
        <v>1053</v>
      </c>
      <c r="D847" s="397" t="s">
        <v>1847</v>
      </c>
      <c r="E847" s="397" t="s">
        <v>1846</v>
      </c>
      <c r="F847" s="397" t="s">
        <v>191</v>
      </c>
      <c r="G847" s="396">
        <v>1</v>
      </c>
      <c r="H847" s="395">
        <v>39696.767999999996</v>
      </c>
      <c r="I847" s="394">
        <v>37806.61</v>
      </c>
      <c r="J847" s="394">
        <v>49620.959999999999</v>
      </c>
      <c r="K847" s="393" t="s">
        <v>1033</v>
      </c>
    </row>
    <row r="848" spans="1:11" hidden="1" x14ac:dyDescent="0.3">
      <c r="A848" s="397" t="s">
        <v>1803</v>
      </c>
      <c r="C848" s="397" t="s">
        <v>1053</v>
      </c>
      <c r="D848" s="397" t="s">
        <v>1804</v>
      </c>
      <c r="E848" s="397" t="s">
        <v>1801</v>
      </c>
      <c r="F848" s="397" t="s">
        <v>191</v>
      </c>
      <c r="G848" s="396">
        <v>2</v>
      </c>
      <c r="H848" s="395">
        <v>47756.896000000001</v>
      </c>
      <c r="I848" s="394">
        <v>47757.020000000004</v>
      </c>
      <c r="J848" s="394">
        <v>59696.12</v>
      </c>
      <c r="K848" s="393" t="s">
        <v>1033</v>
      </c>
    </row>
    <row r="849" spans="1:11" hidden="1" x14ac:dyDescent="0.3">
      <c r="A849" s="397" t="s">
        <v>1803</v>
      </c>
      <c r="C849" s="397" t="s">
        <v>1053</v>
      </c>
      <c r="D849" s="397" t="s">
        <v>1802</v>
      </c>
      <c r="E849" s="397" t="s">
        <v>1801</v>
      </c>
      <c r="F849" s="397" t="s">
        <v>191</v>
      </c>
      <c r="G849" s="396">
        <v>2</v>
      </c>
      <c r="H849" s="395">
        <v>47756.896000000001</v>
      </c>
      <c r="I849" s="394">
        <v>47757.020000000004</v>
      </c>
      <c r="J849" s="394">
        <v>59696.12</v>
      </c>
      <c r="K849" s="393" t="s">
        <v>1033</v>
      </c>
    </row>
    <row r="850" spans="1:11" hidden="1" x14ac:dyDescent="0.3">
      <c r="A850" s="397" t="s">
        <v>780</v>
      </c>
      <c r="C850" s="397" t="s">
        <v>1053</v>
      </c>
      <c r="D850" s="397" t="s">
        <v>1808</v>
      </c>
      <c r="E850" s="397" t="s">
        <v>1805</v>
      </c>
      <c r="F850" s="397" t="s">
        <v>191</v>
      </c>
      <c r="G850" s="396">
        <v>6</v>
      </c>
      <c r="H850" s="395">
        <v>143529.603</v>
      </c>
      <c r="I850" s="394">
        <v>67432.88</v>
      </c>
      <c r="J850" s="394">
        <v>205042.29</v>
      </c>
      <c r="K850" s="393" t="s">
        <v>1033</v>
      </c>
    </row>
    <row r="851" spans="1:11" hidden="1" x14ac:dyDescent="0.3">
      <c r="A851" s="397" t="s">
        <v>780</v>
      </c>
      <c r="C851" s="397" t="s">
        <v>1053</v>
      </c>
      <c r="D851" s="397" t="s">
        <v>1807</v>
      </c>
      <c r="E851" s="397" t="s">
        <v>1805</v>
      </c>
      <c r="F851" s="397" t="s">
        <v>191</v>
      </c>
      <c r="G851" s="396">
        <v>7</v>
      </c>
      <c r="H851" s="395">
        <v>67432.88</v>
      </c>
      <c r="I851" s="394">
        <v>67432.88</v>
      </c>
      <c r="J851" s="394">
        <v>84291.1</v>
      </c>
      <c r="K851" s="393" t="s">
        <v>1033</v>
      </c>
    </row>
    <row r="852" spans="1:11" hidden="1" x14ac:dyDescent="0.3">
      <c r="A852" s="397" t="s">
        <v>780</v>
      </c>
      <c r="C852" s="397" t="s">
        <v>1053</v>
      </c>
      <c r="D852" s="397" t="s">
        <v>1806</v>
      </c>
      <c r="E852" s="397" t="s">
        <v>1805</v>
      </c>
      <c r="F852" s="397" t="s">
        <v>191</v>
      </c>
      <c r="G852" s="396">
        <v>4</v>
      </c>
      <c r="H852" s="395">
        <v>67432.88</v>
      </c>
      <c r="I852" s="394">
        <v>67432.88</v>
      </c>
      <c r="J852" s="394">
        <v>84291.1</v>
      </c>
      <c r="K852" s="393" t="s">
        <v>1033</v>
      </c>
    </row>
    <row r="853" spans="1:11" hidden="1" x14ac:dyDescent="0.3">
      <c r="A853" s="397" t="s">
        <v>1944</v>
      </c>
      <c r="C853" s="397" t="s">
        <v>1053</v>
      </c>
      <c r="D853" s="397" t="s">
        <v>1943</v>
      </c>
      <c r="E853" s="397" t="s">
        <v>1942</v>
      </c>
      <c r="F853" s="397" t="s">
        <v>191</v>
      </c>
      <c r="G853" s="396">
        <v>2</v>
      </c>
      <c r="H853" s="395">
        <v>13194.551999999998</v>
      </c>
      <c r="I853" s="394">
        <v>12556.2</v>
      </c>
      <c r="J853" s="394">
        <v>16493.189999999999</v>
      </c>
      <c r="K853" s="393" t="s">
        <v>1033</v>
      </c>
    </row>
    <row r="854" spans="1:11" hidden="1" x14ac:dyDescent="0.3">
      <c r="A854" s="397" t="s">
        <v>1839</v>
      </c>
      <c r="C854" s="397" t="s">
        <v>1053</v>
      </c>
      <c r="D854" s="397" t="s">
        <v>1941</v>
      </c>
      <c r="E854" s="397" t="s">
        <v>1940</v>
      </c>
      <c r="F854" s="397" t="s">
        <v>191</v>
      </c>
      <c r="G854" s="396">
        <v>15</v>
      </c>
      <c r="H854" s="395">
        <v>40561.847999999998</v>
      </c>
      <c r="I854" s="394">
        <v>39598.35</v>
      </c>
      <c r="J854" s="394">
        <v>50702.31</v>
      </c>
      <c r="K854" s="393" t="s">
        <v>1033</v>
      </c>
    </row>
    <row r="855" spans="1:11" hidden="1" x14ac:dyDescent="0.3">
      <c r="A855" s="397" t="s">
        <v>1839</v>
      </c>
      <c r="C855" s="397" t="s">
        <v>1053</v>
      </c>
      <c r="D855" s="397" t="s">
        <v>1838</v>
      </c>
      <c r="E855" s="397" t="s">
        <v>1837</v>
      </c>
      <c r="F855" s="397" t="s">
        <v>191</v>
      </c>
      <c r="G855" s="396">
        <v>4</v>
      </c>
      <c r="H855" s="395">
        <v>24907.647999999997</v>
      </c>
      <c r="I855" s="394">
        <v>17516.53</v>
      </c>
      <c r="J855" s="394">
        <v>31134.560000000001</v>
      </c>
      <c r="K855" s="393" t="s">
        <v>1033</v>
      </c>
    </row>
    <row r="856" spans="1:11" hidden="1" x14ac:dyDescent="0.3">
      <c r="A856" s="397" t="s">
        <v>783</v>
      </c>
      <c r="C856" s="397" t="s">
        <v>1053</v>
      </c>
      <c r="D856" s="397" t="s">
        <v>782</v>
      </c>
      <c r="E856" s="397" t="s">
        <v>781</v>
      </c>
      <c r="F856" s="397" t="s">
        <v>191</v>
      </c>
      <c r="G856" s="396">
        <v>9</v>
      </c>
      <c r="H856" s="395">
        <v>19770.528000000002</v>
      </c>
      <c r="I856" s="394">
        <v>18182.64</v>
      </c>
      <c r="J856" s="394">
        <v>24713.16</v>
      </c>
      <c r="K856" s="393" t="s">
        <v>1033</v>
      </c>
    </row>
    <row r="857" spans="1:11" hidden="1" x14ac:dyDescent="0.3">
      <c r="A857" s="397" t="s">
        <v>1871</v>
      </c>
      <c r="C857" s="397" t="s">
        <v>1053</v>
      </c>
      <c r="D857" s="397" t="s">
        <v>1876</v>
      </c>
      <c r="E857" s="397" t="s">
        <v>1875</v>
      </c>
      <c r="F857" s="397" t="s">
        <v>191</v>
      </c>
      <c r="G857" s="396">
        <v>1</v>
      </c>
      <c r="H857" s="395">
        <v>71109.600000000006</v>
      </c>
      <c r="I857" s="394">
        <v>67673.55</v>
      </c>
      <c r="J857" s="394">
        <v>88887</v>
      </c>
      <c r="K857" s="393" t="s">
        <v>1033</v>
      </c>
    </row>
    <row r="858" spans="1:11" hidden="1" x14ac:dyDescent="0.3">
      <c r="A858" s="397" t="s">
        <v>1871</v>
      </c>
      <c r="C858" s="397" t="s">
        <v>1053</v>
      </c>
      <c r="D858" s="397" t="s">
        <v>1870</v>
      </c>
      <c r="E858" s="397" t="s">
        <v>1869</v>
      </c>
      <c r="F858" s="397" t="s">
        <v>191</v>
      </c>
      <c r="G858" s="396">
        <v>2</v>
      </c>
      <c r="H858" s="395">
        <v>60819.695999999996</v>
      </c>
      <c r="I858" s="394">
        <v>57880.99</v>
      </c>
      <c r="J858" s="394">
        <v>76024.62</v>
      </c>
      <c r="K858" s="393" t="s">
        <v>1033</v>
      </c>
    </row>
    <row r="859" spans="1:11" hidden="1" x14ac:dyDescent="0.3">
      <c r="A859" s="397" t="s">
        <v>1836</v>
      </c>
      <c r="C859" s="397" t="s">
        <v>1053</v>
      </c>
      <c r="D859" s="397" t="s">
        <v>1939</v>
      </c>
      <c r="E859" s="397" t="s">
        <v>1938</v>
      </c>
      <c r="F859" s="397" t="s">
        <v>191</v>
      </c>
      <c r="G859" s="396">
        <v>3</v>
      </c>
      <c r="H859" s="395">
        <v>7081.6559999999999</v>
      </c>
      <c r="I859" s="394">
        <v>6293.39</v>
      </c>
      <c r="J859" s="394">
        <v>8852.07</v>
      </c>
      <c r="K859" s="393" t="s">
        <v>1033</v>
      </c>
    </row>
    <row r="860" spans="1:11" hidden="1" x14ac:dyDescent="0.3">
      <c r="A860" s="397" t="s">
        <v>1836</v>
      </c>
      <c r="C860" s="397" t="s">
        <v>1053</v>
      </c>
      <c r="D860" s="397" t="s">
        <v>1935</v>
      </c>
      <c r="E860" s="397" t="s">
        <v>1934</v>
      </c>
      <c r="F860" s="397" t="s">
        <v>191</v>
      </c>
      <c r="G860" s="396">
        <v>6</v>
      </c>
      <c r="H860" s="395">
        <v>54392.135999999999</v>
      </c>
      <c r="I860" s="394">
        <v>53065.29</v>
      </c>
      <c r="J860" s="394">
        <v>67990.17</v>
      </c>
      <c r="K860" s="393" t="s">
        <v>1033</v>
      </c>
    </row>
    <row r="861" spans="1:11" hidden="1" x14ac:dyDescent="0.3">
      <c r="A861" s="397" t="s">
        <v>1836</v>
      </c>
      <c r="C861" s="397" t="s">
        <v>1053</v>
      </c>
      <c r="D861" s="397" t="s">
        <v>1835</v>
      </c>
      <c r="E861" s="397" t="s">
        <v>1834</v>
      </c>
      <c r="F861" s="397" t="s">
        <v>191</v>
      </c>
      <c r="G861" s="396">
        <v>3</v>
      </c>
      <c r="H861" s="395">
        <v>878.96</v>
      </c>
      <c r="I861" s="394">
        <v>857.85</v>
      </c>
      <c r="J861" s="394">
        <v>1098.7</v>
      </c>
      <c r="K861" s="393" t="s">
        <v>1033</v>
      </c>
    </row>
    <row r="862" spans="1:11" hidden="1" x14ac:dyDescent="0.3">
      <c r="A862" s="397" t="s">
        <v>1774</v>
      </c>
      <c r="C862" s="397" t="s">
        <v>1053</v>
      </c>
      <c r="D862" s="397" t="s">
        <v>1773</v>
      </c>
      <c r="E862" s="397" t="s">
        <v>1772</v>
      </c>
      <c r="F862" s="397" t="s">
        <v>191</v>
      </c>
      <c r="G862" s="396">
        <v>1</v>
      </c>
      <c r="H862" s="395">
        <v>36071.840000000004</v>
      </c>
      <c r="I862" s="394">
        <v>36071.9</v>
      </c>
      <c r="J862" s="394">
        <v>45089.8</v>
      </c>
      <c r="K862" s="393" t="s">
        <v>1033</v>
      </c>
    </row>
    <row r="863" spans="1:11" hidden="1" x14ac:dyDescent="0.3">
      <c r="A863" s="397" t="s">
        <v>1783</v>
      </c>
      <c r="C863" s="397" t="s">
        <v>1053</v>
      </c>
      <c r="D863" s="397" t="s">
        <v>1782</v>
      </c>
      <c r="E863" s="397" t="s">
        <v>1781</v>
      </c>
      <c r="F863" s="397" t="s">
        <v>191</v>
      </c>
      <c r="G863" s="396">
        <v>1</v>
      </c>
      <c r="H863" s="395">
        <v>82305.64</v>
      </c>
      <c r="I863" s="394">
        <v>80298.350000000006</v>
      </c>
      <c r="J863" s="394">
        <v>102882.05</v>
      </c>
      <c r="K863" s="393" t="s">
        <v>1033</v>
      </c>
    </row>
    <row r="864" spans="1:11" hidden="1" x14ac:dyDescent="0.3">
      <c r="A864" s="397" t="s">
        <v>1962</v>
      </c>
      <c r="C864" s="397" t="s">
        <v>1053</v>
      </c>
      <c r="D864" s="397" t="s">
        <v>1961</v>
      </c>
      <c r="E864" s="397" t="s">
        <v>1960</v>
      </c>
      <c r="F864" s="397" t="s">
        <v>191</v>
      </c>
      <c r="G864" s="396">
        <v>4</v>
      </c>
      <c r="H864" s="395">
        <v>22797.352000000003</v>
      </c>
      <c r="I864" s="394">
        <v>21695.040000000001</v>
      </c>
      <c r="J864" s="394">
        <v>28496.690000000002</v>
      </c>
      <c r="K864" s="393" t="s">
        <v>1033</v>
      </c>
    </row>
    <row r="865" spans="1:11" hidden="1" x14ac:dyDescent="0.3">
      <c r="A865" s="397" t="s">
        <v>1771</v>
      </c>
      <c r="C865" s="397" t="s">
        <v>1053</v>
      </c>
      <c r="D865" s="397" t="s">
        <v>1770</v>
      </c>
      <c r="E865" s="397" t="s">
        <v>1769</v>
      </c>
      <c r="F865" s="397" t="s">
        <v>191</v>
      </c>
      <c r="G865" s="396">
        <v>3</v>
      </c>
      <c r="H865" s="395">
        <v>5358.68</v>
      </c>
      <c r="I865" s="394">
        <v>5358.68</v>
      </c>
      <c r="J865" s="394">
        <v>6698.35</v>
      </c>
      <c r="K865" s="393" t="s">
        <v>1033</v>
      </c>
    </row>
    <row r="866" spans="1:11" hidden="1" x14ac:dyDescent="0.3">
      <c r="A866" s="397" t="s">
        <v>1833</v>
      </c>
      <c r="C866" s="397" t="s">
        <v>1053</v>
      </c>
      <c r="D866" s="397" t="s">
        <v>1832</v>
      </c>
      <c r="E866" s="397" t="s">
        <v>1831</v>
      </c>
      <c r="F866" s="397" t="s">
        <v>191</v>
      </c>
      <c r="G866" s="396">
        <v>2</v>
      </c>
      <c r="H866" s="395">
        <v>5358.68</v>
      </c>
      <c r="I866" s="394">
        <v>5358.68</v>
      </c>
      <c r="J866" s="394">
        <v>6698.35</v>
      </c>
      <c r="K866" s="393" t="s">
        <v>1033</v>
      </c>
    </row>
    <row r="867" spans="1:11" hidden="1" x14ac:dyDescent="0.3">
      <c r="A867" s="397" t="s">
        <v>1863</v>
      </c>
      <c r="C867" s="397" t="s">
        <v>1053</v>
      </c>
      <c r="D867" s="397" t="s">
        <v>1862</v>
      </c>
      <c r="E867" s="397" t="s">
        <v>1861</v>
      </c>
      <c r="F867" s="397" t="s">
        <v>191</v>
      </c>
      <c r="G867" s="396">
        <v>2</v>
      </c>
      <c r="H867" s="395">
        <v>63985.343999999997</v>
      </c>
      <c r="I867" s="394">
        <v>60893.39</v>
      </c>
      <c r="J867" s="394">
        <v>79981.679999999993</v>
      </c>
      <c r="K867" s="393" t="s">
        <v>1033</v>
      </c>
    </row>
    <row r="868" spans="1:11" hidden="1" x14ac:dyDescent="0.3">
      <c r="A868" s="397" t="s">
        <v>1789</v>
      </c>
      <c r="C868" s="397" t="s">
        <v>1053</v>
      </c>
      <c r="D868" s="397" t="s">
        <v>1925</v>
      </c>
      <c r="E868" s="397" t="s">
        <v>1924</v>
      </c>
      <c r="F868" s="397" t="s">
        <v>191</v>
      </c>
      <c r="G868" s="396">
        <v>1</v>
      </c>
      <c r="H868" s="395">
        <v>11593.707999999999</v>
      </c>
      <c r="I868" s="394">
        <v>12310.08</v>
      </c>
      <c r="J868" s="394">
        <v>16562.439999999999</v>
      </c>
      <c r="K868" s="393" t="s">
        <v>1033</v>
      </c>
    </row>
    <row r="869" spans="1:11" hidden="1" x14ac:dyDescent="0.3">
      <c r="A869" s="397" t="s">
        <v>1789</v>
      </c>
      <c r="C869" s="397" t="s">
        <v>1053</v>
      </c>
      <c r="D869" s="397" t="s">
        <v>1923</v>
      </c>
      <c r="E869" s="397" t="s">
        <v>1922</v>
      </c>
      <c r="F869" s="397" t="s">
        <v>191</v>
      </c>
      <c r="G869" s="396">
        <v>1</v>
      </c>
      <c r="H869" s="395">
        <v>11593.707999999999</v>
      </c>
      <c r="I869" s="394">
        <v>10940.83</v>
      </c>
      <c r="J869" s="394">
        <v>16562.439999999999</v>
      </c>
      <c r="K869" s="393" t="s">
        <v>1033</v>
      </c>
    </row>
    <row r="870" spans="1:11" hidden="1" x14ac:dyDescent="0.3">
      <c r="A870" s="397" t="s">
        <v>1789</v>
      </c>
      <c r="C870" s="397" t="s">
        <v>1053</v>
      </c>
      <c r="D870" s="397" t="s">
        <v>1921</v>
      </c>
      <c r="E870" s="397" t="s">
        <v>1920</v>
      </c>
      <c r="F870" s="397" t="s">
        <v>191</v>
      </c>
      <c r="G870" s="396">
        <v>1</v>
      </c>
      <c r="H870" s="395">
        <v>13514.951999999997</v>
      </c>
      <c r="I870" s="394">
        <v>9465.2900000000009</v>
      </c>
      <c r="J870" s="394">
        <v>16893.689999999999</v>
      </c>
      <c r="K870" s="393" t="s">
        <v>1033</v>
      </c>
    </row>
    <row r="871" spans="1:11" hidden="1" x14ac:dyDescent="0.3">
      <c r="A871" s="397" t="s">
        <v>1789</v>
      </c>
      <c r="C871" s="397" t="s">
        <v>1053</v>
      </c>
      <c r="D871" s="397" t="s">
        <v>1788</v>
      </c>
      <c r="E871" s="397" t="s">
        <v>1787</v>
      </c>
      <c r="F871" s="397" t="s">
        <v>191</v>
      </c>
      <c r="G871" s="396">
        <v>1</v>
      </c>
      <c r="H871" s="395">
        <v>24262.48</v>
      </c>
      <c r="I871" s="394">
        <v>24262.48</v>
      </c>
      <c r="J871" s="394">
        <v>30328.100000000002</v>
      </c>
      <c r="K871" s="393" t="s">
        <v>1033</v>
      </c>
    </row>
    <row r="872" spans="1:11" hidden="1" x14ac:dyDescent="0.3">
      <c r="A872" s="397" t="s">
        <v>1830</v>
      </c>
      <c r="C872" s="397" t="s">
        <v>1053</v>
      </c>
      <c r="D872" s="397" t="s">
        <v>1829</v>
      </c>
      <c r="E872" s="397" t="s">
        <v>1828</v>
      </c>
      <c r="F872" s="397" t="s">
        <v>191</v>
      </c>
      <c r="G872" s="396">
        <v>80</v>
      </c>
      <c r="H872" s="395">
        <v>2658.5279999999998</v>
      </c>
      <c r="I872" s="394">
        <v>2658.53</v>
      </c>
      <c r="J872" s="394">
        <v>3127.6800000000003</v>
      </c>
      <c r="K872" s="393" t="s">
        <v>1033</v>
      </c>
    </row>
    <row r="873" spans="1:11" hidden="1" x14ac:dyDescent="0.3">
      <c r="A873" s="397" t="s">
        <v>1786</v>
      </c>
      <c r="C873" s="397" t="s">
        <v>1053</v>
      </c>
      <c r="D873" s="397" t="s">
        <v>1785</v>
      </c>
      <c r="E873" s="397" t="s">
        <v>1784</v>
      </c>
      <c r="F873" s="397" t="s">
        <v>191</v>
      </c>
      <c r="G873" s="396">
        <v>1</v>
      </c>
      <c r="H873" s="395">
        <v>40436.36</v>
      </c>
      <c r="I873" s="394">
        <v>31115.7</v>
      </c>
      <c r="J873" s="394">
        <v>50545.450000000004</v>
      </c>
      <c r="K873" s="393" t="s">
        <v>1033</v>
      </c>
    </row>
    <row r="874" spans="1:11" hidden="1" x14ac:dyDescent="0.3">
      <c r="A874" s="397" t="s">
        <v>1919</v>
      </c>
      <c r="C874" s="397" t="s">
        <v>1053</v>
      </c>
      <c r="D874" s="397" t="s">
        <v>1918</v>
      </c>
      <c r="E874" s="397" t="s">
        <v>1917</v>
      </c>
      <c r="F874" s="397" t="s">
        <v>191</v>
      </c>
      <c r="G874" s="396">
        <v>1</v>
      </c>
      <c r="H874" s="395">
        <v>20355.368000000002</v>
      </c>
      <c r="I874" s="394">
        <v>15117.36</v>
      </c>
      <c r="J874" s="394">
        <v>25444.21</v>
      </c>
      <c r="K874" s="393" t="s">
        <v>1033</v>
      </c>
    </row>
    <row r="875" spans="1:11" hidden="1" x14ac:dyDescent="0.3">
      <c r="A875" s="397" t="s">
        <v>1950</v>
      </c>
      <c r="C875" s="397" t="s">
        <v>1053</v>
      </c>
      <c r="D875" s="397" t="s">
        <v>1949</v>
      </c>
      <c r="E875" s="397" t="s">
        <v>1948</v>
      </c>
      <c r="F875" s="397" t="s">
        <v>191</v>
      </c>
      <c r="G875" s="396">
        <v>4</v>
      </c>
      <c r="H875" s="395">
        <v>8661.8320000000003</v>
      </c>
      <c r="I875" s="394">
        <v>8249.59</v>
      </c>
      <c r="J875" s="394">
        <v>10827.29</v>
      </c>
      <c r="K875" s="393" t="s">
        <v>1033</v>
      </c>
    </row>
    <row r="876" spans="1:11" hidden="1" x14ac:dyDescent="0.3">
      <c r="A876" s="397" t="s">
        <v>1800</v>
      </c>
      <c r="C876" s="397" t="s">
        <v>1053</v>
      </c>
      <c r="D876" s="397" t="s">
        <v>1799</v>
      </c>
      <c r="E876" s="397" t="s">
        <v>1798</v>
      </c>
      <c r="F876" s="397" t="s">
        <v>191</v>
      </c>
      <c r="G876" s="396">
        <v>2</v>
      </c>
      <c r="H876" s="395">
        <v>30756.194</v>
      </c>
      <c r="I876" s="394">
        <v>30026.45</v>
      </c>
      <c r="J876" s="394">
        <v>43937.42</v>
      </c>
      <c r="K876" s="393" t="s">
        <v>1033</v>
      </c>
    </row>
    <row r="877" spans="1:11" hidden="1" x14ac:dyDescent="0.3">
      <c r="A877" s="397" t="s">
        <v>1845</v>
      </c>
      <c r="C877" s="397" t="s">
        <v>1053</v>
      </c>
      <c r="D877" s="397" t="s">
        <v>1844</v>
      </c>
      <c r="E877" s="397" t="s">
        <v>1843</v>
      </c>
      <c r="F877" s="397" t="s">
        <v>191</v>
      </c>
      <c r="G877" s="396">
        <v>1</v>
      </c>
      <c r="H877" s="395">
        <v>47326.810999999994</v>
      </c>
      <c r="I877" s="394">
        <v>48139.67</v>
      </c>
      <c r="J877" s="394">
        <v>67609.73</v>
      </c>
      <c r="K877" s="393" t="s">
        <v>1033</v>
      </c>
    </row>
    <row r="878" spans="1:11" hidden="1" x14ac:dyDescent="0.3">
      <c r="A878" s="397" t="s">
        <v>1821</v>
      </c>
      <c r="C878" s="397" t="s">
        <v>1053</v>
      </c>
      <c r="D878" s="397" t="s">
        <v>1820</v>
      </c>
      <c r="E878" s="397" t="s">
        <v>1819</v>
      </c>
      <c r="F878" s="397" t="s">
        <v>191</v>
      </c>
      <c r="G878" s="396">
        <v>6</v>
      </c>
      <c r="H878" s="395">
        <v>9116.0319999999992</v>
      </c>
      <c r="I878" s="394">
        <v>9115.7000000000007</v>
      </c>
      <c r="J878" s="394">
        <v>11395.04</v>
      </c>
      <c r="K878" s="393" t="s">
        <v>1033</v>
      </c>
    </row>
    <row r="879" spans="1:11" hidden="1" x14ac:dyDescent="0.3">
      <c r="A879" s="397" t="s">
        <v>1959</v>
      </c>
      <c r="C879" s="397" t="s">
        <v>1053</v>
      </c>
      <c r="D879" s="397" t="s">
        <v>1958</v>
      </c>
      <c r="E879" s="397" t="s">
        <v>1957</v>
      </c>
      <c r="F879" s="397" t="s">
        <v>191</v>
      </c>
      <c r="G879" s="396">
        <v>29</v>
      </c>
      <c r="H879" s="395">
        <v>4102.7120000000004</v>
      </c>
      <c r="I879" s="394">
        <v>3923.9700000000003</v>
      </c>
      <c r="J879" s="394">
        <v>5128.3900000000003</v>
      </c>
      <c r="K879" s="393" t="s">
        <v>1033</v>
      </c>
    </row>
    <row r="880" spans="1:11" hidden="1" x14ac:dyDescent="0.3">
      <c r="A880" s="397" t="s">
        <v>1868</v>
      </c>
      <c r="C880" s="397" t="s">
        <v>1053</v>
      </c>
      <c r="D880" s="397" t="s">
        <v>1867</v>
      </c>
      <c r="E880" s="397" t="s">
        <v>1866</v>
      </c>
      <c r="F880" s="397" t="s">
        <v>191</v>
      </c>
      <c r="G880" s="396">
        <v>25</v>
      </c>
      <c r="H880" s="395">
        <v>305.459</v>
      </c>
      <c r="I880" s="394">
        <v>235.67000000000002</v>
      </c>
      <c r="J880" s="394">
        <v>436.37</v>
      </c>
      <c r="K880" s="393" t="s">
        <v>1033</v>
      </c>
    </row>
    <row r="881" spans="1:11" hidden="1" x14ac:dyDescent="0.3">
      <c r="A881" s="397" t="s">
        <v>1874</v>
      </c>
      <c r="C881" s="397" t="s">
        <v>1053</v>
      </c>
      <c r="D881" s="397" t="s">
        <v>1967</v>
      </c>
      <c r="E881" s="397" t="s">
        <v>1966</v>
      </c>
      <c r="F881" s="397" t="s">
        <v>191</v>
      </c>
      <c r="G881" s="396">
        <v>2</v>
      </c>
      <c r="H881" s="395">
        <v>53.458999999999996</v>
      </c>
      <c r="I881" s="394">
        <v>43.03</v>
      </c>
      <c r="J881" s="394">
        <v>76.37</v>
      </c>
      <c r="K881" s="393" t="s">
        <v>1033</v>
      </c>
    </row>
    <row r="882" spans="1:11" hidden="1" x14ac:dyDescent="0.3">
      <c r="A882" s="397" t="s">
        <v>1874</v>
      </c>
      <c r="C882" s="397" t="s">
        <v>1053</v>
      </c>
      <c r="D882" s="397" t="s">
        <v>1873</v>
      </c>
      <c r="E882" s="397" t="s">
        <v>1872</v>
      </c>
      <c r="F882" s="397" t="s">
        <v>191</v>
      </c>
      <c r="G882" s="396">
        <v>2</v>
      </c>
      <c r="H882" s="395">
        <v>69401.656000000003</v>
      </c>
      <c r="I882" s="394">
        <v>66047.929999999993</v>
      </c>
      <c r="J882" s="394">
        <v>86752.07</v>
      </c>
      <c r="K882" s="393" t="s">
        <v>1033</v>
      </c>
    </row>
    <row r="883" spans="1:11" hidden="1" x14ac:dyDescent="0.3">
      <c r="A883" s="397" t="s">
        <v>1816</v>
      </c>
      <c r="C883" s="397" t="s">
        <v>1053</v>
      </c>
      <c r="D883" s="397" t="s">
        <v>1815</v>
      </c>
      <c r="E883" s="397" t="s">
        <v>1812</v>
      </c>
      <c r="F883" s="397" t="s">
        <v>191</v>
      </c>
      <c r="G883" s="396">
        <v>47</v>
      </c>
      <c r="H883" s="395">
        <v>20403.304</v>
      </c>
      <c r="I883" s="394">
        <v>20403.310000000001</v>
      </c>
      <c r="J883" s="394">
        <v>25504.13</v>
      </c>
      <c r="K883" s="393" t="s">
        <v>1033</v>
      </c>
    </row>
    <row r="884" spans="1:11" hidden="1" x14ac:dyDescent="0.3">
      <c r="A884" s="397" t="s">
        <v>1777</v>
      </c>
      <c r="C884" s="397" t="s">
        <v>1053</v>
      </c>
      <c r="D884" s="397" t="s">
        <v>1865</v>
      </c>
      <c r="E884" s="397" t="s">
        <v>1864</v>
      </c>
      <c r="F884" s="397" t="s">
        <v>191</v>
      </c>
      <c r="G884" s="396">
        <v>1</v>
      </c>
      <c r="H884" s="395">
        <v>51385.784000000007</v>
      </c>
      <c r="I884" s="394">
        <v>18743.34</v>
      </c>
      <c r="J884" s="394">
        <v>64232.23</v>
      </c>
      <c r="K884" s="393" t="s">
        <v>1033</v>
      </c>
    </row>
    <row r="885" spans="1:11" hidden="1" x14ac:dyDescent="0.3">
      <c r="A885" s="397" t="s">
        <v>1777</v>
      </c>
      <c r="C885" s="397" t="s">
        <v>1053</v>
      </c>
      <c r="D885" s="397" t="s">
        <v>1776</v>
      </c>
      <c r="E885" s="397" t="s">
        <v>1775</v>
      </c>
      <c r="F885" s="397" t="s">
        <v>191</v>
      </c>
      <c r="G885" s="396">
        <v>1</v>
      </c>
      <c r="H885" s="395">
        <v>39212.807999999997</v>
      </c>
      <c r="I885" s="394">
        <v>27489.260000000002</v>
      </c>
      <c r="J885" s="394">
        <v>49016.01</v>
      </c>
      <c r="K885" s="393" t="s">
        <v>1033</v>
      </c>
    </row>
    <row r="886" spans="1:11" hidden="1" x14ac:dyDescent="0.3">
      <c r="A886" s="397" t="s">
        <v>1814</v>
      </c>
      <c r="C886" s="397" t="s">
        <v>1053</v>
      </c>
      <c r="D886" s="397" t="s">
        <v>1813</v>
      </c>
      <c r="E886" s="397" t="s">
        <v>1812</v>
      </c>
      <c r="F886" s="397" t="s">
        <v>191</v>
      </c>
      <c r="G886" s="396">
        <v>4</v>
      </c>
      <c r="H886" s="395">
        <v>11663.791999999999</v>
      </c>
      <c r="I886" s="394">
        <v>10942.53</v>
      </c>
      <c r="J886" s="394">
        <v>14579.74</v>
      </c>
      <c r="K886" s="393" t="s">
        <v>1033</v>
      </c>
    </row>
    <row r="887" spans="1:11" hidden="1" x14ac:dyDescent="0.3">
      <c r="A887" s="397" t="s">
        <v>1956</v>
      </c>
      <c r="C887" s="397" t="s">
        <v>1053</v>
      </c>
      <c r="D887" s="397" t="s">
        <v>1955</v>
      </c>
      <c r="E887" s="397" t="s">
        <v>1954</v>
      </c>
      <c r="F887" s="397" t="s">
        <v>191</v>
      </c>
      <c r="G887" s="396">
        <v>9</v>
      </c>
      <c r="H887" s="395">
        <v>27490.912000000004</v>
      </c>
      <c r="I887" s="394">
        <v>27490.91</v>
      </c>
      <c r="J887" s="394">
        <v>34363.64</v>
      </c>
      <c r="K887" s="393" t="s">
        <v>1033</v>
      </c>
    </row>
    <row r="888" spans="1:11" hidden="1" x14ac:dyDescent="0.3">
      <c r="A888" s="397" t="s">
        <v>1933</v>
      </c>
      <c r="C888" s="397" t="s">
        <v>1053</v>
      </c>
      <c r="D888" s="397" t="s">
        <v>1932</v>
      </c>
      <c r="E888" s="397" t="s">
        <v>1931</v>
      </c>
      <c r="F888" s="397" t="s">
        <v>191</v>
      </c>
      <c r="G888" s="396">
        <v>1</v>
      </c>
      <c r="H888" s="395">
        <v>11395.538</v>
      </c>
      <c r="I888" s="394">
        <v>11805.79</v>
      </c>
      <c r="J888" s="394">
        <v>16279.34</v>
      </c>
      <c r="K888" s="393" t="s">
        <v>1033</v>
      </c>
    </row>
    <row r="889" spans="1:11" hidden="1" x14ac:dyDescent="0.3">
      <c r="A889" s="397" t="s">
        <v>1811</v>
      </c>
      <c r="C889" s="397" t="s">
        <v>1053</v>
      </c>
      <c r="D889" s="397" t="s">
        <v>1953</v>
      </c>
      <c r="E889" s="397" t="s">
        <v>1951</v>
      </c>
      <c r="F889" s="397" t="s">
        <v>191</v>
      </c>
      <c r="G889" s="396">
        <v>1</v>
      </c>
      <c r="H889" s="395">
        <v>97612.656000000003</v>
      </c>
      <c r="I889" s="394">
        <v>95232.23</v>
      </c>
      <c r="J889" s="394">
        <v>122015.82</v>
      </c>
      <c r="K889" s="393" t="s">
        <v>1033</v>
      </c>
    </row>
    <row r="890" spans="1:11" hidden="1" x14ac:dyDescent="0.3">
      <c r="A890" s="397" t="s">
        <v>1811</v>
      </c>
      <c r="C890" s="397" t="s">
        <v>1053</v>
      </c>
      <c r="D890" s="397" t="s">
        <v>1952</v>
      </c>
      <c r="E890" s="397" t="s">
        <v>1951</v>
      </c>
      <c r="F890" s="397" t="s">
        <v>191</v>
      </c>
      <c r="G890" s="396">
        <v>1</v>
      </c>
      <c r="H890" s="395">
        <v>97612.656000000003</v>
      </c>
      <c r="I890" s="394">
        <v>95232.23</v>
      </c>
      <c r="J890" s="394">
        <v>122015.82</v>
      </c>
      <c r="K890" s="393" t="s">
        <v>1033</v>
      </c>
    </row>
    <row r="891" spans="1:11" hidden="1" x14ac:dyDescent="0.3">
      <c r="A891" s="397" t="s">
        <v>1811</v>
      </c>
      <c r="C891" s="397" t="s">
        <v>1053</v>
      </c>
      <c r="D891" s="397" t="s">
        <v>1878</v>
      </c>
      <c r="E891" s="397" t="s">
        <v>1877</v>
      </c>
      <c r="F891" s="397" t="s">
        <v>191</v>
      </c>
      <c r="G891" s="396">
        <v>2</v>
      </c>
      <c r="H891" s="395">
        <v>32024.543999999998</v>
      </c>
      <c r="I891" s="394">
        <v>23621.49</v>
      </c>
      <c r="J891" s="394">
        <v>40030.68</v>
      </c>
      <c r="K891" s="393" t="s">
        <v>1033</v>
      </c>
    </row>
    <row r="892" spans="1:11" hidden="1" x14ac:dyDescent="0.3">
      <c r="A892" s="397" t="s">
        <v>1811</v>
      </c>
      <c r="C892" s="397" t="s">
        <v>1053</v>
      </c>
      <c r="D892" s="397" t="s">
        <v>1810</v>
      </c>
      <c r="E892" s="397" t="s">
        <v>1809</v>
      </c>
      <c r="F892" s="397" t="s">
        <v>191</v>
      </c>
      <c r="G892" s="396">
        <v>1</v>
      </c>
      <c r="H892" s="395">
        <v>158285.61600000001</v>
      </c>
      <c r="I892" s="394">
        <v>158285.95000000001</v>
      </c>
      <c r="J892" s="394">
        <v>197857.02000000002</v>
      </c>
      <c r="K892" s="393" t="s">
        <v>1033</v>
      </c>
    </row>
    <row r="893" spans="1:11" hidden="1" x14ac:dyDescent="0.3">
      <c r="A893" s="397" t="s">
        <v>1928</v>
      </c>
      <c r="C893" s="397" t="s">
        <v>1053</v>
      </c>
      <c r="D893" s="397" t="s">
        <v>1927</v>
      </c>
      <c r="E893" s="397" t="s">
        <v>1926</v>
      </c>
      <c r="F893" s="397" t="s">
        <v>191</v>
      </c>
      <c r="G893" s="396">
        <v>3</v>
      </c>
      <c r="H893" s="395">
        <v>32238.758999999998</v>
      </c>
      <c r="I893" s="394">
        <v>36844.629999999997</v>
      </c>
      <c r="J893" s="394">
        <v>46055.37</v>
      </c>
      <c r="K893" s="393" t="s">
        <v>1033</v>
      </c>
    </row>
    <row r="894" spans="1:11" hidden="1" x14ac:dyDescent="0.3">
      <c r="A894" s="397" t="s">
        <v>1792</v>
      </c>
      <c r="C894" s="397" t="s">
        <v>1053</v>
      </c>
      <c r="D894" s="397" t="s">
        <v>1794</v>
      </c>
      <c r="E894" s="397" t="s">
        <v>1793</v>
      </c>
      <c r="F894" s="397" t="s">
        <v>191</v>
      </c>
      <c r="G894" s="396">
        <v>2</v>
      </c>
      <c r="H894" s="395">
        <v>24262.48</v>
      </c>
      <c r="I894" s="394">
        <v>24262.48</v>
      </c>
      <c r="J894" s="394">
        <v>30328.100000000002</v>
      </c>
      <c r="K894" s="393" t="s">
        <v>1033</v>
      </c>
    </row>
    <row r="895" spans="1:11" hidden="1" x14ac:dyDescent="0.3">
      <c r="A895" s="397" t="s">
        <v>1792</v>
      </c>
      <c r="C895" s="397" t="s">
        <v>1053</v>
      </c>
      <c r="D895" s="397" t="s">
        <v>1791</v>
      </c>
      <c r="E895" s="397" t="s">
        <v>1790</v>
      </c>
      <c r="F895" s="397" t="s">
        <v>191</v>
      </c>
      <c r="G895" s="396">
        <v>2</v>
      </c>
      <c r="H895" s="395">
        <v>24262.48</v>
      </c>
      <c r="I895" s="394">
        <v>24262.48</v>
      </c>
      <c r="J895" s="394">
        <v>30328.100000000002</v>
      </c>
      <c r="K895" s="393" t="s">
        <v>1033</v>
      </c>
    </row>
    <row r="896" spans="1:11" hidden="1" x14ac:dyDescent="0.3">
      <c r="A896" s="397" t="s">
        <v>1916</v>
      </c>
      <c r="C896" s="397" t="s">
        <v>1053</v>
      </c>
      <c r="D896" s="397" t="s">
        <v>1915</v>
      </c>
      <c r="E896" s="397" t="s">
        <v>1914</v>
      </c>
      <c r="F896" s="397" t="s">
        <v>191</v>
      </c>
      <c r="G896" s="396">
        <v>4</v>
      </c>
      <c r="H896" s="395">
        <v>8920.9920000000002</v>
      </c>
      <c r="I896" s="394">
        <v>8920.66</v>
      </c>
      <c r="J896" s="394">
        <v>11151.24</v>
      </c>
      <c r="K896" s="393" t="s">
        <v>1033</v>
      </c>
    </row>
    <row r="897" spans="1:12" hidden="1" x14ac:dyDescent="0.3">
      <c r="A897" s="397" t="s">
        <v>1910</v>
      </c>
      <c r="C897" s="397" t="s">
        <v>1053</v>
      </c>
      <c r="D897" s="397" t="s">
        <v>1909</v>
      </c>
      <c r="E897" s="397" t="s">
        <v>1907</v>
      </c>
      <c r="F897" s="397" t="s">
        <v>191</v>
      </c>
      <c r="G897" s="396">
        <v>1</v>
      </c>
      <c r="H897" s="395">
        <v>25806.944</v>
      </c>
      <c r="I897" s="394">
        <v>21094.880000000001</v>
      </c>
      <c r="J897" s="394">
        <v>32258.68</v>
      </c>
      <c r="K897" s="393" t="s">
        <v>1033</v>
      </c>
    </row>
    <row r="898" spans="1:12" hidden="1" x14ac:dyDescent="0.3">
      <c r="A898" s="397" t="s">
        <v>1913</v>
      </c>
      <c r="C898" s="397" t="s">
        <v>1053</v>
      </c>
      <c r="D898" s="397" t="s">
        <v>1930</v>
      </c>
      <c r="E898" s="397" t="s">
        <v>1929</v>
      </c>
      <c r="F898" s="397" t="s">
        <v>191</v>
      </c>
      <c r="G898" s="396">
        <v>1</v>
      </c>
      <c r="H898" s="395">
        <v>12625.2047</v>
      </c>
      <c r="I898" s="394">
        <v>12675.91</v>
      </c>
      <c r="J898" s="394">
        <v>15211.09</v>
      </c>
      <c r="K898" s="393" t="s">
        <v>1033</v>
      </c>
    </row>
    <row r="899" spans="1:12" hidden="1" x14ac:dyDescent="0.3">
      <c r="A899" s="397" t="s">
        <v>1913</v>
      </c>
      <c r="C899" s="397" t="s">
        <v>1053</v>
      </c>
      <c r="D899" s="397" t="s">
        <v>1912</v>
      </c>
      <c r="E899" s="397" t="s">
        <v>1911</v>
      </c>
      <c r="F899" s="397" t="s">
        <v>191</v>
      </c>
      <c r="G899" s="396">
        <v>10</v>
      </c>
      <c r="H899" s="395">
        <v>11558.912</v>
      </c>
      <c r="I899" s="394">
        <v>11000</v>
      </c>
      <c r="J899" s="394">
        <v>14448.64</v>
      </c>
      <c r="K899" s="393" t="s">
        <v>1033</v>
      </c>
    </row>
    <row r="900" spans="1:12" hidden="1" x14ac:dyDescent="0.3">
      <c r="A900" s="397" t="s">
        <v>1827</v>
      </c>
      <c r="C900" s="397" t="s">
        <v>1053</v>
      </c>
      <c r="D900" s="397" t="s">
        <v>1908</v>
      </c>
      <c r="E900" s="397" t="s">
        <v>1907</v>
      </c>
      <c r="F900" s="397" t="s">
        <v>191</v>
      </c>
      <c r="G900" s="396">
        <v>1</v>
      </c>
      <c r="H900" s="395">
        <v>25806.944</v>
      </c>
      <c r="I900" s="394">
        <v>21094.880000000001</v>
      </c>
      <c r="J900" s="394">
        <v>32258.68</v>
      </c>
      <c r="K900" s="393" t="s">
        <v>1033</v>
      </c>
    </row>
    <row r="901" spans="1:12" hidden="1" x14ac:dyDescent="0.3">
      <c r="A901" s="397" t="s">
        <v>1827</v>
      </c>
      <c r="C901" s="397" t="s">
        <v>1053</v>
      </c>
      <c r="D901" s="397" t="s">
        <v>1826</v>
      </c>
      <c r="E901" s="397" t="s">
        <v>1825</v>
      </c>
      <c r="F901" s="397" t="s">
        <v>191</v>
      </c>
      <c r="G901" s="396">
        <v>2</v>
      </c>
      <c r="H901" s="395">
        <v>142445.64800000002</v>
      </c>
      <c r="I901" s="394">
        <v>126787.6</v>
      </c>
      <c r="J901" s="394">
        <v>178057.06</v>
      </c>
      <c r="K901" s="393" t="s">
        <v>1033</v>
      </c>
    </row>
    <row r="902" spans="1:12" hidden="1" x14ac:dyDescent="0.3">
      <c r="A902" s="397" t="s">
        <v>1947</v>
      </c>
      <c r="C902" s="397" t="s">
        <v>1053</v>
      </c>
      <c r="D902" s="397" t="s">
        <v>1946</v>
      </c>
      <c r="E902" s="397" t="s">
        <v>1945</v>
      </c>
      <c r="F902" s="397" t="s">
        <v>191</v>
      </c>
      <c r="G902" s="396">
        <v>3</v>
      </c>
      <c r="H902" s="395">
        <v>157350.94400000002</v>
      </c>
      <c r="I902" s="394">
        <v>146885.95000000001</v>
      </c>
      <c r="J902" s="394">
        <v>196688.68</v>
      </c>
      <c r="K902" s="393" t="s">
        <v>1033</v>
      </c>
    </row>
    <row r="903" spans="1:12" hidden="1" x14ac:dyDescent="0.3">
      <c r="A903" s="397" t="s">
        <v>1906</v>
      </c>
      <c r="C903" s="397" t="s">
        <v>1053</v>
      </c>
      <c r="D903" s="397" t="s">
        <v>1969</v>
      </c>
      <c r="E903" s="397" t="s">
        <v>1968</v>
      </c>
      <c r="F903" s="397" t="s">
        <v>191</v>
      </c>
      <c r="G903" s="396">
        <v>2</v>
      </c>
      <c r="H903" s="395">
        <v>75293.19200000001</v>
      </c>
      <c r="I903" s="394">
        <v>70614.720000000001</v>
      </c>
      <c r="J903" s="394">
        <v>94116.49</v>
      </c>
      <c r="K903" s="393" t="s">
        <v>1033</v>
      </c>
    </row>
    <row r="904" spans="1:12" hidden="1" x14ac:dyDescent="0.3">
      <c r="A904" s="397" t="s">
        <v>1906</v>
      </c>
      <c r="C904" s="397" t="s">
        <v>1053</v>
      </c>
      <c r="D904" s="397" t="s">
        <v>1905</v>
      </c>
      <c r="E904" s="397" t="s">
        <v>1904</v>
      </c>
      <c r="F904" s="397" t="s">
        <v>191</v>
      </c>
      <c r="G904" s="396">
        <v>-1</v>
      </c>
      <c r="H904" s="395">
        <v>71245.448000000004</v>
      </c>
      <c r="I904" s="394">
        <v>65309.919999999998</v>
      </c>
      <c r="J904" s="394">
        <v>89056.81</v>
      </c>
      <c r="K904" s="393" t="s">
        <v>1033</v>
      </c>
    </row>
    <row r="905" spans="1:12" hidden="1" x14ac:dyDescent="0.3">
      <c r="A905" s="397" t="s">
        <v>1842</v>
      </c>
      <c r="C905" s="397" t="s">
        <v>1053</v>
      </c>
      <c r="D905" s="397" t="s">
        <v>1841</v>
      </c>
      <c r="E905" s="397" t="s">
        <v>1840</v>
      </c>
      <c r="F905" s="397" t="s">
        <v>191</v>
      </c>
      <c r="G905" s="396">
        <v>1</v>
      </c>
      <c r="H905" s="395">
        <v>157351.24</v>
      </c>
      <c r="I905" s="394">
        <v>141255.34</v>
      </c>
      <c r="J905" s="394">
        <v>196689.05000000002</v>
      </c>
      <c r="K905" s="393" t="s">
        <v>1033</v>
      </c>
    </row>
    <row r="906" spans="1:12" hidden="1" x14ac:dyDescent="0.3">
      <c r="A906" s="397" t="s">
        <v>1965</v>
      </c>
      <c r="C906" s="397" t="s">
        <v>1053</v>
      </c>
      <c r="D906" s="397" t="s">
        <v>1964</v>
      </c>
      <c r="E906" s="397" t="s">
        <v>1963</v>
      </c>
      <c r="F906" s="397" t="s">
        <v>191</v>
      </c>
      <c r="G906" s="396">
        <v>5</v>
      </c>
      <c r="H906" s="395">
        <v>22797.352000000003</v>
      </c>
      <c r="I906" s="394">
        <v>31845.46</v>
      </c>
      <c r="J906" s="394">
        <v>28496.690000000002</v>
      </c>
      <c r="K906" s="393" t="s">
        <v>1033</v>
      </c>
    </row>
    <row r="907" spans="1:12" hidden="1" x14ac:dyDescent="0.3">
      <c r="A907" s="397" t="s">
        <v>917</v>
      </c>
      <c r="C907" s="397" t="s">
        <v>1053</v>
      </c>
      <c r="D907" s="397" t="s">
        <v>350</v>
      </c>
      <c r="E907" s="397" t="s">
        <v>351</v>
      </c>
      <c r="F907" s="397" t="s">
        <v>191</v>
      </c>
      <c r="G907" s="396">
        <v>10</v>
      </c>
      <c r="H907" s="395">
        <v>63185.5</v>
      </c>
      <c r="I907" s="394">
        <v>61151</v>
      </c>
      <c r="J907" s="394">
        <v>90265</v>
      </c>
      <c r="K907" s="393" t="s">
        <v>1033</v>
      </c>
      <c r="L907" s="395">
        <v>7</v>
      </c>
    </row>
    <row r="908" spans="1:12" hidden="1" x14ac:dyDescent="0.3">
      <c r="A908" s="397" t="s">
        <v>8280</v>
      </c>
      <c r="C908" s="397" t="s">
        <v>1053</v>
      </c>
      <c r="D908" s="397" t="s">
        <v>337</v>
      </c>
      <c r="E908" s="397" t="s">
        <v>338</v>
      </c>
      <c r="F908" s="397" t="s">
        <v>191</v>
      </c>
      <c r="G908" s="396">
        <v>12</v>
      </c>
      <c r="H908" s="395">
        <v>87550.02900000001</v>
      </c>
      <c r="I908" s="394">
        <v>79824.320000000007</v>
      </c>
      <c r="J908" s="394">
        <v>125071.47</v>
      </c>
      <c r="K908" s="393" t="s">
        <v>1033</v>
      </c>
      <c r="L908" s="395">
        <v>1</v>
      </c>
    </row>
    <row r="909" spans="1:12" hidden="1" x14ac:dyDescent="0.3">
      <c r="A909" s="397" t="s">
        <v>918</v>
      </c>
      <c r="C909" s="397" t="s">
        <v>1053</v>
      </c>
      <c r="D909" s="397" t="s">
        <v>272</v>
      </c>
      <c r="E909" s="397" t="s">
        <v>271</v>
      </c>
      <c r="F909" s="397" t="s">
        <v>191</v>
      </c>
      <c r="G909" s="396">
        <v>7</v>
      </c>
      <c r="H909" s="395">
        <v>113135.652</v>
      </c>
      <c r="I909" s="394">
        <v>106283.07</v>
      </c>
      <c r="J909" s="394">
        <v>161622.35999999999</v>
      </c>
      <c r="K909" s="393" t="s">
        <v>1033</v>
      </c>
      <c r="L909" s="395">
        <v>2</v>
      </c>
    </row>
    <row r="910" spans="1:12" hidden="1" x14ac:dyDescent="0.3">
      <c r="A910" s="397" t="s">
        <v>922</v>
      </c>
      <c r="C910" s="397" t="s">
        <v>1053</v>
      </c>
      <c r="D910" s="397" t="s">
        <v>342</v>
      </c>
      <c r="E910" s="397" t="s">
        <v>327</v>
      </c>
      <c r="F910" s="397" t="s">
        <v>191</v>
      </c>
      <c r="G910" s="396">
        <v>9</v>
      </c>
      <c r="H910" s="395">
        <v>113504.44</v>
      </c>
      <c r="I910" s="394">
        <v>109849.73</v>
      </c>
      <c r="J910" s="394">
        <v>162149.20000000001</v>
      </c>
      <c r="K910" s="393" t="s">
        <v>1033</v>
      </c>
    </row>
    <row r="911" spans="1:12" hidden="1" x14ac:dyDescent="0.3">
      <c r="A911" s="397" t="s">
        <v>919</v>
      </c>
      <c r="C911" s="397" t="s">
        <v>1053</v>
      </c>
      <c r="D911" s="397" t="s">
        <v>339</v>
      </c>
      <c r="E911" s="397" t="s">
        <v>328</v>
      </c>
      <c r="F911" s="397" t="s">
        <v>191</v>
      </c>
      <c r="G911" s="396">
        <v>8</v>
      </c>
      <c r="H911" s="395">
        <v>67242.160999999993</v>
      </c>
      <c r="I911" s="394">
        <v>65077.04</v>
      </c>
      <c r="J911" s="394">
        <v>96060.23</v>
      </c>
      <c r="K911" s="393" t="s">
        <v>1033</v>
      </c>
    </row>
    <row r="912" spans="1:12" hidden="1" x14ac:dyDescent="0.3">
      <c r="A912" s="397" t="s">
        <v>8264</v>
      </c>
      <c r="C912" s="397" t="s">
        <v>1053</v>
      </c>
      <c r="D912" s="397" t="s">
        <v>354</v>
      </c>
      <c r="E912" s="397" t="s">
        <v>355</v>
      </c>
      <c r="F912" s="397" t="s">
        <v>191</v>
      </c>
      <c r="G912" s="396">
        <v>7</v>
      </c>
      <c r="H912" s="395">
        <v>41427.071000000004</v>
      </c>
      <c r="I912" s="394">
        <v>1986.3400000000001</v>
      </c>
      <c r="J912" s="394">
        <v>59181.53</v>
      </c>
      <c r="K912" s="393" t="s">
        <v>1033</v>
      </c>
    </row>
    <row r="913" spans="1:12" hidden="1" x14ac:dyDescent="0.3">
      <c r="A913" s="397" t="s">
        <v>8265</v>
      </c>
      <c r="C913" s="397" t="s">
        <v>1053</v>
      </c>
      <c r="D913" s="397" t="s">
        <v>352</v>
      </c>
      <c r="E913" s="397" t="s">
        <v>353</v>
      </c>
      <c r="F913" s="397" t="s">
        <v>191</v>
      </c>
      <c r="G913" s="396">
        <v>7</v>
      </c>
      <c r="H913" s="395">
        <v>8605.0300000000007</v>
      </c>
      <c r="I913" s="394">
        <v>412.59000000000003</v>
      </c>
      <c r="J913" s="394">
        <v>12292.9</v>
      </c>
      <c r="K913" s="393" t="s">
        <v>1033</v>
      </c>
    </row>
    <row r="914" spans="1:12" hidden="1" x14ac:dyDescent="0.3">
      <c r="A914" s="397" t="s">
        <v>4411</v>
      </c>
      <c r="C914" s="397" t="s">
        <v>1053</v>
      </c>
      <c r="D914" s="397" t="s">
        <v>4410</v>
      </c>
      <c r="E914" s="397" t="s">
        <v>4409</v>
      </c>
      <c r="F914" s="397" t="s">
        <v>191</v>
      </c>
      <c r="G914" s="396">
        <v>5</v>
      </c>
      <c r="H914" s="395">
        <v>2527.56</v>
      </c>
      <c r="I914" s="394">
        <v>2326.0100000000002</v>
      </c>
      <c r="J914" s="394">
        <v>3610.8</v>
      </c>
      <c r="K914" s="393" t="s">
        <v>1033</v>
      </c>
    </row>
    <row r="915" spans="1:12" hidden="1" x14ac:dyDescent="0.3">
      <c r="A915" s="397" t="s">
        <v>8284</v>
      </c>
      <c r="C915" s="397" t="s">
        <v>1053</v>
      </c>
      <c r="D915" s="397" t="s">
        <v>332</v>
      </c>
      <c r="E915" s="397" t="s">
        <v>333</v>
      </c>
      <c r="F915" s="397" t="s">
        <v>191</v>
      </c>
      <c r="G915" s="396">
        <v>3</v>
      </c>
      <c r="H915" s="395">
        <v>15223.733</v>
      </c>
      <c r="I915" s="394">
        <v>14089.7</v>
      </c>
      <c r="J915" s="394">
        <v>21748.19</v>
      </c>
      <c r="K915" s="393" t="s">
        <v>1033</v>
      </c>
    </row>
    <row r="916" spans="1:12" hidden="1" x14ac:dyDescent="0.3">
      <c r="A916" s="397" t="s">
        <v>912</v>
      </c>
      <c r="C916" s="397" t="s">
        <v>1053</v>
      </c>
      <c r="D916" s="397" t="s">
        <v>340</v>
      </c>
      <c r="E916" s="397" t="s">
        <v>341</v>
      </c>
      <c r="F916" s="397" t="s">
        <v>191</v>
      </c>
      <c r="G916" s="396">
        <v>8</v>
      </c>
      <c r="H916" s="395">
        <v>97906.388999999981</v>
      </c>
      <c r="I916" s="394">
        <v>96207.74</v>
      </c>
      <c r="J916" s="394">
        <v>139866.26999999999</v>
      </c>
      <c r="K916" s="393" t="s">
        <v>1033</v>
      </c>
    </row>
    <row r="917" spans="1:12" hidden="1" x14ac:dyDescent="0.3">
      <c r="A917" s="397" t="s">
        <v>8279</v>
      </c>
      <c r="C917" s="397" t="s">
        <v>1053</v>
      </c>
      <c r="D917" s="397" t="s">
        <v>8278</v>
      </c>
      <c r="E917" s="397" t="s">
        <v>8277</v>
      </c>
      <c r="F917" s="397" t="s">
        <v>191</v>
      </c>
      <c r="G917" s="396">
        <v>3</v>
      </c>
      <c r="H917" s="395">
        <v>108128.34199999999</v>
      </c>
      <c r="I917" s="394">
        <v>870.72</v>
      </c>
      <c r="J917" s="394">
        <v>154469.06</v>
      </c>
      <c r="K917" s="393" t="s">
        <v>1033</v>
      </c>
    </row>
    <row r="918" spans="1:12" hidden="1" x14ac:dyDescent="0.3">
      <c r="A918" s="397" t="s">
        <v>8281</v>
      </c>
      <c r="C918" s="397" t="s">
        <v>1053</v>
      </c>
      <c r="D918" s="397" t="s">
        <v>336</v>
      </c>
      <c r="E918" s="397" t="s">
        <v>334</v>
      </c>
      <c r="F918" s="397" t="s">
        <v>191</v>
      </c>
      <c r="G918" s="396">
        <v>5</v>
      </c>
      <c r="H918" s="395">
        <v>83140.974000000002</v>
      </c>
      <c r="I918" s="394">
        <v>67004.460000000006</v>
      </c>
      <c r="J918" s="394">
        <v>118772.82</v>
      </c>
      <c r="K918" s="393" t="s">
        <v>1033</v>
      </c>
    </row>
    <row r="919" spans="1:12" hidden="1" x14ac:dyDescent="0.3">
      <c r="A919" s="397" t="s">
        <v>8287</v>
      </c>
      <c r="C919" s="397" t="s">
        <v>1053</v>
      </c>
      <c r="D919" s="397" t="s">
        <v>8286</v>
      </c>
      <c r="E919" s="397" t="s">
        <v>328</v>
      </c>
      <c r="F919" s="397" t="s">
        <v>191</v>
      </c>
      <c r="G919" s="396">
        <v>2</v>
      </c>
      <c r="H919" s="395">
        <v>43391.439000000006</v>
      </c>
      <c r="I919" s="394">
        <v>335.51</v>
      </c>
      <c r="J919" s="394">
        <v>61987.770000000004</v>
      </c>
      <c r="K919" s="393" t="s">
        <v>1033</v>
      </c>
    </row>
    <row r="920" spans="1:12" hidden="1" x14ac:dyDescent="0.3">
      <c r="A920" s="397" t="s">
        <v>8266</v>
      </c>
      <c r="C920" s="397" t="s">
        <v>1053</v>
      </c>
      <c r="D920" s="397" t="s">
        <v>916</v>
      </c>
      <c r="E920" s="397" t="s">
        <v>328</v>
      </c>
      <c r="F920" s="397" t="s">
        <v>191</v>
      </c>
      <c r="G920" s="396">
        <v>1</v>
      </c>
      <c r="H920" s="395">
        <v>159684.76300000001</v>
      </c>
      <c r="I920" s="394">
        <v>98938.13</v>
      </c>
      <c r="J920" s="394">
        <v>228121.09</v>
      </c>
      <c r="K920" s="393" t="s">
        <v>1033</v>
      </c>
    </row>
    <row r="921" spans="1:12" hidden="1" x14ac:dyDescent="0.3">
      <c r="A921" s="397" t="s">
        <v>8270</v>
      </c>
      <c r="C921" s="397" t="s">
        <v>1053</v>
      </c>
      <c r="D921" s="397" t="s">
        <v>348</v>
      </c>
      <c r="E921" s="397" t="s">
        <v>349</v>
      </c>
      <c r="F921" s="397" t="s">
        <v>191</v>
      </c>
      <c r="G921" s="396">
        <v>7</v>
      </c>
      <c r="H921" s="395">
        <v>162430.177</v>
      </c>
      <c r="I921" s="394">
        <v>147200.12</v>
      </c>
      <c r="J921" s="394">
        <v>232043.11000000002</v>
      </c>
      <c r="K921" s="393" t="s">
        <v>1033</v>
      </c>
      <c r="L921" s="395">
        <v>8</v>
      </c>
    </row>
    <row r="922" spans="1:12" hidden="1" x14ac:dyDescent="0.3">
      <c r="A922" s="397" t="s">
        <v>3738</v>
      </c>
      <c r="C922" s="397" t="s">
        <v>1053</v>
      </c>
      <c r="D922" s="397" t="s">
        <v>3737</v>
      </c>
      <c r="E922" s="397" t="s">
        <v>3736</v>
      </c>
      <c r="F922" s="397" t="s">
        <v>191</v>
      </c>
      <c r="G922" s="396">
        <v>1</v>
      </c>
      <c r="H922" s="395">
        <v>1428463.274</v>
      </c>
      <c r="I922" s="394">
        <v>1369384.77</v>
      </c>
      <c r="J922" s="394">
        <v>2040661.82</v>
      </c>
      <c r="K922" s="393" t="s">
        <v>1033</v>
      </c>
    </row>
    <row r="923" spans="1:12" hidden="1" x14ac:dyDescent="0.3">
      <c r="A923" s="397" t="s">
        <v>8271</v>
      </c>
      <c r="C923" s="397" t="s">
        <v>1053</v>
      </c>
      <c r="D923" s="397" t="s">
        <v>345</v>
      </c>
      <c r="E923" s="397" t="s">
        <v>346</v>
      </c>
      <c r="F923" s="397" t="s">
        <v>191</v>
      </c>
      <c r="G923" s="396">
        <v>8</v>
      </c>
      <c r="H923" s="395">
        <v>162430.177</v>
      </c>
      <c r="I923" s="394">
        <v>152591.85</v>
      </c>
      <c r="J923" s="394">
        <v>232043.11000000002</v>
      </c>
      <c r="K923" s="393" t="s">
        <v>1033</v>
      </c>
      <c r="L923" s="395">
        <v>2</v>
      </c>
    </row>
    <row r="924" spans="1:12" hidden="1" x14ac:dyDescent="0.3">
      <c r="A924" s="397" t="s">
        <v>4175</v>
      </c>
      <c r="C924" s="397" t="s">
        <v>1053</v>
      </c>
      <c r="D924" s="397" t="s">
        <v>4174</v>
      </c>
      <c r="E924" s="397" t="s">
        <v>4173</v>
      </c>
      <c r="F924" s="397" t="s">
        <v>191</v>
      </c>
      <c r="G924" s="396">
        <v>1</v>
      </c>
      <c r="H924" s="395">
        <v>199599.37899999999</v>
      </c>
      <c r="I924" s="394">
        <v>5096.28</v>
      </c>
      <c r="J924" s="394">
        <v>285141.96999999997</v>
      </c>
      <c r="K924" s="393" t="s">
        <v>1033</v>
      </c>
    </row>
    <row r="925" spans="1:12" hidden="1" x14ac:dyDescent="0.3">
      <c r="A925" s="397" t="s">
        <v>1652</v>
      </c>
      <c r="C925" s="397" t="s">
        <v>1053</v>
      </c>
      <c r="D925" s="397" t="s">
        <v>1651</v>
      </c>
      <c r="E925" s="397" t="s">
        <v>1650</v>
      </c>
      <c r="F925" s="397" t="s">
        <v>191</v>
      </c>
      <c r="G925" s="396">
        <v>1</v>
      </c>
      <c r="H925" s="395">
        <v>253833.209</v>
      </c>
      <c r="I925" s="394">
        <v>185882.38</v>
      </c>
      <c r="J925" s="394">
        <v>362618.87</v>
      </c>
      <c r="K925" s="393" t="s">
        <v>1033</v>
      </c>
    </row>
    <row r="926" spans="1:12" hidden="1" x14ac:dyDescent="0.3">
      <c r="A926" s="397" t="s">
        <v>3631</v>
      </c>
      <c r="C926" s="397" t="s">
        <v>1053</v>
      </c>
      <c r="D926" s="397" t="s">
        <v>3630</v>
      </c>
      <c r="E926" s="397" t="s">
        <v>3629</v>
      </c>
      <c r="F926" s="397" t="s">
        <v>191</v>
      </c>
      <c r="G926" s="396">
        <v>1</v>
      </c>
      <c r="H926" s="395">
        <v>177400.72</v>
      </c>
      <c r="I926" s="394">
        <v>90443.78</v>
      </c>
      <c r="J926" s="394">
        <v>253429.6</v>
      </c>
      <c r="K926" s="393" t="s">
        <v>1033</v>
      </c>
    </row>
    <row r="927" spans="1:12" hidden="1" x14ac:dyDescent="0.3">
      <c r="A927" s="397" t="s">
        <v>1646</v>
      </c>
      <c r="C927" s="397" t="s">
        <v>1053</v>
      </c>
      <c r="D927" s="397" t="s">
        <v>1645</v>
      </c>
      <c r="E927" s="397" t="s">
        <v>1644</v>
      </c>
      <c r="F927" s="397" t="s">
        <v>191</v>
      </c>
      <c r="G927" s="396">
        <v>2</v>
      </c>
      <c r="H927" s="395">
        <v>156120.342</v>
      </c>
      <c r="I927" s="394">
        <v>132676.60999999999</v>
      </c>
      <c r="J927" s="394">
        <v>223029.06</v>
      </c>
      <c r="K927" s="393" t="s">
        <v>1033</v>
      </c>
    </row>
    <row r="928" spans="1:12" hidden="1" x14ac:dyDescent="0.3">
      <c r="A928" s="397" t="s">
        <v>3817</v>
      </c>
      <c r="C928" s="397" t="s">
        <v>1053</v>
      </c>
      <c r="D928" s="397" t="s">
        <v>4264</v>
      </c>
      <c r="E928" s="397" t="s">
        <v>4263</v>
      </c>
      <c r="F928" s="397" t="s">
        <v>191</v>
      </c>
      <c r="G928" s="396">
        <v>1</v>
      </c>
      <c r="H928" s="395">
        <v>540433.67700000003</v>
      </c>
      <c r="I928" s="394">
        <v>530543.47</v>
      </c>
      <c r="J928" s="394">
        <v>772048.11</v>
      </c>
      <c r="K928" s="393" t="s">
        <v>1033</v>
      </c>
    </row>
    <row r="929" spans="1:12" hidden="1" x14ac:dyDescent="0.3">
      <c r="A929" s="397" t="s">
        <v>3817</v>
      </c>
      <c r="C929" s="397" t="s">
        <v>1053</v>
      </c>
      <c r="D929" s="397" t="s">
        <v>3816</v>
      </c>
      <c r="E929" s="397" t="s">
        <v>3815</v>
      </c>
      <c r="F929" s="397" t="s">
        <v>191</v>
      </c>
      <c r="G929" s="396">
        <v>1</v>
      </c>
      <c r="H929" s="395">
        <v>2777887.9310000003</v>
      </c>
      <c r="I929" s="394">
        <v>2633716.83</v>
      </c>
      <c r="J929" s="394">
        <v>3968411.33</v>
      </c>
      <c r="K929" s="393" t="s">
        <v>1033</v>
      </c>
    </row>
    <row r="930" spans="1:12" hidden="1" x14ac:dyDescent="0.3">
      <c r="A930" s="397" t="s">
        <v>3686</v>
      </c>
      <c r="C930" s="397" t="s">
        <v>1053</v>
      </c>
      <c r="D930" s="397" t="s">
        <v>3685</v>
      </c>
      <c r="E930" s="397" t="s">
        <v>3684</v>
      </c>
      <c r="F930" s="397" t="s">
        <v>191</v>
      </c>
      <c r="G930" s="396">
        <v>2</v>
      </c>
      <c r="H930" s="395">
        <v>125172.201</v>
      </c>
      <c r="I930" s="394">
        <v>104009.51000000001</v>
      </c>
      <c r="J930" s="394">
        <v>178817.43</v>
      </c>
      <c r="K930" s="393" t="s">
        <v>1033</v>
      </c>
    </row>
    <row r="931" spans="1:12" hidden="1" x14ac:dyDescent="0.3">
      <c r="A931" s="397" t="s">
        <v>4321</v>
      </c>
      <c r="C931" s="397" t="s">
        <v>1053</v>
      </c>
      <c r="D931" s="397" t="s">
        <v>4320</v>
      </c>
      <c r="E931" s="397" t="s">
        <v>4293</v>
      </c>
      <c r="F931" s="397" t="s">
        <v>191</v>
      </c>
      <c r="G931" s="396">
        <v>1</v>
      </c>
      <c r="H931" s="395">
        <v>241961.51699999999</v>
      </c>
      <c r="I931" s="394">
        <v>223376.83000000002</v>
      </c>
      <c r="J931" s="394">
        <v>345659.31</v>
      </c>
      <c r="K931" s="393" t="s">
        <v>1033</v>
      </c>
    </row>
    <row r="932" spans="1:12" hidden="1" x14ac:dyDescent="0.3">
      <c r="A932" s="397" t="s">
        <v>3756</v>
      </c>
      <c r="C932" s="397" t="s">
        <v>1053</v>
      </c>
      <c r="D932" s="397" t="s">
        <v>4184</v>
      </c>
      <c r="E932" s="397" t="s">
        <v>4183</v>
      </c>
      <c r="F932" s="397" t="s">
        <v>191</v>
      </c>
      <c r="G932" s="396">
        <v>1</v>
      </c>
      <c r="H932" s="395">
        <v>321655.22200000001</v>
      </c>
      <c r="I932" s="394">
        <v>16521.13</v>
      </c>
      <c r="J932" s="394">
        <v>459507.46</v>
      </c>
      <c r="K932" s="393" t="s">
        <v>1033</v>
      </c>
    </row>
    <row r="933" spans="1:12" hidden="1" x14ac:dyDescent="0.3">
      <c r="A933" s="397" t="s">
        <v>3756</v>
      </c>
      <c r="C933" s="397" t="s">
        <v>1053</v>
      </c>
      <c r="D933" s="397" t="s">
        <v>3814</v>
      </c>
      <c r="E933" s="397" t="s">
        <v>3813</v>
      </c>
      <c r="F933" s="397" t="s">
        <v>191</v>
      </c>
      <c r="G933" s="396">
        <v>1</v>
      </c>
      <c r="H933" s="395">
        <v>3361956.6680000001</v>
      </c>
      <c r="I933" s="394">
        <v>2509031.5099999998</v>
      </c>
      <c r="J933" s="394">
        <v>4802795.24</v>
      </c>
      <c r="K933" s="393" t="s">
        <v>1033</v>
      </c>
    </row>
    <row r="934" spans="1:12" hidden="1" x14ac:dyDescent="0.3">
      <c r="A934" s="397" t="s">
        <v>3756</v>
      </c>
      <c r="C934" s="397" t="s">
        <v>1053</v>
      </c>
      <c r="D934" s="397" t="s">
        <v>3755</v>
      </c>
      <c r="E934" s="397" t="s">
        <v>3698</v>
      </c>
      <c r="F934" s="397" t="s">
        <v>191</v>
      </c>
      <c r="G934" s="396">
        <v>1</v>
      </c>
      <c r="H934" s="395">
        <v>293431.50900000002</v>
      </c>
      <c r="I934" s="394">
        <v>281601.58</v>
      </c>
      <c r="J934" s="394">
        <v>419187.87</v>
      </c>
      <c r="K934" s="393" t="s">
        <v>1033</v>
      </c>
    </row>
    <row r="935" spans="1:12" hidden="1" x14ac:dyDescent="0.3">
      <c r="A935" s="397" t="s">
        <v>3823</v>
      </c>
      <c r="C935" s="397" t="s">
        <v>1053</v>
      </c>
      <c r="D935" s="397" t="s">
        <v>3822</v>
      </c>
      <c r="E935" s="397" t="s">
        <v>3821</v>
      </c>
      <c r="F935" s="397" t="s">
        <v>191</v>
      </c>
      <c r="G935" s="396">
        <v>1</v>
      </c>
      <c r="H935" s="395">
        <v>3547149.2</v>
      </c>
      <c r="I935" s="394">
        <v>177604.25</v>
      </c>
      <c r="J935" s="394">
        <v>5067356</v>
      </c>
      <c r="K935" s="393" t="s">
        <v>1033</v>
      </c>
    </row>
    <row r="936" spans="1:12" hidden="1" x14ac:dyDescent="0.3">
      <c r="A936" s="397" t="s">
        <v>3661</v>
      </c>
      <c r="C936" s="397" t="s">
        <v>1053</v>
      </c>
      <c r="D936" s="397" t="s">
        <v>4335</v>
      </c>
      <c r="E936" s="397" t="s">
        <v>4332</v>
      </c>
      <c r="F936" s="397" t="s">
        <v>191</v>
      </c>
      <c r="G936" s="396">
        <v>1</v>
      </c>
      <c r="H936" s="395">
        <v>216887.78300000002</v>
      </c>
      <c r="I936" s="394">
        <v>29308.670000000002</v>
      </c>
      <c r="J936" s="394">
        <v>309839.69</v>
      </c>
      <c r="K936" s="393" t="s">
        <v>1033</v>
      </c>
    </row>
    <row r="937" spans="1:12" hidden="1" x14ac:dyDescent="0.3">
      <c r="A937" s="397" t="s">
        <v>3661</v>
      </c>
      <c r="C937" s="397" t="s">
        <v>1053</v>
      </c>
      <c r="D937" s="397" t="s">
        <v>3660</v>
      </c>
      <c r="E937" s="397" t="s">
        <v>3659</v>
      </c>
      <c r="F937" s="397" t="s">
        <v>191</v>
      </c>
      <c r="G937" s="396">
        <v>1</v>
      </c>
      <c r="H937" s="395">
        <v>43216.537000000004</v>
      </c>
      <c r="I937" s="394">
        <v>11386.78</v>
      </c>
      <c r="J937" s="394">
        <v>61737.91</v>
      </c>
      <c r="K937" s="393" t="s">
        <v>1033</v>
      </c>
    </row>
    <row r="938" spans="1:12" hidden="1" x14ac:dyDescent="0.3">
      <c r="A938" s="397" t="s">
        <v>4914</v>
      </c>
      <c r="C938" s="397" t="s">
        <v>1053</v>
      </c>
      <c r="D938" s="397" t="s">
        <v>4913</v>
      </c>
      <c r="E938" s="397" t="s">
        <v>4902</v>
      </c>
      <c r="F938" s="397" t="s">
        <v>191</v>
      </c>
      <c r="G938" s="396">
        <v>1</v>
      </c>
      <c r="H938" s="395">
        <v>30593.556</v>
      </c>
      <c r="I938" s="394">
        <v>23956.799999999999</v>
      </c>
      <c r="J938" s="394">
        <v>43705.08</v>
      </c>
      <c r="K938" s="393" t="s">
        <v>1033</v>
      </c>
    </row>
    <row r="939" spans="1:12" hidden="1" x14ac:dyDescent="0.3">
      <c r="A939" s="397" t="s">
        <v>1797</v>
      </c>
      <c r="C939" s="397" t="s">
        <v>1053</v>
      </c>
      <c r="D939" s="397" t="s">
        <v>1796</v>
      </c>
      <c r="E939" s="397" t="s">
        <v>1795</v>
      </c>
      <c r="F939" s="397" t="s">
        <v>191</v>
      </c>
      <c r="G939" s="396">
        <v>2</v>
      </c>
      <c r="H939" s="395">
        <v>1253.665</v>
      </c>
      <c r="I939" s="394">
        <v>1425</v>
      </c>
      <c r="J939" s="394">
        <v>1474.9</v>
      </c>
      <c r="K939" s="393" t="s">
        <v>1033</v>
      </c>
    </row>
    <row r="940" spans="1:12" hidden="1" x14ac:dyDescent="0.3">
      <c r="A940" s="397" t="s">
        <v>3634</v>
      </c>
      <c r="C940" s="397" t="s">
        <v>1053</v>
      </c>
      <c r="D940" s="397" t="s">
        <v>3633</v>
      </c>
      <c r="E940" s="397" t="s">
        <v>3632</v>
      </c>
      <c r="F940" s="397" t="s">
        <v>191</v>
      </c>
      <c r="G940" s="396">
        <v>1</v>
      </c>
      <c r="H940" s="395">
        <v>86021.929000000004</v>
      </c>
      <c r="I940" s="394">
        <v>69105.88</v>
      </c>
      <c r="J940" s="394">
        <v>122888.47</v>
      </c>
      <c r="K940" s="393" t="s">
        <v>1033</v>
      </c>
      <c r="L940" s="395">
        <v>1</v>
      </c>
    </row>
    <row r="941" spans="1:12" hidden="1" x14ac:dyDescent="0.3">
      <c r="A941" s="397" t="s">
        <v>3896</v>
      </c>
      <c r="C941" s="397" t="s">
        <v>1053</v>
      </c>
      <c r="D941" s="397" t="s">
        <v>3895</v>
      </c>
      <c r="E941" s="397" t="s">
        <v>3894</v>
      </c>
      <c r="F941" s="397" t="s">
        <v>191</v>
      </c>
      <c r="G941" s="396">
        <v>1</v>
      </c>
      <c r="H941" s="395">
        <v>81846.184000000008</v>
      </c>
      <c r="I941" s="394">
        <v>41570.67</v>
      </c>
      <c r="J941" s="394">
        <v>116923.12</v>
      </c>
      <c r="K941" s="393" t="s">
        <v>1033</v>
      </c>
    </row>
    <row r="942" spans="1:12" hidden="1" x14ac:dyDescent="0.3">
      <c r="A942" s="397" t="s">
        <v>3893</v>
      </c>
      <c r="C942" s="397" t="s">
        <v>1053</v>
      </c>
      <c r="D942" s="397" t="s">
        <v>3892</v>
      </c>
      <c r="E942" s="397" t="s">
        <v>3891</v>
      </c>
      <c r="F942" s="397" t="s">
        <v>191</v>
      </c>
      <c r="G942" s="396">
        <v>1</v>
      </c>
      <c r="H942" s="395">
        <v>84814.70199999999</v>
      </c>
      <c r="I942" s="394">
        <v>66763.27</v>
      </c>
      <c r="J942" s="394">
        <v>121163.86</v>
      </c>
      <c r="K942" s="393" t="s">
        <v>1033</v>
      </c>
    </row>
    <row r="943" spans="1:12" hidden="1" x14ac:dyDescent="0.3">
      <c r="A943" s="397" t="s">
        <v>3890</v>
      </c>
      <c r="C943" s="397" t="s">
        <v>1053</v>
      </c>
      <c r="D943" s="397" t="s">
        <v>3889</v>
      </c>
      <c r="E943" s="397" t="s">
        <v>1499</v>
      </c>
      <c r="F943" s="397" t="s">
        <v>191</v>
      </c>
      <c r="G943" s="396">
        <v>1</v>
      </c>
      <c r="H943" s="395">
        <v>85995.07</v>
      </c>
      <c r="I943" s="394">
        <v>49536.46</v>
      </c>
      <c r="J943" s="394">
        <v>122850.1</v>
      </c>
      <c r="K943" s="393" t="s">
        <v>1033</v>
      </c>
    </row>
    <row r="944" spans="1:12" hidden="1" x14ac:dyDescent="0.3">
      <c r="A944" s="397" t="s">
        <v>5326</v>
      </c>
      <c r="C944" s="397" t="s">
        <v>1053</v>
      </c>
      <c r="D944" s="397" t="s">
        <v>5325</v>
      </c>
      <c r="E944" s="397" t="s">
        <v>5324</v>
      </c>
      <c r="F944" s="397" t="s">
        <v>191</v>
      </c>
      <c r="G944" s="396">
        <v>1</v>
      </c>
      <c r="H944" s="395">
        <v>151161.68900000001</v>
      </c>
      <c r="I944" s="394">
        <v>9353.2800000000007</v>
      </c>
      <c r="J944" s="394">
        <v>215945.27000000002</v>
      </c>
      <c r="K944" s="393" t="s">
        <v>1033</v>
      </c>
    </row>
    <row r="945" spans="1:12" hidden="1" x14ac:dyDescent="0.3">
      <c r="A945" s="397" t="s">
        <v>1303</v>
      </c>
      <c r="C945" s="397" t="s">
        <v>1053</v>
      </c>
      <c r="D945" s="397" t="s">
        <v>1302</v>
      </c>
      <c r="E945" s="397" t="s">
        <v>1301</v>
      </c>
      <c r="F945" s="397" t="s">
        <v>191</v>
      </c>
      <c r="G945" s="396">
        <v>1</v>
      </c>
      <c r="H945" s="395">
        <v>117.39700000000001</v>
      </c>
      <c r="I945" s="394">
        <v>61.88</v>
      </c>
      <c r="J945" s="394">
        <v>167.71</v>
      </c>
      <c r="K945" s="393" t="s">
        <v>1033</v>
      </c>
    </row>
    <row r="946" spans="1:12" hidden="1" x14ac:dyDescent="0.3">
      <c r="A946" s="397" t="s">
        <v>3899</v>
      </c>
      <c r="C946" s="397" t="s">
        <v>1053</v>
      </c>
      <c r="D946" s="397" t="s">
        <v>3898</v>
      </c>
      <c r="E946" s="397" t="s">
        <v>3897</v>
      </c>
      <c r="F946" s="397" t="s">
        <v>191</v>
      </c>
      <c r="G946" s="396">
        <v>1</v>
      </c>
      <c r="H946" s="395">
        <v>63729.792000000001</v>
      </c>
      <c r="I946" s="394">
        <v>61977.18</v>
      </c>
      <c r="J946" s="394">
        <v>91042.559999999998</v>
      </c>
      <c r="K946" s="393" t="s">
        <v>1033</v>
      </c>
      <c r="L946" s="395">
        <v>1</v>
      </c>
    </row>
    <row r="947" spans="1:12" hidden="1" x14ac:dyDescent="0.3">
      <c r="A947" s="397" t="s">
        <v>3888</v>
      </c>
      <c r="C947" s="397" t="s">
        <v>1053</v>
      </c>
      <c r="D947" s="397" t="s">
        <v>3887</v>
      </c>
      <c r="E947" s="397" t="s">
        <v>3886</v>
      </c>
      <c r="F947" s="397" t="s">
        <v>191</v>
      </c>
      <c r="G947" s="396">
        <v>1</v>
      </c>
      <c r="H947" s="395">
        <v>51885.490999999995</v>
      </c>
      <c r="I947" s="394">
        <v>42.75</v>
      </c>
      <c r="J947" s="394">
        <v>74122.13</v>
      </c>
      <c r="K947" s="393" t="s">
        <v>1033</v>
      </c>
    </row>
    <row r="948" spans="1:12" hidden="1" x14ac:dyDescent="0.3">
      <c r="A948" s="397" t="s">
        <v>5114</v>
      </c>
      <c r="C948" s="397" t="s">
        <v>1053</v>
      </c>
      <c r="D948" s="397" t="s">
        <v>5113</v>
      </c>
      <c r="E948" s="397" t="s">
        <v>5109</v>
      </c>
      <c r="F948" s="397" t="s">
        <v>191</v>
      </c>
      <c r="G948" s="396">
        <v>1</v>
      </c>
      <c r="H948" s="395">
        <v>105344.876</v>
      </c>
      <c r="I948" s="394">
        <v>6203.14</v>
      </c>
      <c r="J948" s="394">
        <v>150492.68</v>
      </c>
      <c r="K948" s="393" t="s">
        <v>1033</v>
      </c>
    </row>
    <row r="949" spans="1:12" hidden="1" x14ac:dyDescent="0.3">
      <c r="A949" s="397" t="s">
        <v>1724</v>
      </c>
      <c r="C949" s="397" t="s">
        <v>1053</v>
      </c>
      <c r="D949" s="397" t="s">
        <v>1723</v>
      </c>
      <c r="E949" s="397" t="s">
        <v>1722</v>
      </c>
      <c r="F949" s="397" t="s">
        <v>191</v>
      </c>
      <c r="G949" s="396">
        <v>1</v>
      </c>
      <c r="H949" s="395">
        <v>35166.438999999998</v>
      </c>
      <c r="I949" s="394">
        <v>32674.97</v>
      </c>
      <c r="J949" s="394">
        <v>50237.770000000004</v>
      </c>
      <c r="K949" s="393" t="s">
        <v>1033</v>
      </c>
    </row>
    <row r="950" spans="1:12" hidden="1" x14ac:dyDescent="0.3">
      <c r="A950" s="397" t="s">
        <v>1315</v>
      </c>
      <c r="C950" s="397" t="s">
        <v>1053</v>
      </c>
      <c r="D950" s="397" t="s">
        <v>1314</v>
      </c>
      <c r="E950" s="397" t="s">
        <v>1313</v>
      </c>
      <c r="F950" s="397" t="s">
        <v>191</v>
      </c>
      <c r="G950" s="396">
        <v>1</v>
      </c>
      <c r="H950" s="395">
        <v>38185.762999999999</v>
      </c>
      <c r="I950" s="394">
        <v>5423</v>
      </c>
      <c r="J950" s="394">
        <v>54551.090000000004</v>
      </c>
      <c r="K950" s="393" t="s">
        <v>1033</v>
      </c>
    </row>
    <row r="951" spans="1:12" hidden="1" x14ac:dyDescent="0.3">
      <c r="A951" s="397" t="s">
        <v>1721</v>
      </c>
      <c r="C951" s="397" t="s">
        <v>1053</v>
      </c>
      <c r="D951" s="397" t="s">
        <v>1720</v>
      </c>
      <c r="E951" s="397" t="s">
        <v>1719</v>
      </c>
      <c r="F951" s="397" t="s">
        <v>191</v>
      </c>
      <c r="G951" s="396">
        <v>1</v>
      </c>
      <c r="H951" s="395">
        <v>54357.744000000006</v>
      </c>
      <c r="I951" s="394">
        <v>7407</v>
      </c>
      <c r="J951" s="394">
        <v>77653.919999999998</v>
      </c>
      <c r="K951" s="393" t="s">
        <v>1033</v>
      </c>
    </row>
    <row r="952" spans="1:12" hidden="1" x14ac:dyDescent="0.3">
      <c r="A952" s="397" t="s">
        <v>3795</v>
      </c>
      <c r="C952" s="397" t="s">
        <v>1053</v>
      </c>
      <c r="D952" s="397" t="s">
        <v>3794</v>
      </c>
      <c r="E952" s="397" t="s">
        <v>3793</v>
      </c>
      <c r="F952" s="397" t="s">
        <v>191</v>
      </c>
      <c r="G952" s="396">
        <v>1</v>
      </c>
      <c r="H952" s="395">
        <v>346848.88</v>
      </c>
      <c r="I952" s="394">
        <v>333780.3</v>
      </c>
      <c r="J952" s="394">
        <v>495498.4</v>
      </c>
      <c r="K952" s="393" t="s">
        <v>1033</v>
      </c>
    </row>
    <row r="953" spans="1:12" hidden="1" x14ac:dyDescent="0.3">
      <c r="A953" s="397" t="s">
        <v>1345</v>
      </c>
      <c r="C953" s="397" t="s">
        <v>1053</v>
      </c>
      <c r="D953" s="397" t="s">
        <v>1344</v>
      </c>
      <c r="E953" s="397" t="s">
        <v>1343</v>
      </c>
      <c r="F953" s="397" t="s">
        <v>191</v>
      </c>
      <c r="G953" s="396">
        <v>1</v>
      </c>
      <c r="H953" s="395">
        <v>63717.99</v>
      </c>
      <c r="I953" s="394">
        <v>46660.770000000004</v>
      </c>
      <c r="J953" s="394">
        <v>91025.7</v>
      </c>
      <c r="K953" s="393" t="s">
        <v>1033</v>
      </c>
    </row>
    <row r="954" spans="1:12" hidden="1" x14ac:dyDescent="0.3">
      <c r="A954" s="397" t="s">
        <v>1765</v>
      </c>
      <c r="C954" s="397" t="s">
        <v>1053</v>
      </c>
      <c r="D954" s="397" t="s">
        <v>1764</v>
      </c>
      <c r="E954" s="397" t="s">
        <v>1763</v>
      </c>
      <c r="F954" s="397" t="s">
        <v>191</v>
      </c>
      <c r="G954" s="396">
        <v>1</v>
      </c>
      <c r="H954" s="395">
        <v>228631.68300000002</v>
      </c>
      <c r="I954" s="394">
        <v>5391.68</v>
      </c>
      <c r="J954" s="394">
        <v>326616.69</v>
      </c>
      <c r="K954" s="393" t="s">
        <v>1033</v>
      </c>
    </row>
    <row r="955" spans="1:12" hidden="1" x14ac:dyDescent="0.3">
      <c r="A955" s="397" t="s">
        <v>1727</v>
      </c>
      <c r="C955" s="397" t="s">
        <v>1053</v>
      </c>
      <c r="D955" s="397" t="s">
        <v>1726</v>
      </c>
      <c r="E955" s="397" t="s">
        <v>1725</v>
      </c>
      <c r="F955" s="397" t="s">
        <v>191</v>
      </c>
      <c r="G955" s="396">
        <v>1</v>
      </c>
      <c r="H955" s="395">
        <v>70645.729000000007</v>
      </c>
      <c r="I955" s="394">
        <v>73794.64</v>
      </c>
      <c r="J955" s="394">
        <v>100922.47</v>
      </c>
      <c r="K955" s="393" t="s">
        <v>1033</v>
      </c>
    </row>
    <row r="956" spans="1:12" hidden="1" x14ac:dyDescent="0.3">
      <c r="A956" s="397" t="s">
        <v>4163</v>
      </c>
      <c r="C956" s="397" t="s">
        <v>1053</v>
      </c>
      <c r="D956" s="397" t="s">
        <v>4162</v>
      </c>
      <c r="E956" s="397" t="s">
        <v>4159</v>
      </c>
      <c r="F956" s="397" t="s">
        <v>191</v>
      </c>
      <c r="G956" s="396">
        <v>1</v>
      </c>
      <c r="H956" s="395">
        <v>78825.851999999999</v>
      </c>
      <c r="I956" s="394">
        <v>381.02</v>
      </c>
      <c r="J956" s="394">
        <v>112608.36</v>
      </c>
      <c r="K956" s="393" t="s">
        <v>1033</v>
      </c>
    </row>
    <row r="957" spans="1:12" hidden="1" x14ac:dyDescent="0.3">
      <c r="A957" s="397" t="s">
        <v>1108</v>
      </c>
      <c r="C957" s="397" t="s">
        <v>1034</v>
      </c>
      <c r="D957" s="397" t="s">
        <v>1107</v>
      </c>
      <c r="E957" s="397" t="s">
        <v>1106</v>
      </c>
      <c r="F957" s="397" t="s">
        <v>416</v>
      </c>
      <c r="G957" s="396">
        <v>3</v>
      </c>
      <c r="H957" s="395">
        <v>145.79600000000002</v>
      </c>
      <c r="I957" s="394">
        <v>145.80000000000001</v>
      </c>
      <c r="J957" s="394">
        <v>208.28</v>
      </c>
      <c r="K957" s="393" t="s">
        <v>1033</v>
      </c>
    </row>
    <row r="958" spans="1:12" hidden="1" x14ac:dyDescent="0.3">
      <c r="A958" s="397" t="s">
        <v>1348</v>
      </c>
      <c r="C958" s="397" t="s">
        <v>1053</v>
      </c>
      <c r="D958" s="397" t="s">
        <v>1347</v>
      </c>
      <c r="E958" s="397" t="s">
        <v>1346</v>
      </c>
      <c r="F958" s="397" t="s">
        <v>191</v>
      </c>
      <c r="G958" s="396">
        <v>8</v>
      </c>
      <c r="H958" s="395">
        <v>50704.892</v>
      </c>
      <c r="I958" s="394">
        <v>478.79</v>
      </c>
      <c r="J958" s="394">
        <v>72435.56</v>
      </c>
      <c r="K958" s="393" t="s">
        <v>1033</v>
      </c>
    </row>
    <row r="959" spans="1:12" hidden="1" x14ac:dyDescent="0.3">
      <c r="A959" s="397" t="s">
        <v>1632</v>
      </c>
      <c r="C959" s="397" t="s">
        <v>1053</v>
      </c>
      <c r="D959" s="397" t="s">
        <v>1631</v>
      </c>
      <c r="E959" s="397" t="s">
        <v>1630</v>
      </c>
      <c r="F959" s="397" t="s">
        <v>191</v>
      </c>
      <c r="G959" s="396">
        <v>6</v>
      </c>
      <c r="H959" s="395">
        <v>112874.15300000001</v>
      </c>
      <c r="I959" s="394">
        <v>4408.83</v>
      </c>
      <c r="J959" s="394">
        <v>161248.79</v>
      </c>
      <c r="K959" s="393" t="s">
        <v>1033</v>
      </c>
    </row>
    <row r="960" spans="1:12" hidden="1" x14ac:dyDescent="0.3">
      <c r="A960" s="397" t="s">
        <v>1635</v>
      </c>
      <c r="C960" s="397" t="s">
        <v>1053</v>
      </c>
      <c r="D960" s="397" t="s">
        <v>1634</v>
      </c>
      <c r="E960" s="397" t="s">
        <v>1633</v>
      </c>
      <c r="F960" s="397" t="s">
        <v>191</v>
      </c>
      <c r="G960" s="396">
        <v>1</v>
      </c>
      <c r="H960" s="395">
        <v>92496.229000000007</v>
      </c>
      <c r="I960" s="394">
        <v>86300.35</v>
      </c>
      <c r="J960" s="394">
        <v>132137.47</v>
      </c>
      <c r="K960" s="393" t="s">
        <v>1033</v>
      </c>
      <c r="L960" s="395">
        <v>1</v>
      </c>
    </row>
    <row r="961" spans="1:12" hidden="1" x14ac:dyDescent="0.3">
      <c r="A961" s="397" t="s">
        <v>1189</v>
      </c>
      <c r="C961" s="397" t="s">
        <v>1053</v>
      </c>
      <c r="D961" s="397" t="s">
        <v>734</v>
      </c>
      <c r="E961" s="397" t="s">
        <v>1188</v>
      </c>
      <c r="F961" s="397" t="s">
        <v>191</v>
      </c>
      <c r="G961" s="396">
        <v>12</v>
      </c>
      <c r="H961" s="395">
        <v>80659.292000000001</v>
      </c>
      <c r="I961" s="394">
        <v>77529.05</v>
      </c>
      <c r="J961" s="394">
        <v>115227.56</v>
      </c>
      <c r="K961" s="393" t="s">
        <v>1033</v>
      </c>
      <c r="L961" s="395">
        <v>1</v>
      </c>
    </row>
    <row r="962" spans="1:12" hidden="1" x14ac:dyDescent="0.3">
      <c r="A962" s="397" t="s">
        <v>8306</v>
      </c>
      <c r="C962" s="397" t="s">
        <v>1053</v>
      </c>
      <c r="D962" s="397" t="s">
        <v>8305</v>
      </c>
      <c r="E962" s="397" t="s">
        <v>8304</v>
      </c>
      <c r="F962" s="397" t="s">
        <v>191</v>
      </c>
      <c r="G962" s="396">
        <v>5</v>
      </c>
      <c r="H962" s="395">
        <v>104467.132</v>
      </c>
      <c r="I962" s="394">
        <v>98862.55</v>
      </c>
      <c r="J962" s="394">
        <v>149238.76</v>
      </c>
      <c r="K962" s="393" t="s">
        <v>1033</v>
      </c>
    </row>
    <row r="963" spans="1:12" hidden="1" x14ac:dyDescent="0.3">
      <c r="A963" s="397" t="s">
        <v>779</v>
      </c>
      <c r="C963" s="397" t="s">
        <v>1053</v>
      </c>
      <c r="D963" s="397" t="s">
        <v>720</v>
      </c>
      <c r="E963" s="397" t="s">
        <v>721</v>
      </c>
      <c r="F963" s="397" t="s">
        <v>191</v>
      </c>
      <c r="G963" s="396">
        <v>17</v>
      </c>
      <c r="H963" s="395">
        <v>132945.26</v>
      </c>
      <c r="I963" s="394">
        <v>127785.90000000001</v>
      </c>
      <c r="J963" s="394">
        <v>189921.80000000002</v>
      </c>
      <c r="K963" s="393" t="s">
        <v>1033</v>
      </c>
      <c r="L963" s="395">
        <v>3</v>
      </c>
    </row>
    <row r="964" spans="1:12" hidden="1" x14ac:dyDescent="0.3">
      <c r="A964" s="397" t="s">
        <v>1593</v>
      </c>
      <c r="C964" s="397" t="s">
        <v>1053</v>
      </c>
      <c r="D964" s="397" t="s">
        <v>1592</v>
      </c>
      <c r="E964" s="397" t="s">
        <v>1591</v>
      </c>
      <c r="F964" s="397" t="s">
        <v>191</v>
      </c>
      <c r="G964" s="396">
        <v>2</v>
      </c>
      <c r="H964" s="395">
        <v>240329.992</v>
      </c>
      <c r="I964" s="394">
        <v>175722.7</v>
      </c>
      <c r="J964" s="394">
        <v>343328.56</v>
      </c>
      <c r="K964" s="393" t="s">
        <v>1033</v>
      </c>
    </row>
    <row r="965" spans="1:12" hidden="1" x14ac:dyDescent="0.3">
      <c r="A965" s="397" t="s">
        <v>1378</v>
      </c>
      <c r="C965" s="397" t="s">
        <v>1053</v>
      </c>
      <c r="D965" s="397" t="s">
        <v>1377</v>
      </c>
      <c r="E965" s="397" t="s">
        <v>1376</v>
      </c>
      <c r="F965" s="397" t="s">
        <v>191</v>
      </c>
      <c r="G965" s="396">
        <v>2</v>
      </c>
      <c r="H965" s="395">
        <v>65065.399000000005</v>
      </c>
      <c r="I965" s="394">
        <v>62540.33</v>
      </c>
      <c r="J965" s="394">
        <v>92950.57</v>
      </c>
      <c r="K965" s="393" t="s">
        <v>1033</v>
      </c>
    </row>
    <row r="966" spans="1:12" hidden="1" x14ac:dyDescent="0.3">
      <c r="A966" s="397" t="s">
        <v>1366</v>
      </c>
      <c r="C966" s="397" t="s">
        <v>1053</v>
      </c>
      <c r="D966" s="397" t="s">
        <v>1365</v>
      </c>
      <c r="E966" s="397" t="s">
        <v>1364</v>
      </c>
      <c r="F966" s="397" t="s">
        <v>191</v>
      </c>
      <c r="G966" s="396">
        <v>1</v>
      </c>
      <c r="H966" s="395">
        <v>37299.78</v>
      </c>
      <c r="I966" s="394">
        <v>27314.68</v>
      </c>
      <c r="J966" s="394">
        <v>53285.4</v>
      </c>
      <c r="K966" s="393" t="s">
        <v>1033</v>
      </c>
    </row>
    <row r="967" spans="1:12" hidden="1" x14ac:dyDescent="0.3">
      <c r="A967" s="397" t="s">
        <v>1351</v>
      </c>
      <c r="C967" s="397" t="s">
        <v>1053</v>
      </c>
      <c r="D967" s="397" t="s">
        <v>1350</v>
      </c>
      <c r="E967" s="397" t="s">
        <v>1349</v>
      </c>
      <c r="F967" s="397" t="s">
        <v>191</v>
      </c>
      <c r="G967" s="396">
        <v>7</v>
      </c>
      <c r="H967" s="395">
        <v>65562.735000000001</v>
      </c>
      <c r="I967" s="394">
        <v>63963.64</v>
      </c>
      <c r="J967" s="394">
        <v>93661.05</v>
      </c>
      <c r="K967" s="393" t="s">
        <v>1033</v>
      </c>
    </row>
    <row r="968" spans="1:12" hidden="1" x14ac:dyDescent="0.3">
      <c r="A968" s="397" t="s">
        <v>3867</v>
      </c>
      <c r="C968" s="397" t="s">
        <v>1053</v>
      </c>
      <c r="D968" s="397" t="s">
        <v>3866</v>
      </c>
      <c r="E968" s="397" t="s">
        <v>3865</v>
      </c>
      <c r="F968" s="397" t="s">
        <v>191</v>
      </c>
      <c r="G968" s="396">
        <v>2</v>
      </c>
      <c r="H968" s="395">
        <v>143042.242</v>
      </c>
      <c r="I968" s="394">
        <v>6430.53</v>
      </c>
      <c r="J968" s="394">
        <v>204346.06</v>
      </c>
      <c r="K968" s="393" t="s">
        <v>1033</v>
      </c>
    </row>
    <row r="969" spans="1:12" hidden="1" x14ac:dyDescent="0.3">
      <c r="A969" s="397" t="s">
        <v>7567</v>
      </c>
      <c r="C969" s="397" t="s">
        <v>1053</v>
      </c>
      <c r="D969" s="397" t="s">
        <v>7566</v>
      </c>
      <c r="E969" s="397" t="s">
        <v>7565</v>
      </c>
      <c r="F969" s="397" t="s">
        <v>191</v>
      </c>
      <c r="G969" s="396">
        <v>1</v>
      </c>
      <c r="H969" s="395">
        <v>259852.978</v>
      </c>
      <c r="I969" s="394">
        <v>179183.62</v>
      </c>
      <c r="J969" s="394">
        <v>371218.54</v>
      </c>
      <c r="K969" s="393" t="s">
        <v>1033</v>
      </c>
    </row>
    <row r="970" spans="1:12" hidden="1" x14ac:dyDescent="0.3">
      <c r="A970" s="397" t="s">
        <v>1682</v>
      </c>
      <c r="C970" s="397" t="s">
        <v>1053</v>
      </c>
      <c r="D970" s="397" t="s">
        <v>1681</v>
      </c>
      <c r="E970" s="397" t="s">
        <v>1680</v>
      </c>
      <c r="F970" s="397" t="s">
        <v>191</v>
      </c>
      <c r="G970" s="396">
        <v>2</v>
      </c>
      <c r="H970" s="395">
        <v>145046.93700000001</v>
      </c>
      <c r="J970" s="394">
        <v>207209.91</v>
      </c>
      <c r="K970" s="393" t="s">
        <v>1033</v>
      </c>
    </row>
    <row r="971" spans="1:12" hidden="1" x14ac:dyDescent="0.3">
      <c r="A971" s="397" t="s">
        <v>4267</v>
      </c>
      <c r="C971" s="397" t="s">
        <v>1053</v>
      </c>
      <c r="D971" s="397" t="s">
        <v>4266</v>
      </c>
      <c r="E971" s="397" t="s">
        <v>4265</v>
      </c>
      <c r="F971" s="397" t="s">
        <v>191</v>
      </c>
      <c r="G971" s="396">
        <v>1</v>
      </c>
      <c r="H971" s="395">
        <v>64280.86</v>
      </c>
      <c r="I971" s="394">
        <v>416.79</v>
      </c>
      <c r="J971" s="394">
        <v>91829.8</v>
      </c>
      <c r="K971" s="393" t="s">
        <v>1033</v>
      </c>
    </row>
    <row r="972" spans="1:12" hidden="1" x14ac:dyDescent="0.3">
      <c r="A972" s="397" t="s">
        <v>1730</v>
      </c>
      <c r="C972" s="397" t="s">
        <v>1053</v>
      </c>
      <c r="D972" s="397" t="s">
        <v>1729</v>
      </c>
      <c r="E972" s="397" t="s">
        <v>1728</v>
      </c>
      <c r="F972" s="397" t="s">
        <v>191</v>
      </c>
      <c r="G972" s="396">
        <v>3</v>
      </c>
      <c r="H972" s="395">
        <v>24054.562000000002</v>
      </c>
      <c r="I972" s="394">
        <v>23467.86</v>
      </c>
      <c r="J972" s="394">
        <v>34363.660000000003</v>
      </c>
      <c r="K972" s="393" t="s">
        <v>1033</v>
      </c>
    </row>
    <row r="973" spans="1:12" hidden="1" x14ac:dyDescent="0.3">
      <c r="A973" s="397" t="s">
        <v>3830</v>
      </c>
      <c r="C973" s="397" t="s">
        <v>1053</v>
      </c>
      <c r="D973" s="397" t="s">
        <v>3829</v>
      </c>
      <c r="E973" s="397" t="s">
        <v>3828</v>
      </c>
      <c r="F973" s="397" t="s">
        <v>191</v>
      </c>
      <c r="G973" s="396">
        <v>1</v>
      </c>
      <c r="H973" s="395">
        <v>51458.077999999987</v>
      </c>
      <c r="I973" s="394">
        <v>2182.12</v>
      </c>
      <c r="J973" s="394">
        <v>73511.539999999994</v>
      </c>
      <c r="K973" s="393" t="s">
        <v>1033</v>
      </c>
    </row>
    <row r="974" spans="1:12" hidden="1" x14ac:dyDescent="0.3">
      <c r="A974" s="397" t="s">
        <v>4492</v>
      </c>
      <c r="C974" s="397" t="s">
        <v>1053</v>
      </c>
      <c r="D974" s="397" t="s">
        <v>623</v>
      </c>
      <c r="E974" s="397" t="s">
        <v>624</v>
      </c>
      <c r="F974" s="397" t="s">
        <v>191</v>
      </c>
      <c r="G974" s="396">
        <v>9</v>
      </c>
      <c r="H974" s="395">
        <v>32426.716</v>
      </c>
      <c r="I974" s="394">
        <v>1101.19</v>
      </c>
      <c r="J974" s="394">
        <v>46323.88</v>
      </c>
      <c r="K974" s="393" t="s">
        <v>1033</v>
      </c>
    </row>
    <row r="975" spans="1:12" hidden="1" x14ac:dyDescent="0.3">
      <c r="A975" s="397" t="s">
        <v>1556</v>
      </c>
      <c r="C975" s="397" t="s">
        <v>1053</v>
      </c>
      <c r="D975" s="397" t="s">
        <v>1555</v>
      </c>
      <c r="E975" s="397" t="s">
        <v>1554</v>
      </c>
      <c r="F975" s="397" t="s">
        <v>191</v>
      </c>
      <c r="G975" s="396">
        <v>6</v>
      </c>
      <c r="H975" s="395">
        <v>49518.762999999999</v>
      </c>
      <c r="I975" s="394">
        <v>47597.03</v>
      </c>
      <c r="J975" s="394">
        <v>70741.09</v>
      </c>
      <c r="K975" s="393" t="s">
        <v>1033</v>
      </c>
    </row>
    <row r="976" spans="1:12" hidden="1" x14ac:dyDescent="0.3">
      <c r="A976" s="397" t="s">
        <v>4495</v>
      </c>
      <c r="C976" s="397" t="s">
        <v>1053</v>
      </c>
      <c r="D976" s="397" t="s">
        <v>4494</v>
      </c>
      <c r="E976" s="397" t="s">
        <v>4493</v>
      </c>
      <c r="F976" s="397" t="s">
        <v>191</v>
      </c>
      <c r="G976" s="396">
        <v>2</v>
      </c>
      <c r="H976" s="395">
        <v>42297.380999999994</v>
      </c>
      <c r="I976" s="394">
        <v>21210.73</v>
      </c>
      <c r="J976" s="394">
        <v>60424.83</v>
      </c>
      <c r="K976" s="393" t="s">
        <v>1033</v>
      </c>
    </row>
    <row r="977" spans="1:12" hidden="1" x14ac:dyDescent="0.3">
      <c r="A977" s="397" t="s">
        <v>4497</v>
      </c>
      <c r="C977" s="397" t="s">
        <v>1053</v>
      </c>
      <c r="D977" s="397" t="s">
        <v>4496</v>
      </c>
      <c r="E977" s="397" t="s">
        <v>622</v>
      </c>
      <c r="F977" s="397" t="s">
        <v>191</v>
      </c>
      <c r="G977" s="396">
        <v>3</v>
      </c>
      <c r="H977" s="395">
        <v>30801.484</v>
      </c>
      <c r="I977" s="394">
        <v>1448.57</v>
      </c>
      <c r="J977" s="394">
        <v>44002.12</v>
      </c>
      <c r="K977" s="393" t="s">
        <v>1033</v>
      </c>
    </row>
    <row r="978" spans="1:12" hidden="1" x14ac:dyDescent="0.3">
      <c r="A978" s="397" t="s">
        <v>1375</v>
      </c>
      <c r="C978" s="397" t="s">
        <v>1053</v>
      </c>
      <c r="D978" s="397" t="s">
        <v>1374</v>
      </c>
      <c r="E978" s="397" t="s">
        <v>1373</v>
      </c>
      <c r="F978" s="397" t="s">
        <v>191</v>
      </c>
      <c r="G978" s="396">
        <v>1</v>
      </c>
      <c r="H978" s="395">
        <v>19058.501</v>
      </c>
      <c r="I978" s="394">
        <v>4402.9399999999996</v>
      </c>
      <c r="J978" s="394">
        <v>27226.43</v>
      </c>
      <c r="K978" s="393" t="s">
        <v>1033</v>
      </c>
    </row>
    <row r="979" spans="1:12" hidden="1" x14ac:dyDescent="0.3">
      <c r="A979" s="397" t="s">
        <v>1069</v>
      </c>
      <c r="C979" s="397" t="s">
        <v>1053</v>
      </c>
      <c r="D979" s="397" t="s">
        <v>4180</v>
      </c>
      <c r="E979" s="397" t="s">
        <v>4179</v>
      </c>
      <c r="F979" s="397" t="s">
        <v>191</v>
      </c>
      <c r="G979" s="396">
        <v>1</v>
      </c>
      <c r="H979" s="395">
        <v>189726.71899999998</v>
      </c>
      <c r="I979" s="394">
        <v>5387.5</v>
      </c>
      <c r="J979" s="394">
        <v>271038.17</v>
      </c>
      <c r="K979" s="393" t="s">
        <v>1033</v>
      </c>
    </row>
    <row r="980" spans="1:12" hidden="1" x14ac:dyDescent="0.3">
      <c r="A980" s="397" t="s">
        <v>1069</v>
      </c>
      <c r="C980" s="397" t="s">
        <v>1034</v>
      </c>
      <c r="D980" s="397" t="s">
        <v>1068</v>
      </c>
      <c r="E980" s="397" t="s">
        <v>1067</v>
      </c>
      <c r="F980" s="397" t="s">
        <v>416</v>
      </c>
      <c r="G980" s="396">
        <v>1</v>
      </c>
      <c r="H980" s="395">
        <v>39265.361100000002</v>
      </c>
      <c r="I980" s="394">
        <v>39265.360000000001</v>
      </c>
      <c r="J980" s="394">
        <v>62325.97</v>
      </c>
      <c r="K980" s="393" t="s">
        <v>1033</v>
      </c>
    </row>
    <row r="981" spans="1:12" hidden="1" x14ac:dyDescent="0.3">
      <c r="A981" s="397" t="s">
        <v>3557</v>
      </c>
      <c r="C981" s="397" t="s">
        <v>1053</v>
      </c>
      <c r="D981" s="397" t="s">
        <v>3556</v>
      </c>
      <c r="E981" s="397" t="s">
        <v>3550</v>
      </c>
      <c r="F981" s="397" t="s">
        <v>191</v>
      </c>
      <c r="G981" s="396">
        <v>2</v>
      </c>
      <c r="H981" s="395">
        <v>869476.76900000009</v>
      </c>
      <c r="I981" s="394">
        <v>40609.17</v>
      </c>
      <c r="J981" s="394">
        <v>1242109.67</v>
      </c>
      <c r="K981" s="393" t="s">
        <v>1033</v>
      </c>
    </row>
    <row r="982" spans="1:12" hidden="1" x14ac:dyDescent="0.3">
      <c r="A982" s="397" t="s">
        <v>4514</v>
      </c>
      <c r="C982" s="397" t="s">
        <v>1053</v>
      </c>
      <c r="D982" s="397" t="s">
        <v>4513</v>
      </c>
      <c r="E982" s="397" t="s">
        <v>4512</v>
      </c>
      <c r="F982" s="397" t="s">
        <v>191</v>
      </c>
      <c r="G982" s="396">
        <v>1</v>
      </c>
      <c r="H982" s="395">
        <v>34383.425999999999</v>
      </c>
      <c r="I982" s="394">
        <v>198.47</v>
      </c>
      <c r="J982" s="394">
        <v>49119.18</v>
      </c>
      <c r="K982" s="393" t="s">
        <v>1033</v>
      </c>
    </row>
    <row r="983" spans="1:12" hidden="1" x14ac:dyDescent="0.3">
      <c r="A983" s="397" t="s">
        <v>1078</v>
      </c>
      <c r="C983" s="397" t="s">
        <v>1034</v>
      </c>
      <c r="D983" s="397" t="s">
        <v>1077</v>
      </c>
      <c r="E983" s="397" t="s">
        <v>1076</v>
      </c>
      <c r="F983" s="397" t="s">
        <v>416</v>
      </c>
      <c r="G983" s="396">
        <v>1</v>
      </c>
      <c r="I983" s="394">
        <v>0.01</v>
      </c>
      <c r="J983" s="394">
        <v>0.2</v>
      </c>
      <c r="K983" s="393" t="s">
        <v>1033</v>
      </c>
      <c r="L983" s="395">
        <v>11</v>
      </c>
    </row>
    <row r="984" spans="1:12" hidden="1" x14ac:dyDescent="0.3">
      <c r="A984" s="397" t="s">
        <v>4300</v>
      </c>
      <c r="C984" s="397" t="s">
        <v>1053</v>
      </c>
      <c r="D984" s="397" t="s">
        <v>4299</v>
      </c>
      <c r="E984" s="397" t="s">
        <v>4298</v>
      </c>
      <c r="F984" s="397" t="s">
        <v>191</v>
      </c>
      <c r="G984" s="396">
        <v>1</v>
      </c>
      <c r="H984" s="395">
        <v>250130.867</v>
      </c>
      <c r="I984" s="394">
        <v>1956.78</v>
      </c>
      <c r="J984" s="394">
        <v>357329.81</v>
      </c>
      <c r="K984" s="393" t="s">
        <v>1033</v>
      </c>
    </row>
    <row r="985" spans="1:12" hidden="1" x14ac:dyDescent="0.3">
      <c r="A985" s="397" t="s">
        <v>4297</v>
      </c>
      <c r="C985" s="397" t="s">
        <v>1053</v>
      </c>
      <c r="D985" s="397" t="s">
        <v>4296</v>
      </c>
      <c r="E985" s="397" t="s">
        <v>4295</v>
      </c>
      <c r="F985" s="397" t="s">
        <v>191</v>
      </c>
      <c r="G985" s="396">
        <v>1</v>
      </c>
      <c r="H985" s="395">
        <v>250130.867</v>
      </c>
      <c r="I985" s="394">
        <v>1956.78</v>
      </c>
      <c r="J985" s="394">
        <v>357329.81</v>
      </c>
      <c r="K985" s="393" t="s">
        <v>1033</v>
      </c>
    </row>
    <row r="986" spans="1:12" hidden="1" x14ac:dyDescent="0.3">
      <c r="A986" s="397" t="s">
        <v>3832</v>
      </c>
      <c r="C986" s="397" t="s">
        <v>1053</v>
      </c>
      <c r="D986" s="397" t="s">
        <v>3831</v>
      </c>
      <c r="E986" s="397" t="s">
        <v>3828</v>
      </c>
      <c r="F986" s="397" t="s">
        <v>191</v>
      </c>
      <c r="G986" s="396">
        <v>1</v>
      </c>
      <c r="H986" s="395">
        <v>51458.077999999987</v>
      </c>
      <c r="I986" s="394">
        <v>1590.06</v>
      </c>
      <c r="J986" s="394">
        <v>73511.539999999994</v>
      </c>
      <c r="K986" s="393" t="s">
        <v>1033</v>
      </c>
    </row>
    <row r="987" spans="1:12" hidden="1" x14ac:dyDescent="0.3">
      <c r="A987" s="397" t="s">
        <v>1590</v>
      </c>
      <c r="C987" s="397" t="s">
        <v>1053</v>
      </c>
      <c r="D987" s="397" t="s">
        <v>1589</v>
      </c>
      <c r="E987" s="397" t="s">
        <v>1588</v>
      </c>
      <c r="F987" s="397" t="s">
        <v>191</v>
      </c>
      <c r="G987" s="396">
        <v>1</v>
      </c>
      <c r="H987" s="395">
        <v>205358.90899999999</v>
      </c>
      <c r="I987" s="394">
        <v>195434.97</v>
      </c>
      <c r="J987" s="394">
        <v>293369.87</v>
      </c>
      <c r="K987" s="393" t="s">
        <v>1033</v>
      </c>
    </row>
    <row r="988" spans="1:12" hidden="1" x14ac:dyDescent="0.3">
      <c r="A988" s="397" t="s">
        <v>1596</v>
      </c>
      <c r="C988" s="397" t="s">
        <v>1053</v>
      </c>
      <c r="D988" s="397" t="s">
        <v>1595</v>
      </c>
      <c r="E988" s="397" t="s">
        <v>1594</v>
      </c>
      <c r="F988" s="397" t="s">
        <v>191</v>
      </c>
      <c r="G988" s="396">
        <v>2</v>
      </c>
      <c r="H988" s="395">
        <v>199528.33600000001</v>
      </c>
      <c r="I988" s="394">
        <v>150675.07999999999</v>
      </c>
      <c r="J988" s="394">
        <v>285040.48</v>
      </c>
      <c r="K988" s="393" t="s">
        <v>1033</v>
      </c>
    </row>
    <row r="989" spans="1:12" hidden="1" x14ac:dyDescent="0.3">
      <c r="A989" s="397" t="s">
        <v>4916</v>
      </c>
      <c r="C989" s="397" t="s">
        <v>1053</v>
      </c>
      <c r="D989" s="397" t="s">
        <v>4915</v>
      </c>
      <c r="E989" s="397" t="s">
        <v>4902</v>
      </c>
      <c r="F989" s="397" t="s">
        <v>191</v>
      </c>
      <c r="G989" s="396">
        <v>1</v>
      </c>
      <c r="H989" s="395">
        <v>454.72699999999998</v>
      </c>
      <c r="I989" s="394">
        <v>238.23000000000002</v>
      </c>
      <c r="J989" s="394">
        <v>649.61</v>
      </c>
      <c r="K989" s="393" t="s">
        <v>1033</v>
      </c>
    </row>
    <row r="990" spans="1:12" hidden="1" x14ac:dyDescent="0.3">
      <c r="A990" s="397" t="s">
        <v>4912</v>
      </c>
      <c r="C990" s="397" t="s">
        <v>1053</v>
      </c>
      <c r="D990" s="397" t="s">
        <v>4911</v>
      </c>
      <c r="E990" s="397" t="s">
        <v>4910</v>
      </c>
      <c r="F990" s="397" t="s">
        <v>191</v>
      </c>
      <c r="G990" s="396">
        <v>1</v>
      </c>
      <c r="H990" s="395">
        <v>29879.22</v>
      </c>
      <c r="I990" s="394">
        <v>398.62</v>
      </c>
      <c r="J990" s="394">
        <v>42684.6</v>
      </c>
      <c r="K990" s="393" t="s">
        <v>1033</v>
      </c>
    </row>
    <row r="991" spans="1:12" hidden="1" x14ac:dyDescent="0.3">
      <c r="A991" s="397" t="s">
        <v>4076</v>
      </c>
      <c r="C991" s="397" t="s">
        <v>1053</v>
      </c>
      <c r="D991" s="397" t="s">
        <v>4075</v>
      </c>
      <c r="E991" s="397" t="s">
        <v>4074</v>
      </c>
      <c r="F991" s="397" t="s">
        <v>191</v>
      </c>
      <c r="G991" s="396">
        <v>1</v>
      </c>
      <c r="H991" s="395">
        <v>43289.917999999998</v>
      </c>
      <c r="I991" s="394">
        <v>250.08</v>
      </c>
      <c r="J991" s="394">
        <v>61842.74</v>
      </c>
      <c r="K991" s="393" t="s">
        <v>1033</v>
      </c>
    </row>
    <row r="992" spans="1:12" hidden="1" x14ac:dyDescent="0.3">
      <c r="A992" s="397" t="s">
        <v>3820</v>
      </c>
      <c r="C992" s="397" t="s">
        <v>1053</v>
      </c>
      <c r="D992" s="397" t="s">
        <v>3819</v>
      </c>
      <c r="E992" s="397" t="s">
        <v>3818</v>
      </c>
      <c r="F992" s="397" t="s">
        <v>191</v>
      </c>
      <c r="G992" s="396">
        <v>1</v>
      </c>
      <c r="H992" s="395">
        <v>4434933.6919999998</v>
      </c>
      <c r="I992" s="394">
        <v>594983.80000000005</v>
      </c>
      <c r="J992" s="394">
        <v>6335619.5600000005</v>
      </c>
      <c r="K992" s="393" t="s">
        <v>1033</v>
      </c>
    </row>
    <row r="993" spans="1:11" hidden="1" x14ac:dyDescent="0.3">
      <c r="A993" s="397" t="s">
        <v>4907</v>
      </c>
      <c r="C993" s="397" t="s">
        <v>1053</v>
      </c>
      <c r="D993" s="397" t="s">
        <v>4906</v>
      </c>
      <c r="E993" s="397" t="s">
        <v>4905</v>
      </c>
      <c r="F993" s="397" t="s">
        <v>191</v>
      </c>
      <c r="G993" s="396">
        <v>1</v>
      </c>
      <c r="H993" s="395">
        <v>29879.22</v>
      </c>
      <c r="I993" s="394">
        <v>398.62</v>
      </c>
      <c r="J993" s="394">
        <v>42684.6</v>
      </c>
      <c r="K993" s="393" t="s">
        <v>1033</v>
      </c>
    </row>
    <row r="994" spans="1:11" hidden="1" x14ac:dyDescent="0.3">
      <c r="A994" s="397" t="s">
        <v>1655</v>
      </c>
      <c r="C994" s="397" t="s">
        <v>1053</v>
      </c>
      <c r="D994" s="397" t="s">
        <v>1654</v>
      </c>
      <c r="E994" s="397" t="s">
        <v>1653</v>
      </c>
      <c r="F994" s="397" t="s">
        <v>191</v>
      </c>
      <c r="G994" s="396">
        <v>1</v>
      </c>
      <c r="H994" s="395">
        <v>235947.20100000003</v>
      </c>
      <c r="I994" s="394">
        <v>224545.07</v>
      </c>
      <c r="J994" s="394">
        <v>337067.43</v>
      </c>
      <c r="K994" s="393" t="s">
        <v>1033</v>
      </c>
    </row>
    <row r="995" spans="1:11" hidden="1" x14ac:dyDescent="0.3">
      <c r="A995" s="397" t="s">
        <v>1679</v>
      </c>
      <c r="C995" s="397" t="s">
        <v>1053</v>
      </c>
      <c r="D995" s="397" t="s">
        <v>1678</v>
      </c>
      <c r="E995" s="397" t="s">
        <v>1677</v>
      </c>
      <c r="F995" s="397" t="s">
        <v>191</v>
      </c>
      <c r="G995" s="396">
        <v>4</v>
      </c>
      <c r="H995" s="395">
        <v>121199.04300000001</v>
      </c>
      <c r="I995" s="394">
        <v>118242.97</v>
      </c>
      <c r="J995" s="394">
        <v>173141.49</v>
      </c>
      <c r="K995" s="393" t="s">
        <v>1033</v>
      </c>
    </row>
    <row r="996" spans="1:11" hidden="1" x14ac:dyDescent="0.3">
      <c r="A996" s="397" t="s">
        <v>1611</v>
      </c>
      <c r="C996" s="397" t="s">
        <v>1053</v>
      </c>
      <c r="D996" s="397" t="s">
        <v>1610</v>
      </c>
      <c r="E996" s="397" t="s">
        <v>1609</v>
      </c>
      <c r="F996" s="397" t="s">
        <v>191</v>
      </c>
      <c r="G996" s="396">
        <v>4</v>
      </c>
      <c r="H996" s="395">
        <v>195970.90100000001</v>
      </c>
      <c r="I996" s="394">
        <v>182843.76</v>
      </c>
      <c r="J996" s="394">
        <v>279958.43</v>
      </c>
      <c r="K996" s="393" t="s">
        <v>1033</v>
      </c>
    </row>
    <row r="997" spans="1:11" hidden="1" x14ac:dyDescent="0.3">
      <c r="A997" s="397" t="s">
        <v>1753</v>
      </c>
      <c r="C997" s="397" t="s">
        <v>1053</v>
      </c>
      <c r="D997" s="397" t="s">
        <v>1752</v>
      </c>
      <c r="E997" s="397" t="s">
        <v>1751</v>
      </c>
      <c r="F997" s="397" t="s">
        <v>191</v>
      </c>
      <c r="G997" s="396">
        <v>2</v>
      </c>
      <c r="H997" s="395">
        <v>231234.80100000001</v>
      </c>
      <c r="I997" s="394">
        <v>215745.49</v>
      </c>
      <c r="J997" s="394">
        <v>330335.43</v>
      </c>
      <c r="K997" s="393" t="s">
        <v>1033</v>
      </c>
    </row>
    <row r="998" spans="1:11" hidden="1" x14ac:dyDescent="0.3">
      <c r="A998" s="397" t="s">
        <v>4909</v>
      </c>
      <c r="C998" s="397" t="s">
        <v>1053</v>
      </c>
      <c r="D998" s="397" t="s">
        <v>4908</v>
      </c>
      <c r="E998" s="397" t="s">
        <v>4902</v>
      </c>
      <c r="F998" s="397" t="s">
        <v>191</v>
      </c>
      <c r="G998" s="396">
        <v>1</v>
      </c>
      <c r="H998" s="395">
        <v>27339.095000000001</v>
      </c>
      <c r="I998" s="394">
        <v>158.78</v>
      </c>
      <c r="J998" s="394">
        <v>39055.85</v>
      </c>
      <c r="K998" s="393" t="s">
        <v>1033</v>
      </c>
    </row>
    <row r="999" spans="1:11" hidden="1" x14ac:dyDescent="0.3">
      <c r="A999" s="397" t="s">
        <v>7262</v>
      </c>
      <c r="C999" s="397" t="s">
        <v>1053</v>
      </c>
      <c r="D999" s="397" t="s">
        <v>7261</v>
      </c>
      <c r="E999" s="397" t="s">
        <v>7260</v>
      </c>
      <c r="F999" s="397" t="s">
        <v>191</v>
      </c>
      <c r="G999" s="396">
        <v>1</v>
      </c>
      <c r="H999" s="395">
        <v>879415.103</v>
      </c>
      <c r="I999" s="394">
        <v>658703.77</v>
      </c>
      <c r="J999" s="394">
        <v>1256307.29</v>
      </c>
      <c r="K999" s="393" t="s">
        <v>1033</v>
      </c>
    </row>
    <row r="1000" spans="1:11" hidden="1" x14ac:dyDescent="0.3">
      <c r="A1000" s="397" t="s">
        <v>1626</v>
      </c>
      <c r="C1000" s="397" t="s">
        <v>1053</v>
      </c>
      <c r="D1000" s="397" t="s">
        <v>1625</v>
      </c>
      <c r="E1000" s="397" t="s">
        <v>1624</v>
      </c>
      <c r="F1000" s="397" t="s">
        <v>191</v>
      </c>
      <c r="G1000" s="396">
        <v>2</v>
      </c>
      <c r="H1000" s="395">
        <v>70779.232999999993</v>
      </c>
      <c r="I1000" s="394">
        <v>64114.630000000005</v>
      </c>
      <c r="J1000" s="394">
        <v>101113.19</v>
      </c>
      <c r="K1000" s="393" t="s">
        <v>1033</v>
      </c>
    </row>
    <row r="1001" spans="1:11" hidden="1" x14ac:dyDescent="0.3">
      <c r="A1001" s="397" t="s">
        <v>4131</v>
      </c>
      <c r="C1001" s="397" t="s">
        <v>1053</v>
      </c>
      <c r="D1001" s="397" t="s">
        <v>4130</v>
      </c>
      <c r="E1001" s="397" t="s">
        <v>4129</v>
      </c>
      <c r="F1001" s="397" t="s">
        <v>191</v>
      </c>
      <c r="G1001" s="396">
        <v>1</v>
      </c>
      <c r="H1001" s="395">
        <v>30372.916000000001</v>
      </c>
      <c r="I1001" s="394">
        <v>29067.66</v>
      </c>
      <c r="J1001" s="394">
        <v>43389.88</v>
      </c>
      <c r="K1001" s="393" t="s">
        <v>1033</v>
      </c>
    </row>
    <row r="1002" spans="1:11" hidden="1" x14ac:dyDescent="0.3">
      <c r="A1002" s="397" t="s">
        <v>1700</v>
      </c>
      <c r="C1002" s="397" t="s">
        <v>1053</v>
      </c>
      <c r="D1002" s="397" t="s">
        <v>1699</v>
      </c>
      <c r="E1002" s="397" t="s">
        <v>1698</v>
      </c>
      <c r="F1002" s="397" t="s">
        <v>191</v>
      </c>
      <c r="G1002" s="396">
        <v>2</v>
      </c>
      <c r="H1002" s="395">
        <v>202980.25299999997</v>
      </c>
      <c r="I1002" s="394">
        <v>198029.52000000002</v>
      </c>
      <c r="J1002" s="394">
        <v>289971.78999999998</v>
      </c>
      <c r="K1002" s="393" t="s">
        <v>1033</v>
      </c>
    </row>
    <row r="1003" spans="1:11" hidden="1" x14ac:dyDescent="0.3">
      <c r="A1003" s="397" t="s">
        <v>1688</v>
      </c>
      <c r="C1003" s="397" t="s">
        <v>1053</v>
      </c>
      <c r="D1003" s="397" t="s">
        <v>1687</v>
      </c>
      <c r="E1003" s="397" t="s">
        <v>1686</v>
      </c>
      <c r="F1003" s="397" t="s">
        <v>191</v>
      </c>
      <c r="G1003" s="396">
        <v>1</v>
      </c>
      <c r="H1003" s="395">
        <v>83848.457000000009</v>
      </c>
      <c r="I1003" s="394">
        <v>11331.49</v>
      </c>
      <c r="J1003" s="394">
        <v>119783.51000000001</v>
      </c>
      <c r="K1003" s="393" t="s">
        <v>1033</v>
      </c>
    </row>
    <row r="1004" spans="1:11" hidden="1" x14ac:dyDescent="0.3">
      <c r="A1004" s="397" t="s">
        <v>1608</v>
      </c>
      <c r="C1004" s="397" t="s">
        <v>1053</v>
      </c>
      <c r="D1004" s="397" t="s">
        <v>1607</v>
      </c>
      <c r="E1004" s="397" t="s">
        <v>1606</v>
      </c>
      <c r="F1004" s="397" t="s">
        <v>191</v>
      </c>
      <c r="G1004" s="396">
        <v>3</v>
      </c>
      <c r="H1004" s="395">
        <v>194842.55000000002</v>
      </c>
      <c r="I1004" s="394">
        <v>175564.33000000002</v>
      </c>
      <c r="J1004" s="394">
        <v>278346.5</v>
      </c>
      <c r="K1004" s="393" t="s">
        <v>1033</v>
      </c>
    </row>
    <row r="1005" spans="1:11" hidden="1" x14ac:dyDescent="0.3">
      <c r="A1005" s="397" t="s">
        <v>3825</v>
      </c>
      <c r="C1005" s="397" t="s">
        <v>1053</v>
      </c>
      <c r="D1005" s="397" t="s">
        <v>3824</v>
      </c>
      <c r="E1005" s="397" t="s">
        <v>3815</v>
      </c>
      <c r="F1005" s="397" t="s">
        <v>191</v>
      </c>
      <c r="G1005" s="396">
        <v>1</v>
      </c>
      <c r="H1005" s="395">
        <v>1190675.227</v>
      </c>
      <c r="I1005" s="394">
        <v>8295.67</v>
      </c>
      <c r="J1005" s="394">
        <v>1700964.61</v>
      </c>
      <c r="K1005" s="393" t="s">
        <v>1033</v>
      </c>
    </row>
    <row r="1006" spans="1:11" hidden="1" x14ac:dyDescent="0.3">
      <c r="A1006" s="397" t="s">
        <v>1900</v>
      </c>
      <c r="C1006" s="397" t="s">
        <v>1053</v>
      </c>
      <c r="D1006" s="397" t="s">
        <v>1899</v>
      </c>
      <c r="E1006" s="397" t="s">
        <v>1898</v>
      </c>
      <c r="F1006" s="397" t="s">
        <v>191</v>
      </c>
      <c r="G1006" s="396">
        <v>1</v>
      </c>
      <c r="H1006" s="395">
        <v>721671.68349999993</v>
      </c>
      <c r="I1006" s="394">
        <v>244973.22</v>
      </c>
      <c r="J1006" s="394">
        <v>849025.51</v>
      </c>
      <c r="K1006" s="393" t="s">
        <v>1033</v>
      </c>
    </row>
    <row r="1007" spans="1:11" hidden="1" x14ac:dyDescent="0.3">
      <c r="A1007" s="397" t="s">
        <v>1614</v>
      </c>
      <c r="C1007" s="397" t="s">
        <v>1053</v>
      </c>
      <c r="D1007" s="397" t="s">
        <v>1613</v>
      </c>
      <c r="E1007" s="397" t="s">
        <v>1612</v>
      </c>
      <c r="F1007" s="397" t="s">
        <v>191</v>
      </c>
      <c r="G1007" s="396">
        <v>5</v>
      </c>
      <c r="H1007" s="395">
        <v>217804.307</v>
      </c>
      <c r="I1007" s="394">
        <v>209351.73</v>
      </c>
      <c r="J1007" s="394">
        <v>311149.01</v>
      </c>
      <c r="K1007" s="393" t="s">
        <v>1033</v>
      </c>
    </row>
    <row r="1008" spans="1:11" hidden="1" x14ac:dyDescent="0.3">
      <c r="A1008" s="397" t="s">
        <v>1502</v>
      </c>
      <c r="C1008" s="397" t="s">
        <v>1053</v>
      </c>
      <c r="D1008" s="397" t="s">
        <v>1501</v>
      </c>
      <c r="E1008" s="397" t="s">
        <v>1500</v>
      </c>
      <c r="F1008" s="397" t="s">
        <v>191</v>
      </c>
      <c r="G1008" s="396">
        <v>2</v>
      </c>
      <c r="H1008" s="395">
        <v>6561.3030000000008</v>
      </c>
      <c r="I1008" s="394">
        <v>5213.68</v>
      </c>
      <c r="J1008" s="394">
        <v>9373.2900000000009</v>
      </c>
      <c r="K1008" s="393" t="s">
        <v>1033</v>
      </c>
    </row>
    <row r="1009" spans="1:12" hidden="1" x14ac:dyDescent="0.3">
      <c r="A1009" s="397" t="s">
        <v>1709</v>
      </c>
      <c r="C1009" s="397" t="s">
        <v>1053</v>
      </c>
      <c r="D1009" s="397" t="s">
        <v>1708</v>
      </c>
      <c r="E1009" s="397" t="s">
        <v>1707</v>
      </c>
      <c r="F1009" s="397" t="s">
        <v>191</v>
      </c>
      <c r="G1009" s="396">
        <v>3</v>
      </c>
      <c r="H1009" s="395">
        <v>200803.53300000002</v>
      </c>
      <c r="I1009" s="394">
        <v>195905.89</v>
      </c>
      <c r="J1009" s="394">
        <v>286862.19</v>
      </c>
      <c r="K1009" s="393" t="s">
        <v>1033</v>
      </c>
      <c r="L1009" s="395">
        <v>1</v>
      </c>
    </row>
    <row r="1010" spans="1:12" hidden="1" x14ac:dyDescent="0.3">
      <c r="A1010" s="397" t="s">
        <v>1253</v>
      </c>
      <c r="C1010" s="397" t="s">
        <v>1053</v>
      </c>
      <c r="D1010" s="397" t="s">
        <v>1818</v>
      </c>
      <c r="E1010" s="397" t="s">
        <v>1817</v>
      </c>
      <c r="F1010" s="397" t="s">
        <v>191</v>
      </c>
      <c r="G1010" s="396">
        <v>1</v>
      </c>
      <c r="H1010" s="395">
        <v>77839.12</v>
      </c>
      <c r="I1010" s="394">
        <v>74090.91</v>
      </c>
      <c r="J1010" s="394">
        <v>97298.900000000009</v>
      </c>
      <c r="K1010" s="393" t="s">
        <v>1033</v>
      </c>
    </row>
    <row r="1011" spans="1:12" hidden="1" x14ac:dyDescent="0.3">
      <c r="A1011" s="397" t="s">
        <v>1253</v>
      </c>
      <c r="C1011" s="397" t="s">
        <v>1053</v>
      </c>
      <c r="D1011" s="397" t="s">
        <v>1252</v>
      </c>
      <c r="E1011" s="397" t="s">
        <v>1251</v>
      </c>
      <c r="F1011" s="397" t="s">
        <v>191</v>
      </c>
      <c r="G1011" s="396">
        <v>2</v>
      </c>
      <c r="H1011" s="395">
        <v>425106.29000000004</v>
      </c>
      <c r="I1011" s="394">
        <v>337793.87</v>
      </c>
      <c r="J1011" s="394">
        <v>607294.69999999995</v>
      </c>
      <c r="K1011" s="393" t="s">
        <v>1033</v>
      </c>
    </row>
    <row r="1012" spans="1:12" hidden="1" x14ac:dyDescent="0.3">
      <c r="A1012" s="397" t="s">
        <v>1408</v>
      </c>
      <c r="C1012" s="397" t="s">
        <v>1053</v>
      </c>
      <c r="D1012" s="397" t="s">
        <v>1407</v>
      </c>
      <c r="E1012" s="397" t="s">
        <v>1406</v>
      </c>
      <c r="F1012" s="397" t="s">
        <v>191</v>
      </c>
      <c r="G1012" s="396">
        <v>3</v>
      </c>
      <c r="H1012" s="395">
        <v>48561.94</v>
      </c>
      <c r="I1012" s="394">
        <v>538.4</v>
      </c>
      <c r="J1012" s="394">
        <v>69374.2</v>
      </c>
      <c r="K1012" s="393" t="s">
        <v>1033</v>
      </c>
    </row>
    <row r="1013" spans="1:12" hidden="1" x14ac:dyDescent="0.3">
      <c r="A1013" s="397" t="s">
        <v>1309</v>
      </c>
      <c r="C1013" s="397" t="s">
        <v>1053</v>
      </c>
      <c r="D1013" s="397" t="s">
        <v>1308</v>
      </c>
      <c r="E1013" s="397" t="s">
        <v>1307</v>
      </c>
      <c r="F1013" s="397" t="s">
        <v>191</v>
      </c>
      <c r="G1013" s="396">
        <v>4</v>
      </c>
      <c r="H1013" s="395">
        <v>44264.129000000008</v>
      </c>
      <c r="I1013" s="394">
        <v>608.74</v>
      </c>
      <c r="J1013" s="394">
        <v>63234.47</v>
      </c>
      <c r="K1013" s="393" t="s">
        <v>1033</v>
      </c>
    </row>
    <row r="1014" spans="1:12" hidden="1" x14ac:dyDescent="0.3">
      <c r="A1014" s="397" t="s">
        <v>1280</v>
      </c>
      <c r="C1014" s="397" t="s">
        <v>1053</v>
      </c>
      <c r="D1014" s="397" t="s">
        <v>1279</v>
      </c>
      <c r="E1014" s="397" t="s">
        <v>1278</v>
      </c>
      <c r="F1014" s="397" t="s">
        <v>191</v>
      </c>
      <c r="G1014" s="396">
        <v>9</v>
      </c>
      <c r="H1014" s="395">
        <v>2153.5079999999998</v>
      </c>
      <c r="I1014" s="394">
        <v>589.29999999999995</v>
      </c>
      <c r="J1014" s="394">
        <v>3076.44</v>
      </c>
      <c r="K1014" s="393" t="s">
        <v>1033</v>
      </c>
    </row>
    <row r="1015" spans="1:12" hidden="1" x14ac:dyDescent="0.3">
      <c r="A1015" s="397" t="s">
        <v>1587</v>
      </c>
      <c r="C1015" s="397" t="s">
        <v>1053</v>
      </c>
      <c r="D1015" s="397" t="s">
        <v>1586</v>
      </c>
      <c r="E1015" s="397" t="s">
        <v>1585</v>
      </c>
      <c r="F1015" s="397" t="s">
        <v>191</v>
      </c>
      <c r="G1015" s="396">
        <v>1</v>
      </c>
      <c r="H1015" s="395">
        <v>199473.89</v>
      </c>
      <c r="I1015" s="394">
        <v>136767.21</v>
      </c>
      <c r="J1015" s="394">
        <v>284962.7</v>
      </c>
      <c r="K1015" s="393" t="s">
        <v>1033</v>
      </c>
    </row>
    <row r="1016" spans="1:12" hidden="1" x14ac:dyDescent="0.3">
      <c r="A1016" s="397" t="s">
        <v>5341</v>
      </c>
      <c r="C1016" s="397" t="s">
        <v>1053</v>
      </c>
      <c r="D1016" s="397" t="s">
        <v>5340</v>
      </c>
      <c r="E1016" s="397" t="s">
        <v>5339</v>
      </c>
      <c r="F1016" s="397" t="s">
        <v>191</v>
      </c>
      <c r="G1016" s="396">
        <v>1</v>
      </c>
      <c r="H1016" s="395">
        <v>137844.378</v>
      </c>
      <c r="I1016" s="394">
        <v>96921.41</v>
      </c>
      <c r="J1016" s="394">
        <v>196920.54</v>
      </c>
      <c r="K1016" s="393" t="s">
        <v>1033</v>
      </c>
    </row>
    <row r="1017" spans="1:12" hidden="1" x14ac:dyDescent="0.3">
      <c r="A1017" s="397" t="s">
        <v>1038</v>
      </c>
      <c r="C1017" s="397" t="s">
        <v>1034</v>
      </c>
      <c r="D1017" s="397" t="s">
        <v>1037</v>
      </c>
      <c r="E1017" s="397" t="s">
        <v>1036</v>
      </c>
      <c r="F1017" s="397" t="s">
        <v>416</v>
      </c>
      <c r="G1017" s="396">
        <v>1</v>
      </c>
      <c r="H1017" s="395">
        <v>718.18110000000001</v>
      </c>
      <c r="I1017" s="394">
        <v>718.18000000000006</v>
      </c>
      <c r="J1017" s="394">
        <v>1139.97</v>
      </c>
      <c r="K1017" s="393" t="s">
        <v>1033</v>
      </c>
    </row>
    <row r="1018" spans="1:12" hidden="1" x14ac:dyDescent="0.3">
      <c r="A1018" s="397" t="s">
        <v>4323</v>
      </c>
      <c r="C1018" s="397" t="s">
        <v>1053</v>
      </c>
      <c r="D1018" s="397" t="s">
        <v>4322</v>
      </c>
      <c r="E1018" s="397" t="s">
        <v>4293</v>
      </c>
      <c r="F1018" s="397" t="s">
        <v>191</v>
      </c>
      <c r="G1018" s="396">
        <v>1</v>
      </c>
      <c r="H1018" s="395">
        <v>188661.58499999999</v>
      </c>
      <c r="I1018" s="394">
        <v>182490.28</v>
      </c>
      <c r="J1018" s="394">
        <v>269516.55</v>
      </c>
      <c r="K1018" s="393" t="s">
        <v>1033</v>
      </c>
    </row>
    <row r="1019" spans="1:12" hidden="1" x14ac:dyDescent="0.3">
      <c r="A1019" s="397" t="s">
        <v>1102</v>
      </c>
      <c r="C1019" s="397" t="s">
        <v>1034</v>
      </c>
      <c r="D1019" s="397" t="s">
        <v>1101</v>
      </c>
      <c r="E1019" s="397" t="s">
        <v>1100</v>
      </c>
      <c r="F1019" s="397" t="s">
        <v>416</v>
      </c>
      <c r="G1019" s="396">
        <v>4</v>
      </c>
      <c r="H1019" s="395">
        <v>3974.8254000000006</v>
      </c>
      <c r="I1019" s="394">
        <v>6420.27</v>
      </c>
      <c r="J1019" s="394">
        <v>10191.86</v>
      </c>
      <c r="K1019" s="393" t="s">
        <v>1033</v>
      </c>
      <c r="L1019" s="395">
        <v>3</v>
      </c>
    </row>
    <row r="1020" spans="1:12" hidden="1" x14ac:dyDescent="0.3">
      <c r="A1020" s="397" t="s">
        <v>1105</v>
      </c>
      <c r="C1020" s="397" t="s">
        <v>1034</v>
      </c>
      <c r="D1020" s="397" t="s">
        <v>1104</v>
      </c>
      <c r="E1020" s="397" t="s">
        <v>1103</v>
      </c>
      <c r="F1020" s="397" t="s">
        <v>416</v>
      </c>
      <c r="G1020" s="396">
        <v>3</v>
      </c>
      <c r="H1020" s="395">
        <v>2296.9989</v>
      </c>
      <c r="I1020" s="394">
        <v>2297</v>
      </c>
      <c r="J1020" s="394">
        <v>3646.03</v>
      </c>
      <c r="K1020" s="393" t="s">
        <v>1033</v>
      </c>
    </row>
    <row r="1021" spans="1:12" hidden="1" x14ac:dyDescent="0.3">
      <c r="A1021" s="397" t="s">
        <v>1099</v>
      </c>
      <c r="C1021" s="397" t="s">
        <v>1034</v>
      </c>
      <c r="D1021" s="397" t="s">
        <v>1098</v>
      </c>
      <c r="E1021" s="397" t="s">
        <v>1097</v>
      </c>
      <c r="F1021" s="397" t="s">
        <v>416</v>
      </c>
      <c r="G1021" s="396">
        <v>2</v>
      </c>
      <c r="H1021" s="395">
        <v>6371.0780000000004</v>
      </c>
      <c r="I1021" s="394">
        <v>6782.5</v>
      </c>
      <c r="J1021" s="394">
        <v>9101.5400000000009</v>
      </c>
      <c r="K1021" s="393" t="s">
        <v>1033</v>
      </c>
    </row>
    <row r="1022" spans="1:12" hidden="1" x14ac:dyDescent="0.3">
      <c r="A1022" s="397" t="s">
        <v>1780</v>
      </c>
      <c r="C1022" s="397" t="s">
        <v>1053</v>
      </c>
      <c r="D1022" s="397" t="s">
        <v>1779</v>
      </c>
      <c r="E1022" s="397" t="s">
        <v>1778</v>
      </c>
      <c r="F1022" s="397" t="s">
        <v>191</v>
      </c>
      <c r="G1022" s="396">
        <v>2</v>
      </c>
      <c r="H1022" s="395">
        <v>98282.175999999992</v>
      </c>
      <c r="I1022" s="394">
        <v>96704.13</v>
      </c>
      <c r="J1022" s="394">
        <v>122852.72</v>
      </c>
      <c r="K1022" s="393" t="s">
        <v>1033</v>
      </c>
    </row>
    <row r="1023" spans="1:12" hidden="1" x14ac:dyDescent="0.3">
      <c r="A1023" s="397" t="s">
        <v>1339</v>
      </c>
      <c r="C1023" s="397" t="s">
        <v>1053</v>
      </c>
      <c r="D1023" s="397" t="s">
        <v>1338</v>
      </c>
      <c r="E1023" s="397" t="s">
        <v>1337</v>
      </c>
      <c r="F1023" s="397" t="s">
        <v>191</v>
      </c>
      <c r="G1023" s="396">
        <v>7</v>
      </c>
      <c r="H1023" s="395">
        <v>164369.14199999999</v>
      </c>
      <c r="I1023" s="394">
        <v>153947.44</v>
      </c>
      <c r="J1023" s="394">
        <v>234813.06</v>
      </c>
      <c r="K1023" s="393" t="s">
        <v>1033</v>
      </c>
    </row>
    <row r="1024" spans="1:12" hidden="1" x14ac:dyDescent="0.3">
      <c r="A1024" s="397" t="s">
        <v>1203</v>
      </c>
      <c r="C1024" s="397" t="s">
        <v>1053</v>
      </c>
      <c r="D1024" s="397" t="s">
        <v>1202</v>
      </c>
      <c r="E1024" s="397" t="s">
        <v>1201</v>
      </c>
      <c r="F1024" s="397" t="s">
        <v>191</v>
      </c>
      <c r="G1024" s="396">
        <v>15</v>
      </c>
      <c r="H1024" s="395">
        <v>16293.977000000001</v>
      </c>
      <c r="I1024" s="394">
        <v>3560.6</v>
      </c>
      <c r="J1024" s="394">
        <v>23277.11</v>
      </c>
      <c r="K1024" s="393" t="s">
        <v>1033</v>
      </c>
    </row>
    <row r="1025" spans="1:11" hidden="1" x14ac:dyDescent="0.3">
      <c r="A1025" s="397" t="s">
        <v>1342</v>
      </c>
      <c r="C1025" s="397" t="s">
        <v>1053</v>
      </c>
      <c r="D1025" s="397" t="s">
        <v>1341</v>
      </c>
      <c r="E1025" s="397" t="s">
        <v>1340</v>
      </c>
      <c r="F1025" s="397" t="s">
        <v>191</v>
      </c>
      <c r="G1025" s="396">
        <v>6</v>
      </c>
      <c r="H1025" s="395">
        <v>40989.529000000002</v>
      </c>
      <c r="I1025" s="394">
        <v>3550.31</v>
      </c>
      <c r="J1025" s="394">
        <v>58556.47</v>
      </c>
      <c r="K1025" s="393" t="s">
        <v>1033</v>
      </c>
    </row>
    <row r="1026" spans="1:11" hidden="1" x14ac:dyDescent="0.3">
      <c r="A1026" s="397" t="s">
        <v>1756</v>
      </c>
      <c r="C1026" s="397" t="s">
        <v>1053</v>
      </c>
      <c r="D1026" s="397" t="s">
        <v>1755</v>
      </c>
      <c r="E1026" s="397" t="s">
        <v>1754</v>
      </c>
      <c r="F1026" s="397" t="s">
        <v>191</v>
      </c>
      <c r="G1026" s="396">
        <v>1</v>
      </c>
      <c r="H1026" s="395">
        <v>163861.62100000001</v>
      </c>
      <c r="I1026" s="394">
        <v>143460.94</v>
      </c>
      <c r="J1026" s="394">
        <v>234088.03</v>
      </c>
      <c r="K1026" s="393" t="s">
        <v>1033</v>
      </c>
    </row>
    <row r="1027" spans="1:11" hidden="1" x14ac:dyDescent="0.3">
      <c r="A1027" s="397" t="s">
        <v>3713</v>
      </c>
      <c r="C1027" s="397" t="s">
        <v>1053</v>
      </c>
      <c r="D1027" s="397" t="s">
        <v>3712</v>
      </c>
      <c r="E1027" s="397" t="s">
        <v>3711</v>
      </c>
      <c r="F1027" s="397" t="s">
        <v>191</v>
      </c>
      <c r="G1027" s="396">
        <v>1</v>
      </c>
      <c r="H1027" s="395">
        <v>11865.315000000001</v>
      </c>
      <c r="I1027" s="394">
        <v>10355.959999999999</v>
      </c>
      <c r="J1027" s="394">
        <v>16950.45</v>
      </c>
      <c r="K1027" s="393" t="s">
        <v>1033</v>
      </c>
    </row>
    <row r="1028" spans="1:11" hidden="1" x14ac:dyDescent="0.3">
      <c r="A1028" s="397" t="s">
        <v>1599</v>
      </c>
      <c r="C1028" s="397" t="s">
        <v>1053</v>
      </c>
      <c r="D1028" s="397" t="s">
        <v>1598</v>
      </c>
      <c r="E1028" s="397" t="s">
        <v>1597</v>
      </c>
      <c r="F1028" s="397" t="s">
        <v>191</v>
      </c>
      <c r="G1028" s="396">
        <v>2</v>
      </c>
      <c r="H1028" s="395">
        <v>228246.18600000002</v>
      </c>
      <c r="I1028" s="394">
        <v>223237.29</v>
      </c>
      <c r="J1028" s="394">
        <v>326065.98</v>
      </c>
      <c r="K1028" s="393" t="s">
        <v>1033</v>
      </c>
    </row>
    <row r="1029" spans="1:11" hidden="1" x14ac:dyDescent="0.3">
      <c r="A1029" s="397" t="s">
        <v>3617</v>
      </c>
      <c r="C1029" s="397" t="s">
        <v>1053</v>
      </c>
      <c r="D1029" s="397" t="s">
        <v>3616</v>
      </c>
      <c r="E1029" s="397" t="s">
        <v>3615</v>
      </c>
      <c r="F1029" s="397" t="s">
        <v>191</v>
      </c>
      <c r="G1029" s="396">
        <v>1</v>
      </c>
      <c r="H1029" s="395">
        <v>653069.179</v>
      </c>
      <c r="I1029" s="394">
        <v>636837.64</v>
      </c>
      <c r="J1029" s="394">
        <v>932955.97</v>
      </c>
      <c r="K1029" s="393" t="s">
        <v>1033</v>
      </c>
    </row>
    <row r="1030" spans="1:11" hidden="1" x14ac:dyDescent="0.3">
      <c r="A1030" s="397" t="s">
        <v>3614</v>
      </c>
      <c r="C1030" s="397" t="s">
        <v>1053</v>
      </c>
      <c r="D1030" s="397" t="s">
        <v>3613</v>
      </c>
      <c r="E1030" s="397" t="s">
        <v>3612</v>
      </c>
      <c r="F1030" s="397" t="s">
        <v>191</v>
      </c>
      <c r="G1030" s="396">
        <v>1</v>
      </c>
      <c r="H1030" s="395">
        <v>713758.79400000011</v>
      </c>
      <c r="I1030" s="394">
        <v>1017.21</v>
      </c>
      <c r="J1030" s="394">
        <v>1019655.42</v>
      </c>
      <c r="K1030" s="393" t="s">
        <v>1033</v>
      </c>
    </row>
    <row r="1031" spans="1:11" hidden="1" x14ac:dyDescent="0.3">
      <c r="A1031" s="397" t="s">
        <v>3611</v>
      </c>
      <c r="C1031" s="397" t="s">
        <v>1053</v>
      </c>
      <c r="D1031" s="397" t="s">
        <v>3610</v>
      </c>
      <c r="E1031" s="397" t="s">
        <v>3609</v>
      </c>
      <c r="F1031" s="397" t="s">
        <v>191</v>
      </c>
      <c r="G1031" s="396">
        <v>1</v>
      </c>
      <c r="H1031" s="395">
        <v>736637.81099999999</v>
      </c>
      <c r="I1031" s="394">
        <v>1734.23</v>
      </c>
      <c r="J1031" s="394">
        <v>1052339.73</v>
      </c>
      <c r="K1031" s="393" t="s">
        <v>1033</v>
      </c>
    </row>
    <row r="1032" spans="1:11" hidden="1" x14ac:dyDescent="0.3">
      <c r="A1032" s="397" t="s">
        <v>6321</v>
      </c>
      <c r="C1032" s="397" t="s">
        <v>1053</v>
      </c>
      <c r="D1032" s="397" t="s">
        <v>6320</v>
      </c>
      <c r="E1032" s="397" t="s">
        <v>6319</v>
      </c>
      <c r="F1032" s="397" t="s">
        <v>191</v>
      </c>
      <c r="G1032" s="396">
        <v>1</v>
      </c>
      <c r="H1032" s="395">
        <v>32680.2</v>
      </c>
      <c r="I1032" s="394">
        <v>125.61</v>
      </c>
      <c r="J1032" s="394">
        <v>46686</v>
      </c>
      <c r="K1032" s="393" t="s">
        <v>1033</v>
      </c>
    </row>
    <row r="1033" spans="1:11" hidden="1" x14ac:dyDescent="0.3">
      <c r="A1033" s="397" t="s">
        <v>2448</v>
      </c>
      <c r="C1033" s="397" t="s">
        <v>1053</v>
      </c>
      <c r="D1033" s="397" t="s">
        <v>2447</v>
      </c>
      <c r="E1033" s="397" t="s">
        <v>676</v>
      </c>
      <c r="F1033" s="397" t="s">
        <v>191</v>
      </c>
      <c r="G1033" s="396">
        <v>8</v>
      </c>
      <c r="H1033" s="395">
        <v>17301.214</v>
      </c>
      <c r="I1033" s="394">
        <v>10124.06</v>
      </c>
      <c r="J1033" s="394">
        <v>24716.02</v>
      </c>
      <c r="K1033" s="393" t="s">
        <v>1033</v>
      </c>
    </row>
    <row r="1034" spans="1:11" hidden="1" x14ac:dyDescent="0.3">
      <c r="A1034" s="397" t="s">
        <v>2450</v>
      </c>
      <c r="C1034" s="397" t="s">
        <v>1053</v>
      </c>
      <c r="D1034" s="397" t="s">
        <v>2449</v>
      </c>
      <c r="E1034" s="397" t="s">
        <v>676</v>
      </c>
      <c r="F1034" s="397" t="s">
        <v>191</v>
      </c>
      <c r="G1034" s="396">
        <v>19</v>
      </c>
      <c r="H1034" s="395">
        <v>14289.926000000001</v>
      </c>
      <c r="I1034" s="394">
        <v>8366.41</v>
      </c>
      <c r="J1034" s="394">
        <v>20414.18</v>
      </c>
      <c r="K1034" s="393" t="s">
        <v>1033</v>
      </c>
    </row>
    <row r="1035" spans="1:11" hidden="1" x14ac:dyDescent="0.3">
      <c r="A1035" s="397" t="s">
        <v>2455</v>
      </c>
      <c r="C1035" s="397" t="s">
        <v>1053</v>
      </c>
      <c r="D1035" s="397" t="s">
        <v>2454</v>
      </c>
      <c r="E1035" s="397" t="s">
        <v>2451</v>
      </c>
      <c r="F1035" s="397" t="s">
        <v>191</v>
      </c>
      <c r="G1035" s="396">
        <v>5</v>
      </c>
      <c r="H1035" s="395">
        <v>8431.6049999999996</v>
      </c>
      <c r="I1035" s="394">
        <v>395.5</v>
      </c>
      <c r="J1035" s="394">
        <v>12045.15</v>
      </c>
      <c r="K1035" s="393" t="s">
        <v>1033</v>
      </c>
    </row>
    <row r="1036" spans="1:11" hidden="1" x14ac:dyDescent="0.3">
      <c r="A1036" s="397" t="s">
        <v>2453</v>
      </c>
      <c r="C1036" s="397" t="s">
        <v>1053</v>
      </c>
      <c r="D1036" s="397" t="s">
        <v>2452</v>
      </c>
      <c r="E1036" s="397" t="s">
        <v>2451</v>
      </c>
      <c r="F1036" s="397" t="s">
        <v>191</v>
      </c>
      <c r="G1036" s="396">
        <v>5</v>
      </c>
      <c r="H1036" s="395">
        <v>8431.6049999999996</v>
      </c>
      <c r="I1036" s="394">
        <v>395.5</v>
      </c>
      <c r="J1036" s="394">
        <v>12045.15</v>
      </c>
      <c r="K1036" s="393" t="s">
        <v>1033</v>
      </c>
    </row>
    <row r="1037" spans="1:11" hidden="1" x14ac:dyDescent="0.3">
      <c r="A1037" s="397" t="s">
        <v>3234</v>
      </c>
      <c r="C1037" s="397" t="s">
        <v>1053</v>
      </c>
      <c r="D1037" s="397" t="s">
        <v>3233</v>
      </c>
      <c r="E1037" s="397" t="s">
        <v>2061</v>
      </c>
      <c r="F1037" s="397" t="s">
        <v>191</v>
      </c>
      <c r="G1037" s="396">
        <v>2</v>
      </c>
      <c r="H1037" s="395">
        <v>2792.2859999999996</v>
      </c>
      <c r="I1037" s="394">
        <v>10.98</v>
      </c>
      <c r="J1037" s="394">
        <v>3988.98</v>
      </c>
      <c r="K1037" s="393" t="s">
        <v>1033</v>
      </c>
    </row>
    <row r="1038" spans="1:11" hidden="1" x14ac:dyDescent="0.3">
      <c r="A1038" s="397" t="s">
        <v>3521</v>
      </c>
      <c r="C1038" s="397" t="s">
        <v>1053</v>
      </c>
      <c r="D1038" s="397" t="s">
        <v>3520</v>
      </c>
      <c r="E1038" s="397" t="s">
        <v>3519</v>
      </c>
      <c r="F1038" s="397" t="s">
        <v>191</v>
      </c>
      <c r="G1038" s="396">
        <v>2</v>
      </c>
      <c r="H1038" s="395">
        <v>514488.98200000002</v>
      </c>
      <c r="I1038" s="394">
        <v>505200.32</v>
      </c>
      <c r="J1038" s="394">
        <v>734984.26</v>
      </c>
      <c r="K1038" s="393" t="s">
        <v>1033</v>
      </c>
    </row>
    <row r="1039" spans="1:11" hidden="1" x14ac:dyDescent="0.3">
      <c r="A1039" s="397" t="s">
        <v>7671</v>
      </c>
      <c r="C1039" s="397" t="s">
        <v>1053</v>
      </c>
      <c r="D1039" s="397" t="s">
        <v>7670</v>
      </c>
      <c r="E1039" s="397" t="s">
        <v>7669</v>
      </c>
      <c r="F1039" s="397" t="s">
        <v>191</v>
      </c>
      <c r="G1039" s="396">
        <v>3</v>
      </c>
      <c r="H1039" s="395">
        <v>13632.92</v>
      </c>
      <c r="I1039" s="394">
        <v>13265.29</v>
      </c>
      <c r="J1039" s="394">
        <v>19475.599999999999</v>
      </c>
      <c r="K1039" s="393" t="s">
        <v>1033</v>
      </c>
    </row>
    <row r="1040" spans="1:11" hidden="1" x14ac:dyDescent="0.3">
      <c r="A1040" s="397" t="s">
        <v>3526</v>
      </c>
      <c r="C1040" s="397" t="s">
        <v>1053</v>
      </c>
      <c r="D1040" s="397" t="s">
        <v>3525</v>
      </c>
      <c r="E1040" s="397" t="s">
        <v>3519</v>
      </c>
      <c r="F1040" s="397" t="s">
        <v>191</v>
      </c>
      <c r="G1040" s="396">
        <v>1</v>
      </c>
      <c r="H1040" s="395">
        <v>512822.26799999998</v>
      </c>
      <c r="I1040" s="394">
        <v>511399.10000000003</v>
      </c>
      <c r="J1040" s="394">
        <v>732603.24</v>
      </c>
      <c r="K1040" s="393" t="s">
        <v>1033</v>
      </c>
    </row>
    <row r="1041" spans="1:11" hidden="1" x14ac:dyDescent="0.3">
      <c r="A1041" s="397" t="s">
        <v>3524</v>
      </c>
      <c r="C1041" s="397" t="s">
        <v>1053</v>
      </c>
      <c r="D1041" s="397" t="s">
        <v>3523</v>
      </c>
      <c r="E1041" s="397" t="s">
        <v>3522</v>
      </c>
      <c r="F1041" s="397" t="s">
        <v>191</v>
      </c>
      <c r="G1041" s="396">
        <v>2</v>
      </c>
      <c r="H1041" s="395">
        <v>514488.98200000002</v>
      </c>
      <c r="I1041" s="394">
        <v>505200.32</v>
      </c>
      <c r="J1041" s="394">
        <v>734984.26</v>
      </c>
      <c r="K1041" s="393" t="s">
        <v>1033</v>
      </c>
    </row>
    <row r="1042" spans="1:11" hidden="1" x14ac:dyDescent="0.3">
      <c r="A1042" s="397" t="s">
        <v>6642</v>
      </c>
      <c r="C1042" s="397" t="s">
        <v>1053</v>
      </c>
      <c r="D1042" s="397" t="s">
        <v>6641</v>
      </c>
      <c r="E1042" s="397" t="s">
        <v>6640</v>
      </c>
      <c r="F1042" s="397" t="s">
        <v>191</v>
      </c>
      <c r="G1042" s="396">
        <v>1</v>
      </c>
      <c r="H1042" s="395">
        <v>989845.3459999999</v>
      </c>
      <c r="I1042" s="394">
        <v>4608.3</v>
      </c>
      <c r="J1042" s="394">
        <v>1414064.78</v>
      </c>
      <c r="K1042" s="393" t="s">
        <v>1033</v>
      </c>
    </row>
    <row r="1043" spans="1:11" hidden="1" x14ac:dyDescent="0.3">
      <c r="A1043" s="397" t="s">
        <v>7048</v>
      </c>
      <c r="C1043" s="397" t="s">
        <v>1053</v>
      </c>
      <c r="D1043" s="397" t="s">
        <v>7047</v>
      </c>
      <c r="E1043" s="397" t="s">
        <v>7046</v>
      </c>
      <c r="F1043" s="397" t="s">
        <v>191</v>
      </c>
      <c r="G1043" s="396">
        <v>1</v>
      </c>
      <c r="H1043" s="395">
        <v>233675.91100000002</v>
      </c>
      <c r="J1043" s="394">
        <v>333822.73</v>
      </c>
      <c r="K1043" s="393" t="s">
        <v>1033</v>
      </c>
    </row>
    <row r="1044" spans="1:11" hidden="1" x14ac:dyDescent="0.3">
      <c r="A1044" s="397" t="s">
        <v>7704</v>
      </c>
      <c r="C1044" s="397" t="s">
        <v>1053</v>
      </c>
      <c r="D1044" s="397" t="s">
        <v>7703</v>
      </c>
      <c r="E1044" s="397" t="s">
        <v>7700</v>
      </c>
      <c r="F1044" s="397" t="s">
        <v>191</v>
      </c>
      <c r="G1044" s="396">
        <v>1</v>
      </c>
      <c r="H1044" s="395">
        <v>3449.2920000000004</v>
      </c>
      <c r="I1044" s="394">
        <v>3343.9900000000002</v>
      </c>
      <c r="J1044" s="394">
        <v>4927.5600000000004</v>
      </c>
      <c r="K1044" s="393" t="s">
        <v>1033</v>
      </c>
    </row>
    <row r="1045" spans="1:11" hidden="1" x14ac:dyDescent="0.3">
      <c r="A1045" s="397" t="s">
        <v>7487</v>
      </c>
      <c r="C1045" s="397" t="s">
        <v>1053</v>
      </c>
      <c r="D1045" s="397" t="s">
        <v>7486</v>
      </c>
      <c r="E1045" s="397" t="s">
        <v>7485</v>
      </c>
      <c r="F1045" s="397" t="s">
        <v>191</v>
      </c>
      <c r="G1045" s="396">
        <v>1</v>
      </c>
      <c r="H1045" s="395">
        <v>16855.453999999998</v>
      </c>
      <c r="I1045" s="394">
        <v>235.35</v>
      </c>
      <c r="J1045" s="394">
        <v>24079.22</v>
      </c>
      <c r="K1045" s="393" t="s">
        <v>1033</v>
      </c>
    </row>
    <row r="1046" spans="1:11" hidden="1" x14ac:dyDescent="0.3">
      <c r="A1046" s="397" t="s">
        <v>2423</v>
      </c>
      <c r="C1046" s="397" t="s">
        <v>1053</v>
      </c>
      <c r="D1046" s="397" t="s">
        <v>3827</v>
      </c>
      <c r="E1046" s="397" t="s">
        <v>3826</v>
      </c>
      <c r="F1046" s="397" t="s">
        <v>191</v>
      </c>
      <c r="G1046" s="396">
        <v>1</v>
      </c>
      <c r="H1046" s="395">
        <v>122555.47500000001</v>
      </c>
      <c r="I1046" s="394">
        <v>15650.18</v>
      </c>
      <c r="J1046" s="394">
        <v>175079.25</v>
      </c>
      <c r="K1046" s="393" t="s">
        <v>1033</v>
      </c>
    </row>
    <row r="1047" spans="1:11" hidden="1" x14ac:dyDescent="0.3">
      <c r="A1047" s="397" t="s">
        <v>2423</v>
      </c>
      <c r="C1047" s="397" t="s">
        <v>1053</v>
      </c>
      <c r="D1047" s="397" t="s">
        <v>2422</v>
      </c>
      <c r="E1047" s="397" t="s">
        <v>2421</v>
      </c>
      <c r="F1047" s="397" t="s">
        <v>191</v>
      </c>
      <c r="G1047" s="396">
        <v>2</v>
      </c>
      <c r="H1047" s="395">
        <v>14235.179</v>
      </c>
      <c r="I1047" s="394">
        <v>10998.76</v>
      </c>
      <c r="J1047" s="394">
        <v>20335.97</v>
      </c>
      <c r="K1047" s="393" t="s">
        <v>1033</v>
      </c>
    </row>
    <row r="1048" spans="1:11" hidden="1" x14ac:dyDescent="0.3">
      <c r="A1048" s="397" t="s">
        <v>3022</v>
      </c>
      <c r="C1048" s="397" t="s">
        <v>1053</v>
      </c>
      <c r="D1048" s="397" t="s">
        <v>6477</v>
      </c>
      <c r="E1048" s="397" t="s">
        <v>6468</v>
      </c>
      <c r="F1048" s="397" t="s">
        <v>191</v>
      </c>
      <c r="G1048" s="396">
        <v>1</v>
      </c>
      <c r="H1048" s="395">
        <v>9714.5439999999999</v>
      </c>
      <c r="I1048" s="394">
        <v>56.69</v>
      </c>
      <c r="J1048" s="394">
        <v>13877.92</v>
      </c>
      <c r="K1048" s="393" t="s">
        <v>1033</v>
      </c>
    </row>
    <row r="1049" spans="1:11" hidden="1" x14ac:dyDescent="0.3">
      <c r="A1049" s="397" t="s">
        <v>3022</v>
      </c>
      <c r="C1049" s="397" t="s">
        <v>1053</v>
      </c>
      <c r="D1049" s="397" t="s">
        <v>3021</v>
      </c>
      <c r="E1049" s="397" t="s">
        <v>2026</v>
      </c>
      <c r="F1049" s="397" t="s">
        <v>191</v>
      </c>
      <c r="G1049" s="396">
        <v>5</v>
      </c>
      <c r="H1049" s="395">
        <v>2792.2859999999996</v>
      </c>
      <c r="I1049" s="394">
        <v>2786.66</v>
      </c>
      <c r="J1049" s="394">
        <v>3988.98</v>
      </c>
      <c r="K1049" s="393" t="s">
        <v>1033</v>
      </c>
    </row>
    <row r="1050" spans="1:11" hidden="1" x14ac:dyDescent="0.3">
      <c r="A1050" s="397" t="s">
        <v>3276</v>
      </c>
      <c r="C1050" s="397" t="s">
        <v>1053</v>
      </c>
      <c r="D1050" s="397" t="s">
        <v>7012</v>
      </c>
      <c r="E1050" s="397" t="s">
        <v>7011</v>
      </c>
      <c r="F1050" s="397" t="s">
        <v>191</v>
      </c>
      <c r="G1050" s="396">
        <v>3</v>
      </c>
      <c r="H1050" s="395">
        <v>7172.34</v>
      </c>
      <c r="I1050" s="394">
        <v>7133.85</v>
      </c>
      <c r="J1050" s="394">
        <v>10246.200000000001</v>
      </c>
      <c r="K1050" s="393" t="s">
        <v>1033</v>
      </c>
    </row>
    <row r="1051" spans="1:11" hidden="1" x14ac:dyDescent="0.3">
      <c r="A1051" s="397" t="s">
        <v>3276</v>
      </c>
      <c r="C1051" s="397" t="s">
        <v>1053</v>
      </c>
      <c r="D1051" s="397" t="s">
        <v>3275</v>
      </c>
      <c r="E1051" s="397" t="s">
        <v>2440</v>
      </c>
      <c r="F1051" s="397" t="s">
        <v>191</v>
      </c>
      <c r="G1051" s="396">
        <v>10</v>
      </c>
      <c r="H1051" s="395">
        <v>1872.3040000000001</v>
      </c>
      <c r="I1051" s="394">
        <v>224.37</v>
      </c>
      <c r="J1051" s="394">
        <v>2674.7200000000003</v>
      </c>
      <c r="K1051" s="393" t="s">
        <v>1033</v>
      </c>
    </row>
    <row r="1052" spans="1:11" hidden="1" x14ac:dyDescent="0.3">
      <c r="A1052" s="397" t="s">
        <v>1235</v>
      </c>
      <c r="C1052" s="397" t="s">
        <v>1053</v>
      </c>
      <c r="D1052" s="397" t="s">
        <v>1234</v>
      </c>
      <c r="E1052" s="397" t="s">
        <v>1233</v>
      </c>
      <c r="F1052" s="397" t="s">
        <v>191</v>
      </c>
      <c r="G1052" s="396">
        <v>1</v>
      </c>
      <c r="H1052" s="395">
        <v>538.02</v>
      </c>
      <c r="I1052" s="394">
        <v>13.55</v>
      </c>
      <c r="J1052" s="394">
        <v>768.6</v>
      </c>
      <c r="K1052" s="393" t="s">
        <v>1033</v>
      </c>
    </row>
    <row r="1053" spans="1:11" hidden="1" x14ac:dyDescent="0.3">
      <c r="A1053" s="397" t="s">
        <v>4861</v>
      </c>
      <c r="C1053" s="397" t="s">
        <v>1053</v>
      </c>
      <c r="D1053" s="397" t="s">
        <v>4860</v>
      </c>
      <c r="E1053" s="397" t="s">
        <v>4857</v>
      </c>
      <c r="F1053" s="397" t="s">
        <v>191</v>
      </c>
      <c r="G1053" s="396">
        <v>1</v>
      </c>
      <c r="H1053" s="395">
        <v>76212.948000000004</v>
      </c>
      <c r="I1053" s="394">
        <v>75964.429999999993</v>
      </c>
      <c r="J1053" s="394">
        <v>108875.64</v>
      </c>
      <c r="K1053" s="393" t="s">
        <v>1033</v>
      </c>
    </row>
    <row r="1054" spans="1:11" hidden="1" x14ac:dyDescent="0.3">
      <c r="A1054" s="397" t="s">
        <v>8040</v>
      </c>
      <c r="C1054" s="397" t="s">
        <v>1053</v>
      </c>
      <c r="D1054" s="397" t="s">
        <v>8039</v>
      </c>
      <c r="E1054" s="397" t="s">
        <v>8038</v>
      </c>
      <c r="F1054" s="397" t="s">
        <v>191</v>
      </c>
      <c r="G1054" s="396">
        <v>9</v>
      </c>
      <c r="H1054" s="395">
        <v>21225.4</v>
      </c>
      <c r="I1054" s="394">
        <v>801.42000000000007</v>
      </c>
      <c r="J1054" s="394">
        <v>30322</v>
      </c>
      <c r="K1054" s="393" t="s">
        <v>1033</v>
      </c>
    </row>
    <row r="1055" spans="1:11" hidden="1" x14ac:dyDescent="0.3">
      <c r="A1055" s="397" t="s">
        <v>8293</v>
      </c>
      <c r="C1055" s="397" t="s">
        <v>1053</v>
      </c>
      <c r="D1055" s="397" t="s">
        <v>8292</v>
      </c>
      <c r="E1055" s="397" t="s">
        <v>8291</v>
      </c>
      <c r="F1055" s="397" t="s">
        <v>191</v>
      </c>
      <c r="G1055" s="396">
        <v>2</v>
      </c>
      <c r="H1055" s="395">
        <v>314985.05499999999</v>
      </c>
      <c r="I1055" s="394">
        <v>2637.7200000000003</v>
      </c>
      <c r="J1055" s="394">
        <v>449978.65</v>
      </c>
      <c r="K1055" s="393" t="s">
        <v>1033</v>
      </c>
    </row>
    <row r="1056" spans="1:11" hidden="1" x14ac:dyDescent="0.3">
      <c r="A1056" s="397" t="s">
        <v>7711</v>
      </c>
      <c r="C1056" s="397" t="s">
        <v>1053</v>
      </c>
      <c r="D1056" s="397" t="s">
        <v>7710</v>
      </c>
      <c r="E1056" s="397" t="s">
        <v>7700</v>
      </c>
      <c r="F1056" s="397" t="s">
        <v>191</v>
      </c>
      <c r="G1056" s="396">
        <v>4</v>
      </c>
      <c r="H1056" s="395">
        <v>3558.7930000000001</v>
      </c>
      <c r="I1056" s="394">
        <v>315.52</v>
      </c>
      <c r="J1056" s="394">
        <v>5083.99</v>
      </c>
      <c r="K1056" s="393" t="s">
        <v>1033</v>
      </c>
    </row>
    <row r="1057" spans="1:11" hidden="1" x14ac:dyDescent="0.3">
      <c r="A1057" s="397" t="s">
        <v>4017</v>
      </c>
      <c r="C1057" s="397" t="s">
        <v>1053</v>
      </c>
      <c r="D1057" s="397" t="s">
        <v>4016</v>
      </c>
      <c r="E1057" s="397" t="s">
        <v>4015</v>
      </c>
      <c r="F1057" s="397" t="s">
        <v>191</v>
      </c>
      <c r="G1057" s="396">
        <v>1</v>
      </c>
      <c r="H1057" s="395">
        <v>138372.255</v>
      </c>
      <c r="I1057" s="394">
        <v>13552.08</v>
      </c>
      <c r="J1057" s="394">
        <v>197674.65</v>
      </c>
      <c r="K1057" s="393" t="s">
        <v>1033</v>
      </c>
    </row>
    <row r="1058" spans="1:11" hidden="1" x14ac:dyDescent="0.3">
      <c r="A1058" s="397" t="s">
        <v>3370</v>
      </c>
      <c r="C1058" s="397" t="s">
        <v>1053</v>
      </c>
      <c r="D1058" s="397" t="s">
        <v>3369</v>
      </c>
      <c r="E1058" s="397" t="s">
        <v>676</v>
      </c>
      <c r="F1058" s="397" t="s">
        <v>191</v>
      </c>
      <c r="G1058" s="396">
        <v>10</v>
      </c>
      <c r="H1058" s="395">
        <v>2496.4029999999998</v>
      </c>
      <c r="I1058" s="394">
        <v>299.16000000000003</v>
      </c>
      <c r="J1058" s="394">
        <v>3566.29</v>
      </c>
      <c r="K1058" s="393" t="s">
        <v>1033</v>
      </c>
    </row>
    <row r="1059" spans="1:11" hidden="1" x14ac:dyDescent="0.3">
      <c r="A1059" s="397" t="s">
        <v>2446</v>
      </c>
      <c r="C1059" s="397" t="s">
        <v>1053</v>
      </c>
      <c r="D1059" s="397" t="s">
        <v>2445</v>
      </c>
      <c r="E1059" s="397" t="s">
        <v>676</v>
      </c>
      <c r="F1059" s="397" t="s">
        <v>191</v>
      </c>
      <c r="G1059" s="396">
        <v>4</v>
      </c>
      <c r="H1059" s="395">
        <v>14289.926000000001</v>
      </c>
      <c r="I1059" s="394">
        <v>6542.29</v>
      </c>
      <c r="J1059" s="394">
        <v>20414.18</v>
      </c>
      <c r="K1059" s="393" t="s">
        <v>1033</v>
      </c>
    </row>
    <row r="1060" spans="1:11" hidden="1" x14ac:dyDescent="0.3">
      <c r="A1060" s="397" t="s">
        <v>1048</v>
      </c>
      <c r="C1060" s="397" t="s">
        <v>1034</v>
      </c>
      <c r="D1060" s="397" t="s">
        <v>1047</v>
      </c>
      <c r="E1060" s="397" t="s">
        <v>1046</v>
      </c>
      <c r="F1060" s="397" t="s">
        <v>416</v>
      </c>
      <c r="G1060" s="396">
        <v>15</v>
      </c>
      <c r="I1060" s="394">
        <v>450</v>
      </c>
      <c r="J1060" s="394">
        <v>1850</v>
      </c>
      <c r="K1060" s="393" t="s">
        <v>1033</v>
      </c>
    </row>
    <row r="1061" spans="1:11" hidden="1" x14ac:dyDescent="0.3">
      <c r="A1061" s="397" t="s">
        <v>1147</v>
      </c>
      <c r="C1061" s="397" t="s">
        <v>1034</v>
      </c>
      <c r="D1061" s="397" t="s">
        <v>1146</v>
      </c>
      <c r="E1061" s="397" t="s">
        <v>1145</v>
      </c>
      <c r="F1061" s="397" t="s">
        <v>416</v>
      </c>
      <c r="G1061" s="396">
        <v>9</v>
      </c>
      <c r="H1061" s="395">
        <v>140.14700000000002</v>
      </c>
      <c r="I1061" s="394">
        <v>140.15</v>
      </c>
      <c r="J1061" s="394">
        <v>200.21</v>
      </c>
      <c r="K1061" s="393" t="s">
        <v>1033</v>
      </c>
    </row>
    <row r="1062" spans="1:11" hidden="1" x14ac:dyDescent="0.3">
      <c r="A1062" s="397" t="s">
        <v>8046</v>
      </c>
      <c r="C1062" s="397" t="s">
        <v>1053</v>
      </c>
      <c r="D1062" s="397" t="s">
        <v>8045</v>
      </c>
      <c r="E1062" s="397" t="s">
        <v>8044</v>
      </c>
      <c r="F1062" s="397" t="s">
        <v>191</v>
      </c>
      <c r="G1062" s="396">
        <v>1</v>
      </c>
      <c r="H1062" s="395">
        <v>18888.324000000001</v>
      </c>
      <c r="I1062" s="394">
        <v>1908.47</v>
      </c>
      <c r="J1062" s="394">
        <v>26983.32</v>
      </c>
      <c r="K1062" s="393" t="s">
        <v>1033</v>
      </c>
    </row>
    <row r="1063" spans="1:11" hidden="1" x14ac:dyDescent="0.3">
      <c r="A1063" s="397" t="s">
        <v>8043</v>
      </c>
      <c r="C1063" s="397" t="s">
        <v>1053</v>
      </c>
      <c r="D1063" s="397" t="s">
        <v>8042</v>
      </c>
      <c r="E1063" s="397" t="s">
        <v>8041</v>
      </c>
      <c r="F1063" s="397" t="s">
        <v>191</v>
      </c>
      <c r="G1063" s="396">
        <v>2</v>
      </c>
      <c r="H1063" s="395">
        <v>33118.057000000001</v>
      </c>
      <c r="I1063" s="394">
        <v>1244.3900000000001</v>
      </c>
      <c r="J1063" s="394">
        <v>47311.51</v>
      </c>
      <c r="K1063" s="393" t="s">
        <v>1033</v>
      </c>
    </row>
    <row r="1064" spans="1:11" hidden="1" x14ac:dyDescent="0.3">
      <c r="A1064" s="397" t="s">
        <v>7642</v>
      </c>
      <c r="C1064" s="397" t="s">
        <v>1053</v>
      </c>
      <c r="D1064" s="397" t="s">
        <v>7641</v>
      </c>
      <c r="E1064" s="397" t="s">
        <v>7640</v>
      </c>
      <c r="F1064" s="397" t="s">
        <v>191</v>
      </c>
      <c r="G1064" s="396">
        <v>1</v>
      </c>
      <c r="H1064" s="395">
        <v>39310.992000000006</v>
      </c>
      <c r="I1064" s="394">
        <v>1695.63</v>
      </c>
      <c r="J1064" s="394">
        <v>56158.559999999998</v>
      </c>
      <c r="K1064" s="393" t="s">
        <v>1033</v>
      </c>
    </row>
    <row r="1065" spans="1:11" hidden="1" x14ac:dyDescent="0.3">
      <c r="A1065" s="397" t="s">
        <v>4087</v>
      </c>
      <c r="C1065" s="397" t="s">
        <v>1053</v>
      </c>
      <c r="D1065" s="397" t="s">
        <v>4086</v>
      </c>
      <c r="E1065" s="397" t="s">
        <v>4083</v>
      </c>
      <c r="F1065" s="397" t="s">
        <v>191</v>
      </c>
      <c r="G1065" s="396">
        <v>1</v>
      </c>
      <c r="H1065" s="395">
        <v>77423.548999999999</v>
      </c>
      <c r="I1065" s="394">
        <v>69962.66</v>
      </c>
      <c r="J1065" s="394">
        <v>110605.07</v>
      </c>
      <c r="K1065" s="393" t="s">
        <v>1033</v>
      </c>
    </row>
    <row r="1066" spans="1:11" hidden="1" x14ac:dyDescent="0.3">
      <c r="A1066" s="397" t="s">
        <v>4085</v>
      </c>
      <c r="C1066" s="397" t="s">
        <v>1053</v>
      </c>
      <c r="D1066" s="397" t="s">
        <v>4084</v>
      </c>
      <c r="E1066" s="397" t="s">
        <v>4083</v>
      </c>
      <c r="F1066" s="397" t="s">
        <v>191</v>
      </c>
      <c r="G1066" s="396">
        <v>1</v>
      </c>
      <c r="H1066" s="395">
        <v>77423.548999999999</v>
      </c>
      <c r="I1066" s="394">
        <v>11489.33</v>
      </c>
      <c r="J1066" s="394">
        <v>110605.07</v>
      </c>
      <c r="K1066" s="393" t="s">
        <v>1033</v>
      </c>
    </row>
    <row r="1067" spans="1:11" hidden="1" x14ac:dyDescent="0.3">
      <c r="A1067" s="397" t="s">
        <v>7330</v>
      </c>
      <c r="C1067" s="397" t="s">
        <v>1053</v>
      </c>
      <c r="D1067" s="397" t="s">
        <v>7719</v>
      </c>
      <c r="E1067" s="397" t="s">
        <v>7718</v>
      </c>
      <c r="F1067" s="397" t="s">
        <v>191</v>
      </c>
      <c r="G1067" s="396">
        <v>-1</v>
      </c>
      <c r="H1067" s="395">
        <v>1475.145</v>
      </c>
      <c r="I1067" s="394">
        <v>1393.32</v>
      </c>
      <c r="J1067" s="394">
        <v>2107.35</v>
      </c>
      <c r="K1067" s="393" t="s">
        <v>1033</v>
      </c>
    </row>
    <row r="1068" spans="1:11" hidden="1" x14ac:dyDescent="0.3">
      <c r="A1068" s="397" t="s">
        <v>7330</v>
      </c>
      <c r="C1068" s="397" t="s">
        <v>1053</v>
      </c>
      <c r="D1068" s="397" t="s">
        <v>7329</v>
      </c>
      <c r="E1068" s="397" t="s">
        <v>7328</v>
      </c>
      <c r="F1068" s="397" t="s">
        <v>191</v>
      </c>
      <c r="G1068" s="396">
        <v>3</v>
      </c>
      <c r="H1068" s="395">
        <v>350120.68700000003</v>
      </c>
      <c r="I1068" s="394">
        <v>336907.55</v>
      </c>
      <c r="J1068" s="394">
        <v>500172.41000000003</v>
      </c>
      <c r="K1068" s="393" t="s">
        <v>1033</v>
      </c>
    </row>
    <row r="1069" spans="1:11" hidden="1" x14ac:dyDescent="0.3">
      <c r="A1069" s="397" t="s">
        <v>6480</v>
      </c>
      <c r="C1069" s="397" t="s">
        <v>1053</v>
      </c>
      <c r="D1069" s="397" t="s">
        <v>6479</v>
      </c>
      <c r="E1069" s="397" t="s">
        <v>6478</v>
      </c>
      <c r="F1069" s="397" t="s">
        <v>191</v>
      </c>
      <c r="G1069" s="396">
        <v>1</v>
      </c>
      <c r="H1069" s="395">
        <v>5246.9409999999998</v>
      </c>
      <c r="I1069" s="394">
        <v>5016.6000000000004</v>
      </c>
      <c r="J1069" s="394">
        <v>7495.63</v>
      </c>
      <c r="K1069" s="393" t="s">
        <v>1033</v>
      </c>
    </row>
    <row r="1070" spans="1:11" hidden="1" x14ac:dyDescent="0.3">
      <c r="A1070" s="397" t="s">
        <v>3581</v>
      </c>
      <c r="C1070" s="397" t="s">
        <v>1053</v>
      </c>
      <c r="D1070" s="397" t="s">
        <v>3580</v>
      </c>
      <c r="E1070" s="397" t="s">
        <v>3579</v>
      </c>
      <c r="F1070" s="397" t="s">
        <v>191</v>
      </c>
      <c r="G1070" s="396">
        <v>1</v>
      </c>
      <c r="H1070" s="395">
        <v>126713.09</v>
      </c>
      <c r="I1070" s="394">
        <v>692.62</v>
      </c>
      <c r="J1070" s="394">
        <v>181018.7</v>
      </c>
      <c r="K1070" s="393" t="s">
        <v>1033</v>
      </c>
    </row>
    <row r="1071" spans="1:11" hidden="1" x14ac:dyDescent="0.3">
      <c r="A1071" s="397" t="s">
        <v>7274</v>
      </c>
      <c r="C1071" s="397" t="s">
        <v>1053</v>
      </c>
      <c r="D1071" s="397" t="s">
        <v>7273</v>
      </c>
      <c r="E1071" s="397" t="s">
        <v>7272</v>
      </c>
      <c r="F1071" s="397" t="s">
        <v>191</v>
      </c>
      <c r="G1071" s="396">
        <v>5</v>
      </c>
      <c r="H1071" s="395">
        <v>58146.360999999997</v>
      </c>
      <c r="I1071" s="394">
        <v>55953.68</v>
      </c>
      <c r="J1071" s="394">
        <v>83066.23</v>
      </c>
      <c r="K1071" s="393" t="s">
        <v>1033</v>
      </c>
    </row>
    <row r="1072" spans="1:11" hidden="1" x14ac:dyDescent="0.3">
      <c r="A1072" s="397" t="s">
        <v>7265</v>
      </c>
      <c r="C1072" s="397" t="s">
        <v>1053</v>
      </c>
      <c r="D1072" s="397" t="s">
        <v>7271</v>
      </c>
      <c r="E1072" s="397" t="s">
        <v>7270</v>
      </c>
      <c r="F1072" s="397" t="s">
        <v>191</v>
      </c>
      <c r="G1072" s="396">
        <v>5</v>
      </c>
      <c r="H1072" s="395">
        <v>58146.360999999997</v>
      </c>
      <c r="I1072" s="394">
        <v>55953.68</v>
      </c>
      <c r="J1072" s="394">
        <v>83066.23</v>
      </c>
      <c r="K1072" s="393" t="s">
        <v>1033</v>
      </c>
    </row>
    <row r="1073" spans="1:11" hidden="1" x14ac:dyDescent="0.3">
      <c r="A1073" s="397" t="s">
        <v>7265</v>
      </c>
      <c r="C1073" s="397" t="s">
        <v>1053</v>
      </c>
      <c r="D1073" s="397" t="s">
        <v>7269</v>
      </c>
      <c r="E1073" s="397" t="s">
        <v>7268</v>
      </c>
      <c r="F1073" s="397" t="s">
        <v>191</v>
      </c>
      <c r="G1073" s="396">
        <v>2</v>
      </c>
      <c r="H1073" s="395">
        <v>70670.936000000002</v>
      </c>
      <c r="I1073" s="394">
        <v>66001.350000000006</v>
      </c>
      <c r="J1073" s="394">
        <v>100958.48</v>
      </c>
      <c r="K1073" s="393" t="s">
        <v>1033</v>
      </c>
    </row>
    <row r="1074" spans="1:11" hidden="1" x14ac:dyDescent="0.3">
      <c r="A1074" s="397" t="s">
        <v>7265</v>
      </c>
      <c r="C1074" s="397" t="s">
        <v>1053</v>
      </c>
      <c r="D1074" s="397" t="s">
        <v>7264</v>
      </c>
      <c r="E1074" s="397" t="s">
        <v>7263</v>
      </c>
      <c r="F1074" s="397" t="s">
        <v>191</v>
      </c>
      <c r="G1074" s="396">
        <v>1</v>
      </c>
      <c r="H1074" s="395">
        <v>80735.976999999999</v>
      </c>
      <c r="I1074" s="394">
        <v>77692.160000000003</v>
      </c>
      <c r="J1074" s="394">
        <v>115337.11</v>
      </c>
      <c r="K1074" s="393" t="s">
        <v>1033</v>
      </c>
    </row>
    <row r="1075" spans="1:11" hidden="1" x14ac:dyDescent="0.3">
      <c r="A1075" s="397" t="s">
        <v>6476</v>
      </c>
      <c r="C1075" s="397" t="s">
        <v>1053</v>
      </c>
      <c r="D1075" s="397" t="s">
        <v>6475</v>
      </c>
      <c r="E1075" s="397" t="s">
        <v>6474</v>
      </c>
      <c r="F1075" s="397" t="s">
        <v>191</v>
      </c>
      <c r="G1075" s="396">
        <v>1</v>
      </c>
      <c r="H1075" s="395">
        <v>12102.944</v>
      </c>
      <c r="I1075" s="394">
        <v>61.54</v>
      </c>
      <c r="J1075" s="394">
        <v>17289.919999999998</v>
      </c>
      <c r="K1075" s="393" t="s">
        <v>1033</v>
      </c>
    </row>
    <row r="1076" spans="1:11" hidden="1" x14ac:dyDescent="0.3">
      <c r="A1076" s="397" t="s">
        <v>7234</v>
      </c>
      <c r="C1076" s="397" t="s">
        <v>1053</v>
      </c>
      <c r="D1076" s="397" t="s">
        <v>8037</v>
      </c>
      <c r="E1076" s="397" t="s">
        <v>8036</v>
      </c>
      <c r="F1076" s="397" t="s">
        <v>191</v>
      </c>
      <c r="G1076" s="396">
        <v>2</v>
      </c>
      <c r="H1076" s="395">
        <v>51774.786</v>
      </c>
      <c r="I1076" s="394">
        <v>49309.33</v>
      </c>
      <c r="J1076" s="394">
        <v>73963.98</v>
      </c>
      <c r="K1076" s="393" t="s">
        <v>1033</v>
      </c>
    </row>
    <row r="1077" spans="1:11" hidden="1" x14ac:dyDescent="0.3">
      <c r="A1077" s="397" t="s">
        <v>7234</v>
      </c>
      <c r="C1077" s="397" t="s">
        <v>1053</v>
      </c>
      <c r="D1077" s="397" t="s">
        <v>7687</v>
      </c>
      <c r="E1077" s="397" t="s">
        <v>7686</v>
      </c>
      <c r="F1077" s="397" t="s">
        <v>191</v>
      </c>
      <c r="G1077" s="396">
        <v>1</v>
      </c>
      <c r="H1077" s="395">
        <v>114921.68099999998</v>
      </c>
      <c r="I1077" s="394">
        <v>83796.13</v>
      </c>
      <c r="J1077" s="394">
        <v>164173.82999999999</v>
      </c>
      <c r="K1077" s="393" t="s">
        <v>1033</v>
      </c>
    </row>
    <row r="1078" spans="1:11" hidden="1" x14ac:dyDescent="0.3">
      <c r="A1078" s="397" t="s">
        <v>7234</v>
      </c>
      <c r="C1078" s="397" t="s">
        <v>1053</v>
      </c>
      <c r="D1078" s="397" t="s">
        <v>7233</v>
      </c>
      <c r="E1078" s="397" t="s">
        <v>7232</v>
      </c>
      <c r="F1078" s="397" t="s">
        <v>191</v>
      </c>
      <c r="G1078" s="396">
        <v>2</v>
      </c>
      <c r="H1078" s="395">
        <v>38106.474000000002</v>
      </c>
      <c r="I1078" s="394">
        <v>37448.35</v>
      </c>
      <c r="J1078" s="394">
        <v>54437.82</v>
      </c>
      <c r="K1078" s="393" t="s">
        <v>1033</v>
      </c>
    </row>
    <row r="1079" spans="1:11" hidden="1" x14ac:dyDescent="0.3">
      <c r="A1079" s="397" t="s">
        <v>6862</v>
      </c>
      <c r="C1079" s="397" t="s">
        <v>1053</v>
      </c>
      <c r="D1079" s="397" t="s">
        <v>6861</v>
      </c>
      <c r="E1079" s="397" t="s">
        <v>6860</v>
      </c>
      <c r="F1079" s="397" t="s">
        <v>191</v>
      </c>
      <c r="G1079" s="396">
        <v>3</v>
      </c>
      <c r="H1079" s="395">
        <v>26552.665999999997</v>
      </c>
      <c r="I1079" s="394">
        <v>25697.7</v>
      </c>
      <c r="J1079" s="394">
        <v>37932.379999999997</v>
      </c>
      <c r="K1079" s="393" t="s">
        <v>1033</v>
      </c>
    </row>
    <row r="1080" spans="1:11" hidden="1" x14ac:dyDescent="0.3">
      <c r="A1080" s="397" t="s">
        <v>7071</v>
      </c>
      <c r="C1080" s="397" t="s">
        <v>1053</v>
      </c>
      <c r="D1080" s="397" t="s">
        <v>7070</v>
      </c>
      <c r="E1080" s="397" t="s">
        <v>7064</v>
      </c>
      <c r="F1080" s="397" t="s">
        <v>191</v>
      </c>
      <c r="G1080" s="396">
        <v>1</v>
      </c>
      <c r="H1080" s="395">
        <v>298284.40600000002</v>
      </c>
      <c r="I1080" s="394">
        <v>20927.759999999998</v>
      </c>
      <c r="J1080" s="394">
        <v>426120.58</v>
      </c>
      <c r="K1080" s="393" t="s">
        <v>1033</v>
      </c>
    </row>
    <row r="1081" spans="1:11" hidden="1" x14ac:dyDescent="0.3">
      <c r="A1081" s="397" t="s">
        <v>4649</v>
      </c>
      <c r="C1081" s="397" t="s">
        <v>1053</v>
      </c>
      <c r="D1081" s="397" t="s">
        <v>4648</v>
      </c>
      <c r="E1081" s="397" t="s">
        <v>4647</v>
      </c>
      <c r="F1081" s="397" t="s">
        <v>191</v>
      </c>
      <c r="G1081" s="396">
        <v>1</v>
      </c>
      <c r="H1081" s="395">
        <v>25240.067999999999</v>
      </c>
      <c r="I1081" s="394">
        <v>191.97</v>
      </c>
      <c r="J1081" s="394">
        <v>36057.24</v>
      </c>
      <c r="K1081" s="393" t="s">
        <v>1033</v>
      </c>
    </row>
    <row r="1082" spans="1:11" hidden="1" x14ac:dyDescent="0.3">
      <c r="A1082" s="397" t="s">
        <v>6436</v>
      </c>
      <c r="C1082" s="397" t="s">
        <v>1053</v>
      </c>
      <c r="D1082" s="397" t="s">
        <v>6435</v>
      </c>
      <c r="E1082" s="397" t="s">
        <v>6434</v>
      </c>
      <c r="F1082" s="397" t="s">
        <v>191</v>
      </c>
      <c r="G1082" s="396">
        <v>2</v>
      </c>
      <c r="H1082" s="395">
        <v>55278.65</v>
      </c>
      <c r="I1082" s="394">
        <v>2261.13</v>
      </c>
      <c r="J1082" s="394">
        <v>78969.5</v>
      </c>
      <c r="K1082" s="393" t="s">
        <v>1033</v>
      </c>
    </row>
    <row r="1083" spans="1:11" hidden="1" x14ac:dyDescent="0.3">
      <c r="A1083" s="397" t="s">
        <v>7716</v>
      </c>
      <c r="C1083" s="397" t="s">
        <v>1053</v>
      </c>
      <c r="D1083" s="397" t="s">
        <v>7715</v>
      </c>
      <c r="E1083" s="397" t="s">
        <v>7714</v>
      </c>
      <c r="F1083" s="397" t="s">
        <v>191</v>
      </c>
      <c r="G1083" s="396">
        <v>-2</v>
      </c>
      <c r="H1083" s="395">
        <v>907.78100000000006</v>
      </c>
      <c r="I1083" s="394">
        <v>823.64</v>
      </c>
      <c r="J1083" s="394">
        <v>1296.83</v>
      </c>
      <c r="K1083" s="393" t="s">
        <v>1033</v>
      </c>
    </row>
    <row r="1084" spans="1:11" hidden="1" x14ac:dyDescent="0.3">
      <c r="A1084" s="397" t="s">
        <v>3397</v>
      </c>
      <c r="C1084" s="397" t="s">
        <v>1053</v>
      </c>
      <c r="D1084" s="397" t="s">
        <v>3396</v>
      </c>
      <c r="E1084" s="397" t="s">
        <v>3395</v>
      </c>
      <c r="F1084" s="397" t="s">
        <v>191</v>
      </c>
      <c r="G1084" s="396">
        <v>1</v>
      </c>
      <c r="H1084" s="395">
        <v>14808.213000000002</v>
      </c>
      <c r="I1084" s="394">
        <v>9821.26</v>
      </c>
      <c r="J1084" s="394">
        <v>21154.59</v>
      </c>
      <c r="K1084" s="393" t="s">
        <v>1033</v>
      </c>
    </row>
    <row r="1085" spans="1:11" hidden="1" x14ac:dyDescent="0.3">
      <c r="A1085" s="397" t="s">
        <v>4867</v>
      </c>
      <c r="C1085" s="397" t="s">
        <v>1053</v>
      </c>
      <c r="D1085" s="397" t="s">
        <v>4866</v>
      </c>
      <c r="E1085" s="397" t="s">
        <v>4857</v>
      </c>
      <c r="F1085" s="397" t="s">
        <v>191</v>
      </c>
      <c r="G1085" s="396">
        <v>4</v>
      </c>
      <c r="H1085" s="395">
        <v>68000.345000000001</v>
      </c>
      <c r="I1085" s="394">
        <v>66099.64</v>
      </c>
      <c r="J1085" s="394">
        <v>97143.35</v>
      </c>
      <c r="K1085" s="393" t="s">
        <v>1033</v>
      </c>
    </row>
    <row r="1086" spans="1:11" hidden="1" x14ac:dyDescent="0.3">
      <c r="A1086" s="397" t="s">
        <v>7099</v>
      </c>
      <c r="C1086" s="397" t="s">
        <v>1053</v>
      </c>
      <c r="D1086" s="397" t="s">
        <v>489</v>
      </c>
      <c r="E1086" s="397" t="s">
        <v>490</v>
      </c>
      <c r="F1086" s="397" t="s">
        <v>191</v>
      </c>
      <c r="G1086" s="396">
        <v>1</v>
      </c>
      <c r="H1086" s="395">
        <v>315315.266</v>
      </c>
      <c r="I1086" s="394">
        <v>306779.53000000003</v>
      </c>
      <c r="J1086" s="394">
        <v>450450.38</v>
      </c>
      <c r="K1086" s="393" t="s">
        <v>1033</v>
      </c>
    </row>
    <row r="1087" spans="1:11" hidden="1" x14ac:dyDescent="0.3">
      <c r="A1087" s="397" t="s">
        <v>7724</v>
      </c>
      <c r="C1087" s="397" t="s">
        <v>1053</v>
      </c>
      <c r="D1087" s="397" t="s">
        <v>7723</v>
      </c>
      <c r="E1087" s="397" t="s">
        <v>7720</v>
      </c>
      <c r="F1087" s="397" t="s">
        <v>191</v>
      </c>
      <c r="G1087" s="396">
        <v>8</v>
      </c>
      <c r="H1087" s="395">
        <v>45821.782999999996</v>
      </c>
      <c r="I1087" s="394">
        <v>1821.7</v>
      </c>
      <c r="J1087" s="394">
        <v>65459.69</v>
      </c>
      <c r="K1087" s="393" t="s">
        <v>1033</v>
      </c>
    </row>
    <row r="1088" spans="1:11" hidden="1" x14ac:dyDescent="0.3">
      <c r="A1088" s="397" t="s">
        <v>7819</v>
      </c>
      <c r="C1088" s="397" t="s">
        <v>1053</v>
      </c>
      <c r="D1088" s="397" t="s">
        <v>7818</v>
      </c>
      <c r="E1088" s="397" t="s">
        <v>7817</v>
      </c>
      <c r="F1088" s="397" t="s">
        <v>191</v>
      </c>
      <c r="G1088" s="396">
        <v>1</v>
      </c>
      <c r="H1088" s="395">
        <v>206804.38800000001</v>
      </c>
      <c r="I1088" s="394">
        <v>13456.970000000001</v>
      </c>
      <c r="J1088" s="394">
        <v>295434.84000000003</v>
      </c>
      <c r="K1088" s="393" t="s">
        <v>1033</v>
      </c>
    </row>
    <row r="1089" spans="1:12" hidden="1" x14ac:dyDescent="0.3">
      <c r="A1089" s="397" t="s">
        <v>5018</v>
      </c>
      <c r="C1089" s="397" t="s">
        <v>1053</v>
      </c>
      <c r="D1089" s="397" t="s">
        <v>5017</v>
      </c>
      <c r="E1089" s="397" t="s">
        <v>5016</v>
      </c>
      <c r="F1089" s="397" t="s">
        <v>191</v>
      </c>
      <c r="G1089" s="396">
        <v>2</v>
      </c>
      <c r="H1089" s="395">
        <v>10740.261</v>
      </c>
      <c r="I1089" s="394">
        <v>10166.43</v>
      </c>
      <c r="J1089" s="394">
        <v>15343.23</v>
      </c>
      <c r="K1089" s="393" t="s">
        <v>1033</v>
      </c>
      <c r="L1089" s="395">
        <v>1</v>
      </c>
    </row>
    <row r="1090" spans="1:12" hidden="1" x14ac:dyDescent="0.3">
      <c r="A1090" s="397" t="s">
        <v>7729</v>
      </c>
      <c r="C1090" s="397" t="s">
        <v>1053</v>
      </c>
      <c r="D1090" s="397" t="s">
        <v>7728</v>
      </c>
      <c r="E1090" s="397" t="s">
        <v>7725</v>
      </c>
      <c r="F1090" s="397" t="s">
        <v>191</v>
      </c>
      <c r="G1090" s="396">
        <v>4</v>
      </c>
      <c r="H1090" s="395">
        <v>45278.814000000006</v>
      </c>
      <c r="I1090" s="394">
        <v>137.01</v>
      </c>
      <c r="J1090" s="394">
        <v>64684.020000000004</v>
      </c>
      <c r="K1090" s="393" t="s">
        <v>1033</v>
      </c>
    </row>
    <row r="1091" spans="1:12" hidden="1" x14ac:dyDescent="0.3">
      <c r="A1091" s="397" t="s">
        <v>7722</v>
      </c>
      <c r="C1091" s="397" t="s">
        <v>1053</v>
      </c>
      <c r="D1091" s="397" t="s">
        <v>7721</v>
      </c>
      <c r="E1091" s="397" t="s">
        <v>7720</v>
      </c>
      <c r="F1091" s="397" t="s">
        <v>191</v>
      </c>
      <c r="G1091" s="396">
        <v>4</v>
      </c>
      <c r="H1091" s="395">
        <v>52998.659000000007</v>
      </c>
      <c r="I1091" s="394">
        <v>1539.6000000000001</v>
      </c>
      <c r="J1091" s="394">
        <v>75712.37</v>
      </c>
      <c r="K1091" s="393" t="s">
        <v>1033</v>
      </c>
    </row>
    <row r="1092" spans="1:12" hidden="1" x14ac:dyDescent="0.3">
      <c r="A1092" s="397" t="s">
        <v>7198</v>
      </c>
      <c r="C1092" s="397" t="s">
        <v>1053</v>
      </c>
      <c r="D1092" s="397" t="s">
        <v>7197</v>
      </c>
      <c r="E1092" s="397" t="s">
        <v>7196</v>
      </c>
      <c r="F1092" s="397" t="s">
        <v>191</v>
      </c>
      <c r="G1092" s="396">
        <v>1</v>
      </c>
      <c r="H1092" s="395">
        <v>42596.029000000002</v>
      </c>
      <c r="I1092" s="394">
        <v>24977.13</v>
      </c>
      <c r="J1092" s="394">
        <v>60851.47</v>
      </c>
      <c r="K1092" s="393" t="s">
        <v>1033</v>
      </c>
    </row>
    <row r="1093" spans="1:12" hidden="1" x14ac:dyDescent="0.3">
      <c r="A1093" s="397" t="s">
        <v>3515</v>
      </c>
      <c r="C1093" s="397" t="s">
        <v>1053</v>
      </c>
      <c r="D1093" s="397" t="s">
        <v>6966</v>
      </c>
      <c r="E1093" s="397" t="s">
        <v>491</v>
      </c>
      <c r="F1093" s="397" t="s">
        <v>191</v>
      </c>
      <c r="G1093" s="396">
        <v>4</v>
      </c>
      <c r="H1093" s="395">
        <v>5146.5609999999997</v>
      </c>
      <c r="I1093" s="394">
        <v>3135.9500000000003</v>
      </c>
      <c r="J1093" s="394">
        <v>7352.2300000000005</v>
      </c>
      <c r="K1093" s="393" t="s">
        <v>1033</v>
      </c>
    </row>
    <row r="1094" spans="1:12" hidden="1" x14ac:dyDescent="0.3">
      <c r="A1094" s="397" t="s">
        <v>3515</v>
      </c>
      <c r="C1094" s="397" t="s">
        <v>1053</v>
      </c>
      <c r="D1094" s="397" t="s">
        <v>3514</v>
      </c>
      <c r="E1094" s="397" t="s">
        <v>3503</v>
      </c>
      <c r="F1094" s="397" t="s">
        <v>191</v>
      </c>
      <c r="G1094" s="396">
        <v>1</v>
      </c>
      <c r="H1094" s="395">
        <v>285359.17200000002</v>
      </c>
      <c r="I1094" s="394">
        <v>280192.77</v>
      </c>
      <c r="J1094" s="394">
        <v>407655.96</v>
      </c>
      <c r="K1094" s="393" t="s">
        <v>1033</v>
      </c>
    </row>
    <row r="1095" spans="1:12" hidden="1" x14ac:dyDescent="0.3">
      <c r="A1095" s="397" t="s">
        <v>7727</v>
      </c>
      <c r="C1095" s="397" t="s">
        <v>1053</v>
      </c>
      <c r="D1095" s="397" t="s">
        <v>7726</v>
      </c>
      <c r="E1095" s="397" t="s">
        <v>7725</v>
      </c>
      <c r="F1095" s="397" t="s">
        <v>191</v>
      </c>
      <c r="G1095" s="396">
        <v>8</v>
      </c>
      <c r="H1095" s="395">
        <v>46921.049000000006</v>
      </c>
      <c r="I1095" s="394">
        <v>133.01</v>
      </c>
      <c r="J1095" s="394">
        <v>67030.070000000007</v>
      </c>
      <c r="K1095" s="393" t="s">
        <v>1033</v>
      </c>
    </row>
    <row r="1096" spans="1:12" hidden="1" x14ac:dyDescent="0.3">
      <c r="A1096" s="397" t="s">
        <v>4064</v>
      </c>
      <c r="C1096" s="397" t="s">
        <v>1053</v>
      </c>
      <c r="D1096" s="397" t="s">
        <v>4063</v>
      </c>
      <c r="E1096" s="397" t="s">
        <v>4062</v>
      </c>
      <c r="F1096" s="397" t="s">
        <v>191</v>
      </c>
      <c r="G1096" s="396">
        <v>1</v>
      </c>
      <c r="H1096" s="395">
        <v>41677.432999999997</v>
      </c>
      <c r="I1096" s="394">
        <v>32318.720000000001</v>
      </c>
      <c r="J1096" s="394">
        <v>59539.19</v>
      </c>
      <c r="K1096" s="393" t="s">
        <v>1033</v>
      </c>
    </row>
    <row r="1097" spans="1:12" hidden="1" x14ac:dyDescent="0.3">
      <c r="A1097" s="397" t="s">
        <v>7026</v>
      </c>
      <c r="C1097" s="397" t="s">
        <v>1053</v>
      </c>
      <c r="D1097" s="397" t="s">
        <v>7025</v>
      </c>
      <c r="E1097" s="397" t="s">
        <v>7022</v>
      </c>
      <c r="F1097" s="397" t="s">
        <v>191</v>
      </c>
      <c r="G1097" s="396">
        <v>3</v>
      </c>
      <c r="H1097" s="395">
        <v>163102.28200000001</v>
      </c>
      <c r="I1097" s="394">
        <v>6956.83</v>
      </c>
      <c r="J1097" s="394">
        <v>233003.26</v>
      </c>
      <c r="K1097" s="393" t="s">
        <v>1033</v>
      </c>
    </row>
    <row r="1098" spans="1:12" hidden="1" x14ac:dyDescent="0.3">
      <c r="A1098" s="397" t="s">
        <v>7786</v>
      </c>
      <c r="C1098" s="397" t="s">
        <v>1053</v>
      </c>
      <c r="D1098" s="397" t="s">
        <v>7785</v>
      </c>
      <c r="E1098" s="397" t="s">
        <v>7784</v>
      </c>
      <c r="F1098" s="397" t="s">
        <v>191</v>
      </c>
      <c r="G1098" s="396">
        <v>3</v>
      </c>
      <c r="H1098" s="395">
        <v>51842.370999999999</v>
      </c>
      <c r="I1098" s="394">
        <v>49898.54</v>
      </c>
      <c r="J1098" s="394">
        <v>74060.53</v>
      </c>
      <c r="K1098" s="393" t="s">
        <v>1033</v>
      </c>
    </row>
    <row r="1099" spans="1:12" hidden="1" x14ac:dyDescent="0.3">
      <c r="A1099" s="397" t="s">
        <v>4221</v>
      </c>
      <c r="C1099" s="397" t="s">
        <v>1053</v>
      </c>
      <c r="D1099" s="397" t="s">
        <v>4220</v>
      </c>
      <c r="E1099" s="397" t="s">
        <v>4219</v>
      </c>
      <c r="F1099" s="397" t="s">
        <v>191</v>
      </c>
      <c r="G1099" s="396">
        <v>1</v>
      </c>
      <c r="H1099" s="395">
        <v>38051.251000000004</v>
      </c>
      <c r="I1099" s="394">
        <v>32290.780000000002</v>
      </c>
      <c r="J1099" s="394">
        <v>54358.93</v>
      </c>
      <c r="K1099" s="393" t="s">
        <v>1033</v>
      </c>
    </row>
    <row r="1100" spans="1:12" hidden="1" x14ac:dyDescent="0.3">
      <c r="A1100" s="397" t="s">
        <v>7800</v>
      </c>
      <c r="C1100" s="397" t="s">
        <v>1053</v>
      </c>
      <c r="D1100" s="397" t="s">
        <v>7799</v>
      </c>
      <c r="E1100" s="397" t="s">
        <v>7796</v>
      </c>
      <c r="F1100" s="397" t="s">
        <v>191</v>
      </c>
      <c r="G1100" s="396">
        <v>2</v>
      </c>
      <c r="H1100" s="395">
        <v>222066.495</v>
      </c>
      <c r="I1100" s="394">
        <v>218139.97</v>
      </c>
      <c r="J1100" s="394">
        <v>317237.84999999998</v>
      </c>
      <c r="K1100" s="393" t="s">
        <v>1033</v>
      </c>
    </row>
    <row r="1101" spans="1:12" hidden="1" x14ac:dyDescent="0.3">
      <c r="A1101" s="397" t="s">
        <v>4980</v>
      </c>
      <c r="C1101" s="397" t="s">
        <v>1053</v>
      </c>
      <c r="D1101" s="397" t="s">
        <v>4979</v>
      </c>
      <c r="E1101" s="397" t="s">
        <v>4978</v>
      </c>
      <c r="F1101" s="397" t="s">
        <v>191</v>
      </c>
      <c r="G1101" s="396">
        <v>1</v>
      </c>
      <c r="H1101" s="395">
        <v>1448.9579999999999</v>
      </c>
      <c r="I1101" s="394">
        <v>1074.5999999999999</v>
      </c>
      <c r="J1101" s="394">
        <v>2069.94</v>
      </c>
      <c r="K1101" s="393" t="s">
        <v>1033</v>
      </c>
    </row>
    <row r="1102" spans="1:12" hidden="1" x14ac:dyDescent="0.3">
      <c r="A1102" s="397" t="s">
        <v>7795</v>
      </c>
      <c r="C1102" s="397" t="s">
        <v>1053</v>
      </c>
      <c r="D1102" s="397" t="s">
        <v>7794</v>
      </c>
      <c r="E1102" s="397" t="s">
        <v>7793</v>
      </c>
      <c r="F1102" s="397" t="s">
        <v>191</v>
      </c>
      <c r="G1102" s="396">
        <v>2</v>
      </c>
      <c r="H1102" s="395">
        <v>127842.841</v>
      </c>
      <c r="I1102" s="394">
        <v>121896.99</v>
      </c>
      <c r="J1102" s="394">
        <v>182632.63</v>
      </c>
      <c r="K1102" s="393" t="s">
        <v>1033</v>
      </c>
    </row>
    <row r="1103" spans="1:12" hidden="1" x14ac:dyDescent="0.3">
      <c r="A1103" s="397" t="s">
        <v>7957</v>
      </c>
      <c r="C1103" s="397" t="s">
        <v>1053</v>
      </c>
      <c r="D1103" s="397" t="s">
        <v>7956</v>
      </c>
      <c r="E1103" s="397" t="s">
        <v>7955</v>
      </c>
      <c r="F1103" s="397" t="s">
        <v>191</v>
      </c>
      <c r="G1103" s="396">
        <v>8</v>
      </c>
      <c r="H1103" s="395">
        <v>19801.026000000002</v>
      </c>
      <c r="I1103" s="394">
        <v>28.080000000000002</v>
      </c>
      <c r="J1103" s="394">
        <v>28287.18</v>
      </c>
      <c r="K1103" s="393" t="s">
        <v>1033</v>
      </c>
    </row>
    <row r="1104" spans="1:12" hidden="1" x14ac:dyDescent="0.3">
      <c r="A1104" s="397" t="s">
        <v>4317</v>
      </c>
      <c r="C1104" s="397" t="s">
        <v>1053</v>
      </c>
      <c r="D1104" s="397" t="s">
        <v>4316</v>
      </c>
      <c r="E1104" s="397" t="s">
        <v>4302</v>
      </c>
      <c r="F1104" s="397" t="s">
        <v>191</v>
      </c>
      <c r="G1104" s="396">
        <v>1</v>
      </c>
      <c r="H1104" s="395">
        <v>35076.937000000005</v>
      </c>
      <c r="I1104" s="394">
        <v>17985.03</v>
      </c>
      <c r="J1104" s="394">
        <v>50109.91</v>
      </c>
      <c r="K1104" s="393" t="s">
        <v>1033</v>
      </c>
    </row>
    <row r="1105" spans="1:12" hidden="1" x14ac:dyDescent="0.3">
      <c r="A1105" s="397" t="s">
        <v>3499</v>
      </c>
      <c r="C1105" s="397" t="s">
        <v>1053</v>
      </c>
      <c r="D1105" s="397" t="s">
        <v>6335</v>
      </c>
      <c r="E1105" s="397" t="s">
        <v>6334</v>
      </c>
      <c r="F1105" s="397" t="s">
        <v>191</v>
      </c>
      <c r="G1105" s="396">
        <v>1</v>
      </c>
      <c r="H1105" s="395">
        <v>27290.235000000001</v>
      </c>
      <c r="I1105" s="394">
        <v>21033.360000000001</v>
      </c>
      <c r="J1105" s="394">
        <v>38986.050000000003</v>
      </c>
      <c r="K1105" s="393" t="s">
        <v>1033</v>
      </c>
    </row>
    <row r="1106" spans="1:12" hidden="1" x14ac:dyDescent="0.3">
      <c r="A1106" s="397" t="s">
        <v>3499</v>
      </c>
      <c r="C1106" s="397" t="s">
        <v>1053</v>
      </c>
      <c r="D1106" s="397" t="s">
        <v>3498</v>
      </c>
      <c r="E1106" s="397" t="s">
        <v>3497</v>
      </c>
      <c r="F1106" s="397" t="s">
        <v>191</v>
      </c>
      <c r="G1106" s="396">
        <v>1</v>
      </c>
      <c r="H1106" s="395">
        <v>309658.13199999998</v>
      </c>
      <c r="I1106" s="394">
        <v>304062.08000000002</v>
      </c>
      <c r="J1106" s="394">
        <v>442368.76</v>
      </c>
      <c r="K1106" s="393" t="s">
        <v>1033</v>
      </c>
    </row>
    <row r="1107" spans="1:12" hidden="1" x14ac:dyDescent="0.3">
      <c r="A1107" s="397" t="s">
        <v>6883</v>
      </c>
      <c r="C1107" s="397" t="s">
        <v>1053</v>
      </c>
      <c r="D1107" s="397" t="s">
        <v>6882</v>
      </c>
      <c r="E1107" s="397" t="s">
        <v>6875</v>
      </c>
      <c r="F1107" s="397" t="s">
        <v>191</v>
      </c>
      <c r="G1107" s="396">
        <v>2</v>
      </c>
      <c r="H1107" s="395">
        <v>11460.763999999999</v>
      </c>
      <c r="I1107" s="394">
        <v>406.39</v>
      </c>
      <c r="J1107" s="394">
        <v>16372.52</v>
      </c>
      <c r="K1107" s="393" t="s">
        <v>1033</v>
      </c>
    </row>
    <row r="1108" spans="1:12" hidden="1" x14ac:dyDescent="0.3">
      <c r="A1108" s="397" t="s">
        <v>7452</v>
      </c>
      <c r="C1108" s="397" t="s">
        <v>1053</v>
      </c>
      <c r="D1108" s="397" t="s">
        <v>7451</v>
      </c>
      <c r="E1108" s="397" t="s">
        <v>7450</v>
      </c>
      <c r="F1108" s="397" t="s">
        <v>191</v>
      </c>
      <c r="G1108" s="396">
        <v>1</v>
      </c>
      <c r="H1108" s="395">
        <v>38278.197999999997</v>
      </c>
      <c r="I1108" s="394">
        <v>97.67</v>
      </c>
      <c r="J1108" s="394">
        <v>54683.14</v>
      </c>
      <c r="K1108" s="393" t="s">
        <v>1033</v>
      </c>
    </row>
    <row r="1109" spans="1:12" hidden="1" x14ac:dyDescent="0.3">
      <c r="A1109" s="397" t="s">
        <v>4863</v>
      </c>
      <c r="C1109" s="397" t="s">
        <v>1053</v>
      </c>
      <c r="D1109" s="397" t="s">
        <v>4862</v>
      </c>
      <c r="E1109" s="397" t="s">
        <v>4857</v>
      </c>
      <c r="F1109" s="397" t="s">
        <v>191</v>
      </c>
      <c r="G1109" s="396">
        <v>2</v>
      </c>
      <c r="H1109" s="395">
        <v>76212.948000000004</v>
      </c>
      <c r="I1109" s="394">
        <v>74841.8</v>
      </c>
      <c r="J1109" s="394">
        <v>108875.64</v>
      </c>
      <c r="K1109" s="393" t="s">
        <v>1033</v>
      </c>
    </row>
    <row r="1110" spans="1:12" hidden="1" x14ac:dyDescent="0.3">
      <c r="A1110" s="397" t="s">
        <v>6999</v>
      </c>
      <c r="C1110" s="397" t="s">
        <v>1053</v>
      </c>
      <c r="D1110" s="397" t="s">
        <v>6998</v>
      </c>
      <c r="E1110" s="397" t="s">
        <v>6997</v>
      </c>
      <c r="F1110" s="397" t="s">
        <v>191</v>
      </c>
      <c r="G1110" s="396">
        <v>3</v>
      </c>
      <c r="H1110" s="395">
        <v>64315.600999999995</v>
      </c>
      <c r="I1110" s="394">
        <v>61900.97</v>
      </c>
      <c r="J1110" s="394">
        <v>91879.430000000008</v>
      </c>
      <c r="K1110" s="393" t="s">
        <v>1033</v>
      </c>
      <c r="L1110" s="395">
        <v>-2</v>
      </c>
    </row>
    <row r="1111" spans="1:12" hidden="1" x14ac:dyDescent="0.3">
      <c r="A1111" s="397" t="s">
        <v>3322</v>
      </c>
      <c r="C1111" s="397" t="s">
        <v>1053</v>
      </c>
      <c r="D1111" s="397" t="s">
        <v>3321</v>
      </c>
      <c r="E1111" s="397" t="s">
        <v>676</v>
      </c>
      <c r="F1111" s="397" t="s">
        <v>191</v>
      </c>
      <c r="G1111" s="396">
        <v>5</v>
      </c>
      <c r="H1111" s="395">
        <v>1587.768</v>
      </c>
      <c r="I1111" s="394">
        <v>1099.98</v>
      </c>
      <c r="J1111" s="394">
        <v>2268.2399999999998</v>
      </c>
      <c r="K1111" s="393" t="s">
        <v>1033</v>
      </c>
    </row>
    <row r="1112" spans="1:12" hidden="1" x14ac:dyDescent="0.3">
      <c r="A1112" s="397" t="s">
        <v>2426</v>
      </c>
      <c r="C1112" s="397" t="s">
        <v>1053</v>
      </c>
      <c r="D1112" s="397" t="s">
        <v>2425</v>
      </c>
      <c r="E1112" s="397" t="s">
        <v>2424</v>
      </c>
      <c r="F1112" s="397" t="s">
        <v>191</v>
      </c>
      <c r="G1112" s="396">
        <v>8</v>
      </c>
      <c r="H1112" s="395">
        <v>14013.902</v>
      </c>
      <c r="I1112" s="394">
        <v>27.25</v>
      </c>
      <c r="J1112" s="394">
        <v>20019.86</v>
      </c>
      <c r="K1112" s="393" t="s">
        <v>1033</v>
      </c>
    </row>
    <row r="1113" spans="1:12" hidden="1" x14ac:dyDescent="0.3">
      <c r="A1113" s="397" t="s">
        <v>2431</v>
      </c>
      <c r="C1113" s="397" t="s">
        <v>1053</v>
      </c>
      <c r="D1113" s="397" t="s">
        <v>2430</v>
      </c>
      <c r="E1113" s="397" t="s">
        <v>2427</v>
      </c>
      <c r="F1113" s="397" t="s">
        <v>191</v>
      </c>
      <c r="G1113" s="396">
        <v>8</v>
      </c>
      <c r="H1113" s="395">
        <v>14013.902</v>
      </c>
      <c r="I1113" s="394">
        <v>52.78</v>
      </c>
      <c r="J1113" s="394">
        <v>20019.86</v>
      </c>
      <c r="K1113" s="393" t="s">
        <v>1033</v>
      </c>
    </row>
    <row r="1114" spans="1:12" hidden="1" x14ac:dyDescent="0.3">
      <c r="A1114" s="397" t="s">
        <v>7699</v>
      </c>
      <c r="C1114" s="397" t="s">
        <v>1053</v>
      </c>
      <c r="D1114" s="397" t="s">
        <v>7698</v>
      </c>
      <c r="E1114" s="397" t="s">
        <v>7695</v>
      </c>
      <c r="F1114" s="397" t="s">
        <v>191</v>
      </c>
      <c r="G1114" s="396">
        <v>3</v>
      </c>
      <c r="H1114" s="395">
        <v>25474.672999999999</v>
      </c>
      <c r="I1114" s="394">
        <v>563</v>
      </c>
      <c r="J1114" s="394">
        <v>36392.39</v>
      </c>
      <c r="K1114" s="393" t="s">
        <v>1033</v>
      </c>
    </row>
    <row r="1115" spans="1:12" hidden="1" x14ac:dyDescent="0.3">
      <c r="A1115" s="397" t="s">
        <v>7908</v>
      </c>
      <c r="C1115" s="397" t="s">
        <v>1053</v>
      </c>
      <c r="D1115" s="397" t="s">
        <v>7907</v>
      </c>
      <c r="E1115" s="397" t="s">
        <v>7906</v>
      </c>
      <c r="F1115" s="397" t="s">
        <v>191</v>
      </c>
      <c r="G1115" s="396">
        <v>7</v>
      </c>
      <c r="H1115" s="395">
        <v>47715.360000000001</v>
      </c>
      <c r="I1115" s="394">
        <v>36.06</v>
      </c>
      <c r="J1115" s="394">
        <v>68164.800000000003</v>
      </c>
      <c r="K1115" s="393" t="s">
        <v>1033</v>
      </c>
    </row>
    <row r="1116" spans="1:12" hidden="1" x14ac:dyDescent="0.3">
      <c r="A1116" s="397" t="s">
        <v>2444</v>
      </c>
      <c r="C1116" s="397" t="s">
        <v>1053</v>
      </c>
      <c r="D1116" s="397" t="s">
        <v>2443</v>
      </c>
      <c r="E1116" s="397" t="s">
        <v>676</v>
      </c>
      <c r="F1116" s="397" t="s">
        <v>191</v>
      </c>
      <c r="G1116" s="396">
        <v>4</v>
      </c>
      <c r="H1116" s="395">
        <v>11661.895</v>
      </c>
      <c r="I1116" s="394">
        <v>424.65000000000003</v>
      </c>
      <c r="J1116" s="394">
        <v>16659.849999999999</v>
      </c>
      <c r="K1116" s="393" t="s">
        <v>1033</v>
      </c>
    </row>
    <row r="1117" spans="1:12" hidden="1" x14ac:dyDescent="0.3">
      <c r="A1117" s="397" t="s">
        <v>7959</v>
      </c>
      <c r="C1117" s="397" t="s">
        <v>1053</v>
      </c>
      <c r="D1117" s="397" t="s">
        <v>7958</v>
      </c>
      <c r="E1117" s="397" t="s">
        <v>7955</v>
      </c>
      <c r="F1117" s="397" t="s">
        <v>191</v>
      </c>
      <c r="G1117" s="396">
        <v>6</v>
      </c>
      <c r="H1117" s="395">
        <v>22070.37</v>
      </c>
      <c r="I1117" s="394">
        <v>30.51</v>
      </c>
      <c r="J1117" s="394">
        <v>31529.100000000002</v>
      </c>
      <c r="K1117" s="393" t="s">
        <v>1033</v>
      </c>
    </row>
    <row r="1118" spans="1:12" hidden="1" x14ac:dyDescent="0.3">
      <c r="A1118" s="397" t="s">
        <v>2458</v>
      </c>
      <c r="C1118" s="397" t="s">
        <v>1053</v>
      </c>
      <c r="D1118" s="397" t="s">
        <v>2457</v>
      </c>
      <c r="E1118" s="397" t="s">
        <v>2456</v>
      </c>
      <c r="F1118" s="397" t="s">
        <v>191</v>
      </c>
      <c r="G1118" s="396">
        <v>9</v>
      </c>
      <c r="H1118" s="395">
        <v>12045.152</v>
      </c>
      <c r="I1118" s="394">
        <v>610.29999999999995</v>
      </c>
      <c r="J1118" s="394">
        <v>17207.36</v>
      </c>
      <c r="K1118" s="393" t="s">
        <v>1033</v>
      </c>
    </row>
    <row r="1119" spans="1:12" hidden="1" x14ac:dyDescent="0.3">
      <c r="A1119" s="397" t="s">
        <v>3502</v>
      </c>
      <c r="C1119" s="397" t="s">
        <v>1053</v>
      </c>
      <c r="D1119" s="397" t="s">
        <v>3501</v>
      </c>
      <c r="E1119" s="397" t="s">
        <v>3500</v>
      </c>
      <c r="F1119" s="397" t="s">
        <v>191</v>
      </c>
      <c r="G1119" s="396">
        <v>1</v>
      </c>
      <c r="H1119" s="395">
        <v>275687.93699999998</v>
      </c>
      <c r="I1119" s="394">
        <v>231632.54</v>
      </c>
      <c r="J1119" s="394">
        <v>393839.91000000003</v>
      </c>
      <c r="K1119" s="393" t="s">
        <v>1033</v>
      </c>
    </row>
    <row r="1120" spans="1:12" hidden="1" x14ac:dyDescent="0.3">
      <c r="A1120" s="397" t="s">
        <v>7707</v>
      </c>
      <c r="C1120" s="397" t="s">
        <v>1053</v>
      </c>
      <c r="D1120" s="397" t="s">
        <v>7706</v>
      </c>
      <c r="E1120" s="397" t="s">
        <v>7705</v>
      </c>
      <c r="F1120" s="397" t="s">
        <v>191</v>
      </c>
      <c r="G1120" s="396">
        <v>15</v>
      </c>
      <c r="H1120" s="395">
        <v>3996.797</v>
      </c>
      <c r="I1120" s="394">
        <v>630.72</v>
      </c>
      <c r="J1120" s="394">
        <v>5709.71</v>
      </c>
      <c r="K1120" s="393" t="s">
        <v>1033</v>
      </c>
    </row>
    <row r="1121" spans="1:12" hidden="1" x14ac:dyDescent="0.3">
      <c r="A1121" s="397" t="s">
        <v>7825</v>
      </c>
      <c r="C1121" s="397" t="s">
        <v>1053</v>
      </c>
      <c r="D1121" s="397" t="s">
        <v>7824</v>
      </c>
      <c r="E1121" s="397" t="s">
        <v>7823</v>
      </c>
      <c r="F1121" s="397" t="s">
        <v>191</v>
      </c>
      <c r="G1121" s="396">
        <v>1</v>
      </c>
      <c r="H1121" s="395">
        <v>413031.96200000006</v>
      </c>
      <c r="I1121" s="394">
        <v>13835.33</v>
      </c>
      <c r="J1121" s="394">
        <v>590045.66</v>
      </c>
      <c r="K1121" s="393" t="s">
        <v>1033</v>
      </c>
    </row>
    <row r="1122" spans="1:12" hidden="1" x14ac:dyDescent="0.3">
      <c r="A1122" s="397" t="s">
        <v>2314</v>
      </c>
      <c r="C1122" s="397" t="s">
        <v>1053</v>
      </c>
      <c r="D1122" s="397" t="s">
        <v>2313</v>
      </c>
      <c r="E1122" s="397" t="s">
        <v>2312</v>
      </c>
      <c r="F1122" s="397" t="s">
        <v>191</v>
      </c>
      <c r="G1122" s="396">
        <v>3</v>
      </c>
      <c r="H1122" s="395">
        <v>150578.56099999999</v>
      </c>
      <c r="I1122" s="394">
        <v>144232.87</v>
      </c>
      <c r="J1122" s="394">
        <v>215112.23</v>
      </c>
      <c r="K1122" s="393" t="s">
        <v>1033</v>
      </c>
      <c r="L1122" s="395">
        <v>1</v>
      </c>
    </row>
    <row r="1123" spans="1:12" hidden="1" x14ac:dyDescent="0.3">
      <c r="A1123" s="397" t="s">
        <v>4128</v>
      </c>
      <c r="C1123" s="397" t="s">
        <v>1053</v>
      </c>
      <c r="D1123" s="397" t="s">
        <v>4127</v>
      </c>
      <c r="E1123" s="397" t="s">
        <v>4126</v>
      </c>
      <c r="F1123" s="397" t="s">
        <v>191</v>
      </c>
      <c r="G1123" s="396">
        <v>2</v>
      </c>
      <c r="H1123" s="395">
        <v>20549.753000000001</v>
      </c>
      <c r="I1123" s="394">
        <v>14378.32</v>
      </c>
      <c r="J1123" s="394">
        <v>29356.79</v>
      </c>
      <c r="K1123" s="393" t="s">
        <v>1033</v>
      </c>
    </row>
    <row r="1124" spans="1:12" hidden="1" x14ac:dyDescent="0.3">
      <c r="A1124" s="397" t="s">
        <v>3455</v>
      </c>
      <c r="C1124" s="397" t="s">
        <v>1053</v>
      </c>
      <c r="D1124" s="397" t="s">
        <v>3454</v>
      </c>
      <c r="E1124" s="397" t="s">
        <v>3453</v>
      </c>
      <c r="F1124" s="397" t="s">
        <v>191</v>
      </c>
      <c r="G1124" s="396">
        <v>1</v>
      </c>
      <c r="H1124" s="395">
        <v>505726.09500000003</v>
      </c>
      <c r="I1124" s="394">
        <v>473540.52</v>
      </c>
      <c r="J1124" s="394">
        <v>722465.85</v>
      </c>
      <c r="K1124" s="393" t="s">
        <v>1033</v>
      </c>
      <c r="L1124" s="395">
        <v>1</v>
      </c>
    </row>
    <row r="1125" spans="1:12" hidden="1" x14ac:dyDescent="0.3">
      <c r="A1125" s="397" t="s">
        <v>2309</v>
      </c>
      <c r="C1125" s="397" t="s">
        <v>1053</v>
      </c>
      <c r="D1125" s="397" t="s">
        <v>4019</v>
      </c>
      <c r="E1125" s="397" t="s">
        <v>4018</v>
      </c>
      <c r="F1125" s="397" t="s">
        <v>191</v>
      </c>
      <c r="G1125" s="396">
        <v>1</v>
      </c>
      <c r="H1125" s="395">
        <v>136776.33199999999</v>
      </c>
      <c r="I1125" s="394">
        <v>106052.82</v>
      </c>
      <c r="J1125" s="394">
        <v>195394.76</v>
      </c>
      <c r="K1125" s="393" t="s">
        <v>1033</v>
      </c>
    </row>
    <row r="1126" spans="1:12" hidden="1" x14ac:dyDescent="0.3">
      <c r="A1126" s="397" t="s">
        <v>2309</v>
      </c>
      <c r="C1126" s="397" t="s">
        <v>1053</v>
      </c>
      <c r="D1126" s="397" t="s">
        <v>2308</v>
      </c>
      <c r="E1126" s="397" t="s">
        <v>2307</v>
      </c>
      <c r="F1126" s="397" t="s">
        <v>191</v>
      </c>
      <c r="G1126" s="396">
        <v>1</v>
      </c>
      <c r="H1126" s="395">
        <v>150294.87900000002</v>
      </c>
      <c r="I1126" s="394">
        <v>131077.24</v>
      </c>
      <c r="J1126" s="394">
        <v>214706.97</v>
      </c>
      <c r="K1126" s="393" t="s">
        <v>1033</v>
      </c>
    </row>
    <row r="1127" spans="1:12" hidden="1" x14ac:dyDescent="0.3">
      <c r="A1127" s="397" t="s">
        <v>6904</v>
      </c>
      <c r="C1127" s="397" t="s">
        <v>1053</v>
      </c>
      <c r="D1127" s="397" t="s">
        <v>6903</v>
      </c>
      <c r="E1127" s="397" t="s">
        <v>2979</v>
      </c>
      <c r="F1127" s="397" t="s">
        <v>191</v>
      </c>
      <c r="G1127" s="396">
        <v>1</v>
      </c>
      <c r="H1127" s="395">
        <v>15822.947</v>
      </c>
      <c r="I1127" s="394">
        <v>10842.67</v>
      </c>
      <c r="J1127" s="394">
        <v>22604.21</v>
      </c>
      <c r="K1127" s="393" t="s">
        <v>1033</v>
      </c>
    </row>
    <row r="1128" spans="1:12" hidden="1" x14ac:dyDescent="0.3">
      <c r="A1128" s="397" t="s">
        <v>867</v>
      </c>
      <c r="C1128" s="397" t="s">
        <v>1053</v>
      </c>
      <c r="D1128" s="397" t="s">
        <v>469</v>
      </c>
      <c r="E1128" s="397" t="s">
        <v>470</v>
      </c>
      <c r="F1128" s="397" t="s">
        <v>191</v>
      </c>
      <c r="G1128" s="396">
        <v>3</v>
      </c>
      <c r="H1128" s="395">
        <v>454697.32</v>
      </c>
      <c r="I1128" s="394">
        <v>446799.19</v>
      </c>
      <c r="J1128" s="394">
        <v>649567.6</v>
      </c>
      <c r="K1128" s="393" t="s">
        <v>1033</v>
      </c>
    </row>
    <row r="1129" spans="1:12" hidden="1" x14ac:dyDescent="0.3">
      <c r="A1129" s="397" t="s">
        <v>2831</v>
      </c>
      <c r="C1129" s="397" t="s">
        <v>1053</v>
      </c>
      <c r="D1129" s="397" t="s">
        <v>2865</v>
      </c>
      <c r="E1129" s="397" t="s">
        <v>2864</v>
      </c>
      <c r="F1129" s="397" t="s">
        <v>191</v>
      </c>
      <c r="G1129" s="396">
        <v>2</v>
      </c>
      <c r="H1129" s="395">
        <v>38977.946000000004</v>
      </c>
      <c r="I1129" s="394">
        <v>35892.22</v>
      </c>
      <c r="J1129" s="394">
        <v>55682.78</v>
      </c>
      <c r="K1129" s="393" t="s">
        <v>1033</v>
      </c>
    </row>
    <row r="1130" spans="1:12" hidden="1" x14ac:dyDescent="0.3">
      <c r="A1130" s="397" t="s">
        <v>2831</v>
      </c>
      <c r="C1130" s="397" t="s">
        <v>1053</v>
      </c>
      <c r="D1130" s="397" t="s">
        <v>2830</v>
      </c>
      <c r="E1130" s="397" t="s">
        <v>2829</v>
      </c>
      <c r="F1130" s="397" t="s">
        <v>191</v>
      </c>
      <c r="G1130" s="396">
        <v>1</v>
      </c>
      <c r="H1130" s="395">
        <v>2409.029</v>
      </c>
      <c r="I1130" s="394">
        <v>73.78</v>
      </c>
      <c r="J1130" s="394">
        <v>3441.4700000000003</v>
      </c>
      <c r="K1130" s="393" t="s">
        <v>1033</v>
      </c>
    </row>
    <row r="1131" spans="1:12" hidden="1" x14ac:dyDescent="0.3">
      <c r="A1131" s="397" t="s">
        <v>2834</v>
      </c>
      <c r="C1131" s="397" t="s">
        <v>1053</v>
      </c>
      <c r="D1131" s="397" t="s">
        <v>2833</v>
      </c>
      <c r="E1131" s="397" t="s">
        <v>2832</v>
      </c>
      <c r="F1131" s="397" t="s">
        <v>191</v>
      </c>
      <c r="G1131" s="396">
        <v>2</v>
      </c>
      <c r="H1131" s="395">
        <v>1872.3040000000001</v>
      </c>
      <c r="I1131" s="394">
        <v>13.77</v>
      </c>
      <c r="J1131" s="394">
        <v>2674.7200000000003</v>
      </c>
      <c r="K1131" s="393" t="s">
        <v>1033</v>
      </c>
    </row>
    <row r="1132" spans="1:12" hidden="1" x14ac:dyDescent="0.3">
      <c r="A1132" s="397" t="s">
        <v>4224</v>
      </c>
      <c r="C1132" s="397" t="s">
        <v>1053</v>
      </c>
      <c r="D1132" s="397" t="s">
        <v>4223</v>
      </c>
      <c r="E1132" s="397" t="s">
        <v>4222</v>
      </c>
      <c r="F1132" s="397" t="s">
        <v>191</v>
      </c>
      <c r="G1132" s="396">
        <v>1</v>
      </c>
      <c r="H1132" s="395">
        <v>26401.367999999999</v>
      </c>
      <c r="I1132" s="394">
        <v>232.44</v>
      </c>
      <c r="J1132" s="394">
        <v>37716.239999999998</v>
      </c>
      <c r="K1132" s="393" t="s">
        <v>1033</v>
      </c>
    </row>
    <row r="1133" spans="1:12" hidden="1" x14ac:dyDescent="0.3">
      <c r="A1133" s="397" t="s">
        <v>3510</v>
      </c>
      <c r="C1133" s="397" t="s">
        <v>1053</v>
      </c>
      <c r="D1133" s="397" t="s">
        <v>3509</v>
      </c>
      <c r="E1133" s="397" t="s">
        <v>3508</v>
      </c>
      <c r="F1133" s="397" t="s">
        <v>191</v>
      </c>
      <c r="G1133" s="396">
        <v>1</v>
      </c>
      <c r="H1133" s="395">
        <v>282185.554</v>
      </c>
      <c r="I1133" s="394">
        <v>13209.62</v>
      </c>
      <c r="J1133" s="394">
        <v>403122.22000000003</v>
      </c>
      <c r="K1133" s="393" t="s">
        <v>1033</v>
      </c>
    </row>
    <row r="1134" spans="1:12" hidden="1" x14ac:dyDescent="0.3">
      <c r="A1134" s="397" t="s">
        <v>4651</v>
      </c>
      <c r="C1134" s="397" t="s">
        <v>1053</v>
      </c>
      <c r="D1134" s="397" t="s">
        <v>4650</v>
      </c>
      <c r="E1134" s="397" t="s">
        <v>4647</v>
      </c>
      <c r="F1134" s="397" t="s">
        <v>191</v>
      </c>
      <c r="G1134" s="396">
        <v>2</v>
      </c>
      <c r="H1134" s="395">
        <v>26093.095000000001</v>
      </c>
      <c r="I1134" s="394">
        <v>1112.6400000000001</v>
      </c>
      <c r="J1134" s="394">
        <v>37275.85</v>
      </c>
      <c r="K1134" s="393" t="s">
        <v>1033</v>
      </c>
    </row>
    <row r="1135" spans="1:12" hidden="1" x14ac:dyDescent="0.3">
      <c r="A1135" s="397" t="s">
        <v>7555</v>
      </c>
      <c r="C1135" s="397" t="s">
        <v>1053</v>
      </c>
      <c r="D1135" s="397" t="s">
        <v>7554</v>
      </c>
      <c r="E1135" s="397" t="s">
        <v>5589</v>
      </c>
      <c r="F1135" s="397" t="s">
        <v>191</v>
      </c>
      <c r="G1135" s="396">
        <v>1</v>
      </c>
      <c r="H1135" s="395">
        <v>23821.322000000004</v>
      </c>
      <c r="I1135" s="394">
        <v>49.68</v>
      </c>
      <c r="J1135" s="394">
        <v>34030.46</v>
      </c>
      <c r="K1135" s="393" t="s">
        <v>1033</v>
      </c>
    </row>
    <row r="1136" spans="1:12" hidden="1" x14ac:dyDescent="0.3">
      <c r="A1136" s="397" t="s">
        <v>2139</v>
      </c>
      <c r="C1136" s="397" t="s">
        <v>1053</v>
      </c>
      <c r="D1136" s="397" t="s">
        <v>2138</v>
      </c>
      <c r="E1136" s="397" t="s">
        <v>2137</v>
      </c>
      <c r="F1136" s="397" t="s">
        <v>191</v>
      </c>
      <c r="G1136" s="396">
        <v>1</v>
      </c>
      <c r="H1136" s="395">
        <v>40187</v>
      </c>
      <c r="I1136" s="394">
        <v>38322.660000000003</v>
      </c>
      <c r="J1136" s="394">
        <v>57410</v>
      </c>
      <c r="K1136" s="393" t="s">
        <v>1033</v>
      </c>
    </row>
    <row r="1137" spans="1:11" hidden="1" x14ac:dyDescent="0.3">
      <c r="A1137" s="397" t="s">
        <v>4315</v>
      </c>
      <c r="C1137" s="397" t="s">
        <v>1053</v>
      </c>
      <c r="D1137" s="397" t="s">
        <v>4314</v>
      </c>
      <c r="E1137" s="397" t="s">
        <v>4313</v>
      </c>
      <c r="F1137" s="397" t="s">
        <v>191</v>
      </c>
      <c r="G1137" s="396">
        <v>1</v>
      </c>
      <c r="H1137" s="395">
        <v>93483.256999999998</v>
      </c>
      <c r="I1137" s="394">
        <v>545.30999999999995</v>
      </c>
      <c r="J1137" s="394">
        <v>133547.51</v>
      </c>
      <c r="K1137" s="393" t="s">
        <v>1033</v>
      </c>
    </row>
    <row r="1138" spans="1:11" hidden="1" x14ac:dyDescent="0.3">
      <c r="A1138" s="397" t="s">
        <v>7186</v>
      </c>
      <c r="C1138" s="397" t="s">
        <v>1053</v>
      </c>
      <c r="D1138" s="397" t="s">
        <v>7185</v>
      </c>
      <c r="E1138" s="397" t="s">
        <v>7184</v>
      </c>
      <c r="F1138" s="397" t="s">
        <v>191</v>
      </c>
      <c r="G1138" s="396">
        <v>1</v>
      </c>
      <c r="H1138" s="395">
        <v>12099.898999999999</v>
      </c>
      <c r="I1138" s="394">
        <v>152.94999999999999</v>
      </c>
      <c r="J1138" s="394">
        <v>17285.57</v>
      </c>
      <c r="K1138" s="393" t="s">
        <v>1033</v>
      </c>
    </row>
    <row r="1139" spans="1:11" hidden="1" x14ac:dyDescent="0.3">
      <c r="A1139" s="397" t="s">
        <v>2136</v>
      </c>
      <c r="C1139" s="397" t="s">
        <v>1053</v>
      </c>
      <c r="D1139" s="397" t="s">
        <v>2135</v>
      </c>
      <c r="E1139" s="397" t="s">
        <v>2134</v>
      </c>
      <c r="F1139" s="397" t="s">
        <v>191</v>
      </c>
      <c r="G1139" s="396">
        <v>2</v>
      </c>
      <c r="H1139" s="395">
        <v>40187</v>
      </c>
      <c r="I1139" s="394">
        <v>32708.62</v>
      </c>
      <c r="J1139" s="394">
        <v>57410</v>
      </c>
      <c r="K1139" s="393" t="s">
        <v>1033</v>
      </c>
    </row>
    <row r="1140" spans="1:11" hidden="1" x14ac:dyDescent="0.3">
      <c r="A1140" s="397" t="s">
        <v>7183</v>
      </c>
      <c r="C1140" s="397" t="s">
        <v>1053</v>
      </c>
      <c r="D1140" s="397" t="s">
        <v>7182</v>
      </c>
      <c r="E1140" s="397" t="s">
        <v>7181</v>
      </c>
      <c r="F1140" s="397" t="s">
        <v>191</v>
      </c>
      <c r="G1140" s="396">
        <v>1</v>
      </c>
      <c r="H1140" s="395">
        <v>44786.055999999997</v>
      </c>
      <c r="I1140" s="394">
        <v>176.93</v>
      </c>
      <c r="J1140" s="394">
        <v>63980.08</v>
      </c>
      <c r="K1140" s="393" t="s">
        <v>1033</v>
      </c>
    </row>
    <row r="1141" spans="1:11" hidden="1" x14ac:dyDescent="0.3">
      <c r="A1141" s="397" t="s">
        <v>2141</v>
      </c>
      <c r="C1141" s="397" t="s">
        <v>1053</v>
      </c>
      <c r="D1141" s="397" t="s">
        <v>2140</v>
      </c>
      <c r="E1141" s="397" t="s">
        <v>629</v>
      </c>
      <c r="F1141" s="397" t="s">
        <v>191</v>
      </c>
      <c r="G1141" s="396">
        <v>5</v>
      </c>
      <c r="H1141" s="395">
        <v>13919.346000000001</v>
      </c>
      <c r="I1141" s="394">
        <v>13076.25</v>
      </c>
      <c r="J1141" s="394">
        <v>19884.78</v>
      </c>
      <c r="K1141" s="393" t="s">
        <v>1033</v>
      </c>
    </row>
    <row r="1142" spans="1:11" hidden="1" x14ac:dyDescent="0.3">
      <c r="A1142" s="397" t="s">
        <v>4146</v>
      </c>
      <c r="C1142" s="397" t="s">
        <v>1053</v>
      </c>
      <c r="D1142" s="397" t="s">
        <v>4145</v>
      </c>
      <c r="E1142" s="397" t="s">
        <v>4144</v>
      </c>
      <c r="F1142" s="397" t="s">
        <v>191</v>
      </c>
      <c r="G1142" s="396">
        <v>1</v>
      </c>
      <c r="H1142" s="395">
        <v>23944.297999999999</v>
      </c>
      <c r="I1142" s="394">
        <v>22670.240000000002</v>
      </c>
      <c r="J1142" s="394">
        <v>34206.14</v>
      </c>
      <c r="K1142" s="393" t="s">
        <v>1033</v>
      </c>
    </row>
    <row r="1143" spans="1:11" hidden="1" x14ac:dyDescent="0.3">
      <c r="A1143" s="397" t="s">
        <v>2131</v>
      </c>
      <c r="C1143" s="397" t="s">
        <v>1053</v>
      </c>
      <c r="D1143" s="397" t="s">
        <v>2133</v>
      </c>
      <c r="E1143" s="397" t="s">
        <v>2132</v>
      </c>
      <c r="F1143" s="397" t="s">
        <v>191</v>
      </c>
      <c r="G1143" s="396">
        <v>3</v>
      </c>
      <c r="H1143" s="395">
        <v>18505.732</v>
      </c>
      <c r="I1143" s="394">
        <v>17695.580000000002</v>
      </c>
      <c r="J1143" s="394">
        <v>26436.760000000002</v>
      </c>
      <c r="K1143" s="393" t="s">
        <v>1033</v>
      </c>
    </row>
    <row r="1144" spans="1:11" hidden="1" x14ac:dyDescent="0.3">
      <c r="A1144" s="397" t="s">
        <v>2131</v>
      </c>
      <c r="C1144" s="397" t="s">
        <v>1053</v>
      </c>
      <c r="D1144" s="397" t="s">
        <v>2130</v>
      </c>
      <c r="E1144" s="397" t="s">
        <v>2129</v>
      </c>
      <c r="F1144" s="397" t="s">
        <v>191</v>
      </c>
      <c r="G1144" s="396">
        <v>3</v>
      </c>
      <c r="H1144" s="395">
        <v>40187</v>
      </c>
      <c r="I1144" s="394">
        <v>32708.62</v>
      </c>
      <c r="J1144" s="394">
        <v>57410</v>
      </c>
      <c r="K1144" s="393" t="s">
        <v>1033</v>
      </c>
    </row>
    <row r="1145" spans="1:11" hidden="1" x14ac:dyDescent="0.3">
      <c r="A1145" s="397" t="s">
        <v>1209</v>
      </c>
      <c r="C1145" s="397" t="s">
        <v>1053</v>
      </c>
      <c r="D1145" s="397" t="s">
        <v>1208</v>
      </c>
      <c r="E1145" s="397" t="s">
        <v>1207</v>
      </c>
      <c r="F1145" s="397" t="s">
        <v>191</v>
      </c>
      <c r="G1145" s="396">
        <v>1</v>
      </c>
      <c r="H1145" s="395">
        <v>58042.775000000001</v>
      </c>
      <c r="I1145" s="394">
        <v>909.28</v>
      </c>
      <c r="J1145" s="394">
        <v>82918.25</v>
      </c>
      <c r="K1145" s="393" t="s">
        <v>1033</v>
      </c>
    </row>
    <row r="1146" spans="1:11" hidden="1" x14ac:dyDescent="0.3">
      <c r="A1146" s="397" t="s">
        <v>2173</v>
      </c>
      <c r="C1146" s="397" t="s">
        <v>1053</v>
      </c>
      <c r="D1146" s="397" t="s">
        <v>2172</v>
      </c>
      <c r="E1146" s="397" t="s">
        <v>2171</v>
      </c>
      <c r="F1146" s="397" t="s">
        <v>191</v>
      </c>
      <c r="G1146" s="396">
        <v>8</v>
      </c>
      <c r="H1146" s="395">
        <v>28947.883999999998</v>
      </c>
      <c r="I1146" s="394">
        <v>27203.510000000002</v>
      </c>
      <c r="J1146" s="394">
        <v>41354.120000000003</v>
      </c>
      <c r="K1146" s="393" t="s">
        <v>1033</v>
      </c>
    </row>
    <row r="1147" spans="1:11" hidden="1" x14ac:dyDescent="0.3">
      <c r="A1147" s="397" t="s">
        <v>4304</v>
      </c>
      <c r="C1147" s="397" t="s">
        <v>1053</v>
      </c>
      <c r="D1147" s="397" t="s">
        <v>4303</v>
      </c>
      <c r="E1147" s="397" t="s">
        <v>4302</v>
      </c>
      <c r="F1147" s="397" t="s">
        <v>191</v>
      </c>
      <c r="G1147" s="396">
        <v>1</v>
      </c>
      <c r="H1147" s="395">
        <v>29315.692000000003</v>
      </c>
      <c r="I1147" s="394">
        <v>46.050000000000004</v>
      </c>
      <c r="J1147" s="394">
        <v>41879.56</v>
      </c>
      <c r="K1147" s="393" t="s">
        <v>1033</v>
      </c>
    </row>
    <row r="1148" spans="1:11" hidden="1" x14ac:dyDescent="0.3">
      <c r="A1148" s="397" t="s">
        <v>2161</v>
      </c>
      <c r="C1148" s="397" t="s">
        <v>1053</v>
      </c>
      <c r="D1148" s="397" t="s">
        <v>2160</v>
      </c>
      <c r="E1148" s="397" t="s">
        <v>629</v>
      </c>
      <c r="F1148" s="397" t="s">
        <v>191</v>
      </c>
      <c r="G1148" s="396">
        <v>1</v>
      </c>
      <c r="H1148" s="395">
        <v>2988.6709999999998</v>
      </c>
      <c r="I1148" s="394">
        <v>159.38999999999999</v>
      </c>
      <c r="J1148" s="394">
        <v>4269.53</v>
      </c>
      <c r="K1148" s="393" t="s">
        <v>1033</v>
      </c>
    </row>
    <row r="1149" spans="1:11" hidden="1" x14ac:dyDescent="0.3">
      <c r="A1149" s="397" t="s">
        <v>4307</v>
      </c>
      <c r="C1149" s="397" t="s">
        <v>1053</v>
      </c>
      <c r="D1149" s="397" t="s">
        <v>4306</v>
      </c>
      <c r="E1149" s="397" t="s">
        <v>4305</v>
      </c>
      <c r="F1149" s="397" t="s">
        <v>191</v>
      </c>
      <c r="G1149" s="396">
        <v>1</v>
      </c>
      <c r="H1149" s="395">
        <v>13213.165000000001</v>
      </c>
      <c r="I1149" s="394">
        <v>9019.59</v>
      </c>
      <c r="J1149" s="394">
        <v>18875.95</v>
      </c>
      <c r="K1149" s="393" t="s">
        <v>1033</v>
      </c>
    </row>
    <row r="1150" spans="1:11" hidden="1" x14ac:dyDescent="0.3">
      <c r="A1150" s="397" t="s">
        <v>1995</v>
      </c>
      <c r="C1150" s="397" t="s">
        <v>1053</v>
      </c>
      <c r="D1150" s="397" t="s">
        <v>1994</v>
      </c>
      <c r="E1150" s="397" t="s">
        <v>629</v>
      </c>
      <c r="F1150" s="397" t="s">
        <v>191</v>
      </c>
      <c r="G1150" s="396">
        <v>12</v>
      </c>
      <c r="H1150" s="395">
        <v>2308.6559999999999</v>
      </c>
      <c r="I1150" s="394">
        <v>8.44</v>
      </c>
      <c r="J1150" s="394">
        <v>3298.08</v>
      </c>
      <c r="K1150" s="393" t="s">
        <v>1033</v>
      </c>
    </row>
    <row r="1151" spans="1:11" hidden="1" x14ac:dyDescent="0.3">
      <c r="A1151" s="397" t="s">
        <v>3412</v>
      </c>
      <c r="C1151" s="397" t="s">
        <v>1053</v>
      </c>
      <c r="D1151" s="397" t="s">
        <v>3411</v>
      </c>
      <c r="E1151" s="397" t="s">
        <v>3410</v>
      </c>
      <c r="F1151" s="397" t="s">
        <v>191</v>
      </c>
      <c r="G1151" s="396">
        <v>2</v>
      </c>
      <c r="H1151" s="395">
        <v>16041.948999999999</v>
      </c>
      <c r="I1151" s="394">
        <v>650.47</v>
      </c>
      <c r="J1151" s="394">
        <v>22917.07</v>
      </c>
      <c r="K1151" s="393" t="s">
        <v>1033</v>
      </c>
    </row>
    <row r="1152" spans="1:11" hidden="1" x14ac:dyDescent="0.3">
      <c r="A1152" s="397" t="s">
        <v>4134</v>
      </c>
      <c r="C1152" s="397" t="s">
        <v>1053</v>
      </c>
      <c r="D1152" s="397" t="s">
        <v>4133</v>
      </c>
      <c r="E1152" s="397" t="s">
        <v>4132</v>
      </c>
      <c r="F1152" s="397" t="s">
        <v>191</v>
      </c>
      <c r="G1152" s="396">
        <v>2</v>
      </c>
      <c r="H1152" s="395">
        <v>23104.787999999997</v>
      </c>
      <c r="I1152" s="394">
        <v>22850.63</v>
      </c>
      <c r="J1152" s="394">
        <v>33006.839999999997</v>
      </c>
      <c r="K1152" s="393" t="s">
        <v>1033</v>
      </c>
    </row>
    <row r="1153" spans="1:12" hidden="1" x14ac:dyDescent="0.3">
      <c r="A1153" s="397" t="s">
        <v>2197</v>
      </c>
      <c r="C1153" s="397" t="s">
        <v>1053</v>
      </c>
      <c r="D1153" s="397" t="s">
        <v>2196</v>
      </c>
      <c r="E1153" s="397" t="s">
        <v>629</v>
      </c>
      <c r="F1153" s="397" t="s">
        <v>191</v>
      </c>
      <c r="G1153" s="396">
        <v>2</v>
      </c>
      <c r="H1153" s="395">
        <v>2553.509</v>
      </c>
      <c r="I1153" s="394">
        <v>497.07</v>
      </c>
      <c r="J1153" s="394">
        <v>3647.87</v>
      </c>
      <c r="K1153" s="393" t="s">
        <v>1033</v>
      </c>
    </row>
    <row r="1154" spans="1:12" hidden="1" x14ac:dyDescent="0.3">
      <c r="A1154" s="397" t="s">
        <v>2187</v>
      </c>
      <c r="C1154" s="397" t="s">
        <v>1053</v>
      </c>
      <c r="D1154" s="397" t="s">
        <v>2186</v>
      </c>
      <c r="E1154" s="397" t="s">
        <v>2185</v>
      </c>
      <c r="F1154" s="397" t="s">
        <v>191</v>
      </c>
      <c r="G1154" s="396">
        <v>5</v>
      </c>
      <c r="H1154" s="395">
        <v>24411.051000000003</v>
      </c>
      <c r="I1154" s="394">
        <v>22931.13</v>
      </c>
      <c r="J1154" s="394">
        <v>34872.93</v>
      </c>
      <c r="K1154" s="393" t="s">
        <v>1033</v>
      </c>
    </row>
    <row r="1155" spans="1:12" hidden="1" x14ac:dyDescent="0.3">
      <c r="A1155" s="397" t="s">
        <v>797</v>
      </c>
      <c r="C1155" s="397" t="s">
        <v>1053</v>
      </c>
      <c r="D1155" s="397" t="s">
        <v>653</v>
      </c>
      <c r="E1155" s="397" t="s">
        <v>629</v>
      </c>
      <c r="F1155" s="397" t="s">
        <v>191</v>
      </c>
      <c r="G1155" s="396">
        <v>18</v>
      </c>
      <c r="H1155" s="395">
        <v>9015.4259999999995</v>
      </c>
      <c r="I1155" s="394">
        <v>8850.77</v>
      </c>
      <c r="J1155" s="394">
        <v>12879.18</v>
      </c>
      <c r="K1155" s="393" t="s">
        <v>1033</v>
      </c>
    </row>
    <row r="1156" spans="1:12" hidden="1" x14ac:dyDescent="0.3">
      <c r="A1156" s="397" t="s">
        <v>3443</v>
      </c>
      <c r="C1156" s="397" t="s">
        <v>1053</v>
      </c>
      <c r="D1156" s="397" t="s">
        <v>3442</v>
      </c>
      <c r="E1156" s="397" t="s">
        <v>3441</v>
      </c>
      <c r="F1156" s="397" t="s">
        <v>191</v>
      </c>
      <c r="G1156" s="396">
        <v>2</v>
      </c>
      <c r="H1156" s="395">
        <v>7500.8430000000008</v>
      </c>
      <c r="I1156" s="394">
        <v>50.25</v>
      </c>
      <c r="J1156" s="394">
        <v>10715.49</v>
      </c>
      <c r="K1156" s="393" t="s">
        <v>1033</v>
      </c>
    </row>
    <row r="1157" spans="1:12" hidden="1" x14ac:dyDescent="0.3">
      <c r="A1157" s="397" t="s">
        <v>2152</v>
      </c>
      <c r="C1157" s="397" t="s">
        <v>1053</v>
      </c>
      <c r="D1157" s="397" t="s">
        <v>4301</v>
      </c>
      <c r="E1157" s="397" t="s">
        <v>629</v>
      </c>
      <c r="F1157" s="397" t="s">
        <v>191</v>
      </c>
      <c r="G1157" s="396">
        <v>1</v>
      </c>
      <c r="H1157" s="395">
        <v>32075.007999999998</v>
      </c>
      <c r="I1157" s="394">
        <v>520.83000000000004</v>
      </c>
      <c r="J1157" s="394">
        <v>45821.440000000002</v>
      </c>
      <c r="K1157" s="393" t="s">
        <v>1033</v>
      </c>
    </row>
    <row r="1158" spans="1:12" hidden="1" x14ac:dyDescent="0.3">
      <c r="A1158" s="397" t="s">
        <v>2152</v>
      </c>
      <c r="C1158" s="397" t="s">
        <v>1053</v>
      </c>
      <c r="D1158" s="397" t="s">
        <v>2151</v>
      </c>
      <c r="E1158" s="397" t="s">
        <v>2150</v>
      </c>
      <c r="F1158" s="397" t="s">
        <v>191</v>
      </c>
      <c r="G1158" s="396">
        <v>30</v>
      </c>
      <c r="H1158" s="395">
        <v>5578.6149999999998</v>
      </c>
      <c r="I1158" s="394">
        <v>5249.01</v>
      </c>
      <c r="J1158" s="394">
        <v>7969.45</v>
      </c>
      <c r="K1158" s="393" t="s">
        <v>1033</v>
      </c>
      <c r="L1158" s="395">
        <v>1</v>
      </c>
    </row>
    <row r="1159" spans="1:12" hidden="1" x14ac:dyDescent="0.3">
      <c r="A1159" s="397" t="s">
        <v>4153</v>
      </c>
      <c r="C1159" s="397" t="s">
        <v>1053</v>
      </c>
      <c r="D1159" s="397" t="s">
        <v>4152</v>
      </c>
      <c r="E1159" s="397" t="s">
        <v>642</v>
      </c>
      <c r="F1159" s="397" t="s">
        <v>191</v>
      </c>
      <c r="G1159" s="396">
        <v>2</v>
      </c>
      <c r="H1159" s="395">
        <v>23104.787999999997</v>
      </c>
      <c r="I1159" s="394">
        <v>22512.94</v>
      </c>
      <c r="J1159" s="394">
        <v>33006.839999999997</v>
      </c>
      <c r="K1159" s="393" t="s">
        <v>1033</v>
      </c>
    </row>
    <row r="1160" spans="1:12" hidden="1" x14ac:dyDescent="0.3">
      <c r="A1160" s="397" t="s">
        <v>2200</v>
      </c>
      <c r="C1160" s="397" t="s">
        <v>1053</v>
      </c>
      <c r="D1160" s="397" t="s">
        <v>2199</v>
      </c>
      <c r="E1160" s="397" t="s">
        <v>2198</v>
      </c>
      <c r="F1160" s="397" t="s">
        <v>191</v>
      </c>
      <c r="G1160" s="396">
        <v>5</v>
      </c>
      <c r="H1160" s="395">
        <v>3621.5690000000004</v>
      </c>
      <c r="I1160" s="394">
        <v>13.11</v>
      </c>
      <c r="J1160" s="394">
        <v>5173.67</v>
      </c>
      <c r="K1160" s="393" t="s">
        <v>1033</v>
      </c>
    </row>
    <row r="1161" spans="1:12" hidden="1" x14ac:dyDescent="0.3">
      <c r="A1161" s="397" t="s">
        <v>4143</v>
      </c>
      <c r="C1161" s="397" t="s">
        <v>1053</v>
      </c>
      <c r="D1161" s="397" t="s">
        <v>4142</v>
      </c>
      <c r="E1161" s="397" t="s">
        <v>4141</v>
      </c>
      <c r="F1161" s="397" t="s">
        <v>191</v>
      </c>
      <c r="G1161" s="396">
        <v>1</v>
      </c>
      <c r="H1161" s="395">
        <v>27044.381000000001</v>
      </c>
      <c r="I1161" s="394">
        <v>26136.97</v>
      </c>
      <c r="J1161" s="394">
        <v>38634.83</v>
      </c>
      <c r="K1161" s="393" t="s">
        <v>1033</v>
      </c>
    </row>
    <row r="1162" spans="1:12" hidden="1" x14ac:dyDescent="0.3">
      <c r="A1162" s="397" t="s">
        <v>2147</v>
      </c>
      <c r="C1162" s="397" t="s">
        <v>1053</v>
      </c>
      <c r="D1162" s="397" t="s">
        <v>2146</v>
      </c>
      <c r="E1162" s="397" t="s">
        <v>2145</v>
      </c>
      <c r="F1162" s="397" t="s">
        <v>191</v>
      </c>
      <c r="G1162" s="396">
        <v>6</v>
      </c>
      <c r="H1162" s="395">
        <v>3637.8790000000004</v>
      </c>
      <c r="I1162" s="394">
        <v>3470.4700000000003</v>
      </c>
      <c r="J1162" s="394">
        <v>5196.97</v>
      </c>
      <c r="K1162" s="393" t="s">
        <v>1033</v>
      </c>
    </row>
    <row r="1163" spans="1:12" hidden="1" x14ac:dyDescent="0.3">
      <c r="A1163" s="397" t="s">
        <v>2167</v>
      </c>
      <c r="C1163" s="397" t="s">
        <v>1053</v>
      </c>
      <c r="D1163" s="397" t="s">
        <v>2166</v>
      </c>
      <c r="E1163" s="397" t="s">
        <v>2165</v>
      </c>
      <c r="F1163" s="397" t="s">
        <v>191</v>
      </c>
      <c r="G1163" s="396">
        <v>5</v>
      </c>
      <c r="H1163" s="395">
        <v>46428.262999999999</v>
      </c>
      <c r="I1163" s="394">
        <v>44672.99</v>
      </c>
      <c r="J1163" s="394">
        <v>66326.09</v>
      </c>
      <c r="K1163" s="393" t="s">
        <v>1033</v>
      </c>
    </row>
    <row r="1164" spans="1:12" hidden="1" x14ac:dyDescent="0.3">
      <c r="A1164" s="397" t="s">
        <v>4156</v>
      </c>
      <c r="C1164" s="397" t="s">
        <v>1053</v>
      </c>
      <c r="D1164" s="397" t="s">
        <v>4155</v>
      </c>
      <c r="E1164" s="397" t="s">
        <v>4154</v>
      </c>
      <c r="F1164" s="397" t="s">
        <v>191</v>
      </c>
      <c r="G1164" s="396">
        <v>1</v>
      </c>
      <c r="H1164" s="395">
        <v>24236.303</v>
      </c>
      <c r="I1164" s="394">
        <v>23449.84</v>
      </c>
      <c r="J1164" s="394">
        <v>34623.29</v>
      </c>
      <c r="K1164" s="393" t="s">
        <v>1033</v>
      </c>
    </row>
    <row r="1165" spans="1:12" hidden="1" x14ac:dyDescent="0.3">
      <c r="A1165" s="397" t="s">
        <v>1998</v>
      </c>
      <c r="C1165" s="397" t="s">
        <v>1053</v>
      </c>
      <c r="D1165" s="397" t="s">
        <v>1997</v>
      </c>
      <c r="E1165" s="397" t="s">
        <v>1996</v>
      </c>
      <c r="F1165" s="397" t="s">
        <v>191</v>
      </c>
      <c r="G1165" s="396">
        <v>74</v>
      </c>
      <c r="H1165" s="395">
        <v>3153.598</v>
      </c>
      <c r="I1165" s="394">
        <v>3097.84</v>
      </c>
      <c r="J1165" s="394">
        <v>4505.1400000000003</v>
      </c>
      <c r="K1165" s="393" t="s">
        <v>1033</v>
      </c>
    </row>
    <row r="1166" spans="1:12" hidden="1" x14ac:dyDescent="0.3">
      <c r="A1166" s="397" t="s">
        <v>2001</v>
      </c>
      <c r="C1166" s="397" t="s">
        <v>1053</v>
      </c>
      <c r="D1166" s="397" t="s">
        <v>2000</v>
      </c>
      <c r="E1166" s="397" t="s">
        <v>1999</v>
      </c>
      <c r="F1166" s="397" t="s">
        <v>191</v>
      </c>
      <c r="G1166" s="396">
        <v>7</v>
      </c>
      <c r="H1166" s="395">
        <v>1739.92</v>
      </c>
      <c r="I1166" s="394">
        <v>1667.22</v>
      </c>
      <c r="J1166" s="394">
        <v>2485.6</v>
      </c>
      <c r="K1166" s="393" t="s">
        <v>1033</v>
      </c>
    </row>
    <row r="1167" spans="1:12" hidden="1" x14ac:dyDescent="0.3">
      <c r="A1167" s="397" t="s">
        <v>1993</v>
      </c>
      <c r="C1167" s="397" t="s">
        <v>1053</v>
      </c>
      <c r="D1167" s="397" t="s">
        <v>1992</v>
      </c>
      <c r="E1167" s="397" t="s">
        <v>1991</v>
      </c>
      <c r="F1167" s="397" t="s">
        <v>191</v>
      </c>
      <c r="G1167" s="396">
        <v>33</v>
      </c>
      <c r="H1167" s="395">
        <v>3699.5</v>
      </c>
      <c r="I1167" s="394">
        <v>3533.13</v>
      </c>
      <c r="J1167" s="394">
        <v>5285</v>
      </c>
      <c r="K1167" s="393" t="s">
        <v>1033</v>
      </c>
      <c r="L1167" s="395">
        <v>9</v>
      </c>
    </row>
    <row r="1168" spans="1:12" hidden="1" x14ac:dyDescent="0.3">
      <c r="A1168" s="397" t="s">
        <v>2175</v>
      </c>
      <c r="C1168" s="397" t="s">
        <v>1053</v>
      </c>
      <c r="D1168" s="397" t="s">
        <v>2174</v>
      </c>
      <c r="E1168" s="397" t="s">
        <v>629</v>
      </c>
      <c r="F1168" s="397" t="s">
        <v>191</v>
      </c>
      <c r="G1168" s="396">
        <v>2</v>
      </c>
      <c r="H1168" s="395">
        <v>22832.866000000002</v>
      </c>
      <c r="I1168" s="394">
        <v>268.16000000000003</v>
      </c>
      <c r="J1168" s="394">
        <v>32618.38</v>
      </c>
      <c r="K1168" s="393" t="s">
        <v>1033</v>
      </c>
    </row>
    <row r="1169" spans="1:12" hidden="1" x14ac:dyDescent="0.3">
      <c r="A1169" s="397" t="s">
        <v>4151</v>
      </c>
      <c r="C1169" s="397" t="s">
        <v>1053</v>
      </c>
      <c r="D1169" s="397" t="s">
        <v>4150</v>
      </c>
      <c r="E1169" s="397" t="s">
        <v>4149</v>
      </c>
      <c r="F1169" s="397" t="s">
        <v>191</v>
      </c>
      <c r="G1169" s="396">
        <v>1</v>
      </c>
      <c r="H1169" s="395">
        <v>85520.756999999998</v>
      </c>
      <c r="I1169" s="394">
        <v>3597.27</v>
      </c>
      <c r="J1169" s="394">
        <v>122172.51000000001</v>
      </c>
      <c r="K1169" s="393" t="s">
        <v>1033</v>
      </c>
    </row>
    <row r="1170" spans="1:12" hidden="1" x14ac:dyDescent="0.3">
      <c r="A1170" s="397" t="s">
        <v>2144</v>
      </c>
      <c r="C1170" s="397" t="s">
        <v>1053</v>
      </c>
      <c r="D1170" s="397" t="s">
        <v>2143</v>
      </c>
      <c r="E1170" s="397" t="s">
        <v>2142</v>
      </c>
      <c r="F1170" s="397" t="s">
        <v>191</v>
      </c>
      <c r="G1170" s="396">
        <v>4</v>
      </c>
      <c r="H1170" s="395">
        <v>5456.8150000000005</v>
      </c>
      <c r="I1170" s="394">
        <v>5145.7</v>
      </c>
      <c r="J1170" s="394">
        <v>7795.45</v>
      </c>
      <c r="K1170" s="393" t="s">
        <v>1033</v>
      </c>
    </row>
    <row r="1171" spans="1:12" hidden="1" x14ac:dyDescent="0.3">
      <c r="A1171" s="397" t="s">
        <v>2178</v>
      </c>
      <c r="C1171" s="397" t="s">
        <v>1053</v>
      </c>
      <c r="D1171" s="397" t="s">
        <v>2177</v>
      </c>
      <c r="E1171" s="397" t="s">
        <v>2176</v>
      </c>
      <c r="F1171" s="397" t="s">
        <v>191</v>
      </c>
      <c r="G1171" s="396">
        <v>27</v>
      </c>
      <c r="H1171" s="395">
        <v>24178.882000000001</v>
      </c>
      <c r="I1171" s="394">
        <v>21708.77</v>
      </c>
      <c r="J1171" s="394">
        <v>34541.26</v>
      </c>
      <c r="K1171" s="393" t="s">
        <v>1033</v>
      </c>
    </row>
    <row r="1172" spans="1:12" hidden="1" x14ac:dyDescent="0.3">
      <c r="A1172" s="397" t="s">
        <v>2164</v>
      </c>
      <c r="C1172" s="397" t="s">
        <v>1053</v>
      </c>
      <c r="D1172" s="397" t="s">
        <v>2163</v>
      </c>
      <c r="E1172" s="397" t="s">
        <v>2162</v>
      </c>
      <c r="F1172" s="397" t="s">
        <v>191</v>
      </c>
      <c r="G1172" s="396">
        <v>2</v>
      </c>
      <c r="H1172" s="395">
        <v>25395.195</v>
      </c>
      <c r="I1172" s="394">
        <v>17347.71</v>
      </c>
      <c r="J1172" s="394">
        <v>36278.85</v>
      </c>
      <c r="K1172" s="393" t="s">
        <v>1033</v>
      </c>
      <c r="L1172" s="395">
        <v>-10</v>
      </c>
    </row>
    <row r="1173" spans="1:12" hidden="1" x14ac:dyDescent="0.3">
      <c r="A1173" s="397" t="s">
        <v>2181</v>
      </c>
      <c r="C1173" s="397" t="s">
        <v>1053</v>
      </c>
      <c r="D1173" s="397" t="s">
        <v>2180</v>
      </c>
      <c r="E1173" s="397" t="s">
        <v>2179</v>
      </c>
      <c r="F1173" s="397" t="s">
        <v>191</v>
      </c>
      <c r="G1173" s="396">
        <v>28</v>
      </c>
      <c r="H1173" s="395">
        <v>43642.220999999998</v>
      </c>
      <c r="I1173" s="394">
        <v>42053.67</v>
      </c>
      <c r="J1173" s="394">
        <v>62346.03</v>
      </c>
      <c r="K1173" s="393" t="s">
        <v>1033</v>
      </c>
      <c r="L1173" s="395">
        <v>10</v>
      </c>
    </row>
    <row r="1174" spans="1:12" hidden="1" x14ac:dyDescent="0.3">
      <c r="A1174" s="397" t="s">
        <v>2195</v>
      </c>
      <c r="C1174" s="397" t="s">
        <v>1053</v>
      </c>
      <c r="D1174" s="397" t="s">
        <v>2194</v>
      </c>
      <c r="E1174" s="397" t="s">
        <v>629</v>
      </c>
      <c r="F1174" s="397" t="s">
        <v>191</v>
      </c>
      <c r="G1174" s="396">
        <v>32</v>
      </c>
      <c r="H1174" s="395">
        <v>2448.5720000000001</v>
      </c>
      <c r="I1174" s="394">
        <v>1419.27</v>
      </c>
      <c r="J1174" s="394">
        <v>3497.96</v>
      </c>
      <c r="K1174" s="393" t="s">
        <v>1033</v>
      </c>
    </row>
    <row r="1175" spans="1:12" hidden="1" x14ac:dyDescent="0.3">
      <c r="A1175" s="397" t="s">
        <v>2205</v>
      </c>
      <c r="C1175" s="397" t="s">
        <v>1053</v>
      </c>
      <c r="D1175" s="397" t="s">
        <v>2204</v>
      </c>
      <c r="E1175" s="397" t="s">
        <v>2203</v>
      </c>
      <c r="F1175" s="397" t="s">
        <v>191</v>
      </c>
      <c r="G1175" s="396">
        <v>6</v>
      </c>
      <c r="H1175" s="395">
        <v>2273.6770000000001</v>
      </c>
      <c r="I1175" s="394">
        <v>1572.71</v>
      </c>
      <c r="J1175" s="394">
        <v>3248.11</v>
      </c>
      <c r="K1175" s="393" t="s">
        <v>1033</v>
      </c>
    </row>
    <row r="1176" spans="1:12" hidden="1" x14ac:dyDescent="0.3">
      <c r="A1176" s="397" t="s">
        <v>2159</v>
      </c>
      <c r="C1176" s="397" t="s">
        <v>1053</v>
      </c>
      <c r="D1176" s="397" t="s">
        <v>2158</v>
      </c>
      <c r="E1176" s="397" t="s">
        <v>2157</v>
      </c>
      <c r="F1176" s="397" t="s">
        <v>191</v>
      </c>
      <c r="G1176" s="396">
        <v>9</v>
      </c>
      <c r="H1176" s="395">
        <v>2133.7539999999999</v>
      </c>
      <c r="I1176" s="394">
        <v>1502.31</v>
      </c>
      <c r="J1176" s="394">
        <v>3048.2200000000003</v>
      </c>
      <c r="K1176" s="393" t="s">
        <v>1033</v>
      </c>
    </row>
    <row r="1177" spans="1:12" hidden="1" x14ac:dyDescent="0.3">
      <c r="A1177" s="397" t="s">
        <v>2170</v>
      </c>
      <c r="C1177" s="397" t="s">
        <v>1053</v>
      </c>
      <c r="D1177" s="397" t="s">
        <v>2169</v>
      </c>
      <c r="E1177" s="397" t="s">
        <v>2168</v>
      </c>
      <c r="F1177" s="397" t="s">
        <v>191</v>
      </c>
      <c r="G1177" s="396">
        <v>7</v>
      </c>
      <c r="H1177" s="395">
        <v>24079.377000000004</v>
      </c>
      <c r="I1177" s="394">
        <v>22643.61</v>
      </c>
      <c r="J1177" s="394">
        <v>34399.11</v>
      </c>
      <c r="K1177" s="393" t="s">
        <v>1033</v>
      </c>
      <c r="L1177" s="395">
        <v>1</v>
      </c>
    </row>
    <row r="1178" spans="1:12" hidden="1" x14ac:dyDescent="0.3">
      <c r="A1178" s="397" t="s">
        <v>2149</v>
      </c>
      <c r="C1178" s="397" t="s">
        <v>1053</v>
      </c>
      <c r="D1178" s="397" t="s">
        <v>2148</v>
      </c>
      <c r="E1178" s="397" t="s">
        <v>2142</v>
      </c>
      <c r="F1178" s="397" t="s">
        <v>191</v>
      </c>
      <c r="G1178" s="396">
        <v>3</v>
      </c>
      <c r="H1178" s="395">
        <v>5028.0020000000004</v>
      </c>
      <c r="I1178" s="394">
        <v>4817.92</v>
      </c>
      <c r="J1178" s="394">
        <v>7182.8600000000006</v>
      </c>
      <c r="K1178" s="393" t="s">
        <v>1033</v>
      </c>
    </row>
    <row r="1179" spans="1:12" hidden="1" x14ac:dyDescent="0.3">
      <c r="A1179" s="397" t="s">
        <v>798</v>
      </c>
      <c r="C1179" s="397" t="s">
        <v>1053</v>
      </c>
      <c r="D1179" s="397" t="s">
        <v>643</v>
      </c>
      <c r="E1179" s="397" t="s">
        <v>642</v>
      </c>
      <c r="F1179" s="397" t="s">
        <v>191</v>
      </c>
      <c r="G1179" s="396">
        <v>1</v>
      </c>
      <c r="H1179" s="395">
        <v>27687.394</v>
      </c>
      <c r="I1179" s="394">
        <v>26010.37</v>
      </c>
      <c r="J1179" s="394">
        <v>39553.42</v>
      </c>
      <c r="K1179" s="393" t="s">
        <v>1033</v>
      </c>
    </row>
    <row r="1180" spans="1:12" hidden="1" x14ac:dyDescent="0.3">
      <c r="A1180" s="397" t="s">
        <v>2184</v>
      </c>
      <c r="C1180" s="397" t="s">
        <v>1053</v>
      </c>
      <c r="D1180" s="397" t="s">
        <v>2183</v>
      </c>
      <c r="E1180" s="397" t="s">
        <v>2182</v>
      </c>
      <c r="F1180" s="397" t="s">
        <v>191</v>
      </c>
      <c r="G1180" s="396">
        <v>4</v>
      </c>
      <c r="H1180" s="395">
        <v>24411.051000000003</v>
      </c>
      <c r="I1180" s="394">
        <v>22931.13</v>
      </c>
      <c r="J1180" s="394">
        <v>34872.93</v>
      </c>
      <c r="K1180" s="393" t="s">
        <v>1033</v>
      </c>
    </row>
    <row r="1181" spans="1:12" hidden="1" x14ac:dyDescent="0.3">
      <c r="A1181" s="397" t="s">
        <v>4122</v>
      </c>
      <c r="C1181" s="397" t="s">
        <v>1053</v>
      </c>
      <c r="D1181" s="397" t="s">
        <v>4121</v>
      </c>
      <c r="E1181" s="397" t="s">
        <v>4120</v>
      </c>
      <c r="F1181" s="397" t="s">
        <v>191</v>
      </c>
      <c r="G1181" s="396">
        <v>2</v>
      </c>
      <c r="H1181" s="395">
        <v>17483.718000000001</v>
      </c>
      <c r="I1181" s="394">
        <v>16802.34</v>
      </c>
      <c r="J1181" s="394">
        <v>24976.74</v>
      </c>
      <c r="K1181" s="393" t="s">
        <v>1033</v>
      </c>
    </row>
    <row r="1182" spans="1:12" hidden="1" x14ac:dyDescent="0.3">
      <c r="A1182" s="397" t="s">
        <v>2190</v>
      </c>
      <c r="C1182" s="397" t="s">
        <v>1053</v>
      </c>
      <c r="D1182" s="397" t="s">
        <v>2189</v>
      </c>
      <c r="E1182" s="397" t="s">
        <v>2188</v>
      </c>
      <c r="F1182" s="397" t="s">
        <v>191</v>
      </c>
      <c r="G1182" s="396">
        <v>20</v>
      </c>
      <c r="H1182" s="395">
        <v>3987.6759999999999</v>
      </c>
      <c r="I1182" s="394">
        <v>3757.71</v>
      </c>
      <c r="J1182" s="394">
        <v>5696.68</v>
      </c>
      <c r="K1182" s="393" t="s">
        <v>1033</v>
      </c>
      <c r="L1182" s="395">
        <v>2</v>
      </c>
    </row>
    <row r="1183" spans="1:12" hidden="1" x14ac:dyDescent="0.3">
      <c r="A1183" s="397" t="s">
        <v>2154</v>
      </c>
      <c r="C1183" s="397" t="s">
        <v>1053</v>
      </c>
      <c r="D1183" s="397" t="s">
        <v>2153</v>
      </c>
      <c r="E1183" s="397" t="s">
        <v>629</v>
      </c>
      <c r="F1183" s="397" t="s">
        <v>191</v>
      </c>
      <c r="G1183" s="396">
        <v>1</v>
      </c>
      <c r="H1183" s="395">
        <v>5028.0020000000004</v>
      </c>
      <c r="I1183" s="394">
        <v>3271.2200000000003</v>
      </c>
      <c r="J1183" s="394">
        <v>7182.8600000000006</v>
      </c>
      <c r="K1183" s="393" t="s">
        <v>1033</v>
      </c>
    </row>
    <row r="1184" spans="1:12" hidden="1" x14ac:dyDescent="0.3">
      <c r="A1184" s="397" t="s">
        <v>2156</v>
      </c>
      <c r="C1184" s="397" t="s">
        <v>1053</v>
      </c>
      <c r="D1184" s="397" t="s">
        <v>2155</v>
      </c>
      <c r="E1184" s="397" t="s">
        <v>2142</v>
      </c>
      <c r="F1184" s="397" t="s">
        <v>191</v>
      </c>
      <c r="G1184" s="396">
        <v>9</v>
      </c>
      <c r="H1184" s="395">
        <v>6012.5030000000006</v>
      </c>
      <c r="I1184" s="394">
        <v>4168.4399999999996</v>
      </c>
      <c r="J1184" s="394">
        <v>8589.2900000000009</v>
      </c>
      <c r="K1184" s="393" t="s">
        <v>1033</v>
      </c>
      <c r="L1184" s="395">
        <v>2</v>
      </c>
    </row>
    <row r="1185" spans="1:12" hidden="1" x14ac:dyDescent="0.3">
      <c r="A1185" s="397" t="s">
        <v>8296</v>
      </c>
      <c r="C1185" s="397" t="s">
        <v>1053</v>
      </c>
      <c r="D1185" s="397" t="s">
        <v>8295</v>
      </c>
      <c r="E1185" s="397" t="s">
        <v>8294</v>
      </c>
      <c r="F1185" s="397" t="s">
        <v>191</v>
      </c>
      <c r="G1185" s="396">
        <v>1</v>
      </c>
      <c r="H1185" s="395">
        <v>25306.981</v>
      </c>
      <c r="I1185" s="394">
        <v>215.29</v>
      </c>
      <c r="J1185" s="394">
        <v>36152.83</v>
      </c>
      <c r="K1185" s="393" t="s">
        <v>1033</v>
      </c>
    </row>
    <row r="1186" spans="1:12" hidden="1" x14ac:dyDescent="0.3">
      <c r="A1186" s="397" t="s">
        <v>4028</v>
      </c>
      <c r="C1186" s="397" t="s">
        <v>1053</v>
      </c>
      <c r="D1186" s="397" t="s">
        <v>4027</v>
      </c>
      <c r="E1186" s="397" t="s">
        <v>4026</v>
      </c>
      <c r="F1186" s="397" t="s">
        <v>191</v>
      </c>
      <c r="G1186" s="396">
        <v>1</v>
      </c>
      <c r="H1186" s="395">
        <v>366793.07</v>
      </c>
      <c r="I1186" s="394">
        <v>5449.12</v>
      </c>
      <c r="J1186" s="394">
        <v>523990.10000000003</v>
      </c>
      <c r="K1186" s="393" t="s">
        <v>1033</v>
      </c>
    </row>
    <row r="1187" spans="1:12" hidden="1" x14ac:dyDescent="0.3">
      <c r="A1187" s="397" t="s">
        <v>8298</v>
      </c>
      <c r="C1187" s="397" t="s">
        <v>1053</v>
      </c>
      <c r="D1187" s="397" t="s">
        <v>8297</v>
      </c>
      <c r="E1187" s="397" t="s">
        <v>8294</v>
      </c>
      <c r="F1187" s="397" t="s">
        <v>191</v>
      </c>
      <c r="G1187" s="396">
        <v>1</v>
      </c>
      <c r="H1187" s="395">
        <v>26224.848999999998</v>
      </c>
      <c r="I1187" s="394">
        <v>208.01</v>
      </c>
      <c r="J1187" s="394">
        <v>37464.07</v>
      </c>
      <c r="K1187" s="393" t="s">
        <v>1033</v>
      </c>
    </row>
    <row r="1188" spans="1:12" hidden="1" x14ac:dyDescent="0.3">
      <c r="A1188" s="397" t="s">
        <v>4067</v>
      </c>
      <c r="C1188" s="397" t="s">
        <v>1053</v>
      </c>
      <c r="D1188" s="397" t="s">
        <v>4312</v>
      </c>
      <c r="E1188" s="397" t="s">
        <v>4311</v>
      </c>
      <c r="F1188" s="397" t="s">
        <v>191</v>
      </c>
      <c r="G1188" s="396">
        <v>1</v>
      </c>
      <c r="H1188" s="395">
        <v>32793.67</v>
      </c>
      <c r="I1188" s="394">
        <v>22235.34</v>
      </c>
      <c r="J1188" s="394">
        <v>46848.1</v>
      </c>
      <c r="K1188" s="393" t="s">
        <v>1033</v>
      </c>
    </row>
    <row r="1189" spans="1:12" hidden="1" x14ac:dyDescent="0.3">
      <c r="A1189" s="397" t="s">
        <v>4067</v>
      </c>
      <c r="C1189" s="397" t="s">
        <v>1053</v>
      </c>
      <c r="D1189" s="397" t="s">
        <v>4066</v>
      </c>
      <c r="E1189" s="397" t="s">
        <v>4065</v>
      </c>
      <c r="F1189" s="397" t="s">
        <v>191</v>
      </c>
      <c r="G1189" s="396">
        <v>1</v>
      </c>
      <c r="H1189" s="395">
        <v>149153.84400000001</v>
      </c>
      <c r="I1189" s="394">
        <v>436.66</v>
      </c>
      <c r="J1189" s="394">
        <v>213076.92</v>
      </c>
      <c r="K1189" s="393" t="s">
        <v>1033</v>
      </c>
    </row>
    <row r="1190" spans="1:12" hidden="1" x14ac:dyDescent="0.3">
      <c r="A1190" s="397" t="s">
        <v>2193</v>
      </c>
      <c r="C1190" s="397" t="s">
        <v>1053</v>
      </c>
      <c r="D1190" s="397" t="s">
        <v>2192</v>
      </c>
      <c r="E1190" s="397" t="s">
        <v>2191</v>
      </c>
      <c r="F1190" s="397" t="s">
        <v>191</v>
      </c>
      <c r="G1190" s="396">
        <v>6</v>
      </c>
      <c r="H1190" s="395">
        <v>3882.7390000000005</v>
      </c>
      <c r="I1190" s="394">
        <v>21.32</v>
      </c>
      <c r="J1190" s="394">
        <v>5546.77</v>
      </c>
      <c r="K1190" s="393" t="s">
        <v>1033</v>
      </c>
    </row>
    <row r="1191" spans="1:12" hidden="1" x14ac:dyDescent="0.3">
      <c r="A1191" s="397" t="s">
        <v>2202</v>
      </c>
      <c r="C1191" s="397" t="s">
        <v>1053</v>
      </c>
      <c r="D1191" s="397" t="s">
        <v>2201</v>
      </c>
      <c r="E1191" s="397" t="s">
        <v>629</v>
      </c>
      <c r="F1191" s="397" t="s">
        <v>191</v>
      </c>
      <c r="G1191" s="396">
        <v>9</v>
      </c>
      <c r="H1191" s="395">
        <v>3952.6970000000001</v>
      </c>
      <c r="I1191" s="394">
        <v>962.73</v>
      </c>
      <c r="J1191" s="394">
        <v>5646.71</v>
      </c>
      <c r="K1191" s="393" t="s">
        <v>1033</v>
      </c>
    </row>
    <row r="1192" spans="1:12" hidden="1" x14ac:dyDescent="0.3">
      <c r="A1192" s="397" t="s">
        <v>6668</v>
      </c>
      <c r="C1192" s="397" t="s">
        <v>1053</v>
      </c>
      <c r="D1192" s="397" t="s">
        <v>6667</v>
      </c>
      <c r="E1192" s="397" t="s">
        <v>6666</v>
      </c>
      <c r="F1192" s="397" t="s">
        <v>191</v>
      </c>
      <c r="G1192" s="396">
        <v>1</v>
      </c>
      <c r="H1192" s="395">
        <v>17035.066999999999</v>
      </c>
      <c r="I1192" s="394">
        <v>15373.33</v>
      </c>
      <c r="J1192" s="394">
        <v>24335.81</v>
      </c>
      <c r="K1192" s="393" t="s">
        <v>1033</v>
      </c>
    </row>
    <row r="1193" spans="1:12" hidden="1" x14ac:dyDescent="0.3">
      <c r="A1193" s="397" t="s">
        <v>5035</v>
      </c>
      <c r="C1193" s="397" t="s">
        <v>1053</v>
      </c>
      <c r="D1193" s="397" t="s">
        <v>5034</v>
      </c>
      <c r="E1193" s="397" t="s">
        <v>5033</v>
      </c>
      <c r="F1193" s="397" t="s">
        <v>191</v>
      </c>
      <c r="G1193" s="396">
        <v>5</v>
      </c>
      <c r="H1193" s="395">
        <v>54855.619000000006</v>
      </c>
      <c r="I1193" s="394">
        <v>48615.44</v>
      </c>
      <c r="J1193" s="394">
        <v>78365.17</v>
      </c>
      <c r="K1193" s="393" t="s">
        <v>1033</v>
      </c>
      <c r="L1193" s="395">
        <v>1</v>
      </c>
    </row>
    <row r="1194" spans="1:12" hidden="1" x14ac:dyDescent="0.3">
      <c r="A1194" s="397" t="s">
        <v>6699</v>
      </c>
      <c r="C1194" s="397" t="s">
        <v>1053</v>
      </c>
      <c r="D1194" s="397" t="s">
        <v>6698</v>
      </c>
      <c r="E1194" s="397" t="s">
        <v>6697</v>
      </c>
      <c r="F1194" s="397" t="s">
        <v>191</v>
      </c>
      <c r="G1194" s="396">
        <v>3</v>
      </c>
      <c r="H1194" s="395">
        <v>18469.226999999999</v>
      </c>
      <c r="I1194" s="394">
        <v>16356.45</v>
      </c>
      <c r="J1194" s="394">
        <v>26384.61</v>
      </c>
      <c r="K1194" s="393" t="s">
        <v>1033</v>
      </c>
    </row>
    <row r="1195" spans="1:12" hidden="1" x14ac:dyDescent="0.3">
      <c r="A1195" s="397" t="s">
        <v>2540</v>
      </c>
      <c r="C1195" s="397" t="s">
        <v>1053</v>
      </c>
      <c r="D1195" s="397" t="s">
        <v>2539</v>
      </c>
      <c r="E1195" s="397" t="s">
        <v>2538</v>
      </c>
      <c r="F1195" s="397" t="s">
        <v>191</v>
      </c>
      <c r="G1195" s="396">
        <v>6</v>
      </c>
      <c r="H1195" s="395">
        <v>3066.0349999999999</v>
      </c>
      <c r="I1195" s="394">
        <v>2931.4900000000002</v>
      </c>
      <c r="J1195" s="394">
        <v>4380.05</v>
      </c>
      <c r="K1195" s="393" t="s">
        <v>1033</v>
      </c>
    </row>
    <row r="1196" spans="1:12" hidden="1" x14ac:dyDescent="0.3">
      <c r="A1196" s="397" t="s">
        <v>5048</v>
      </c>
      <c r="C1196" s="397" t="s">
        <v>1053</v>
      </c>
      <c r="D1196" s="397" t="s">
        <v>5047</v>
      </c>
      <c r="E1196" s="397" t="s">
        <v>5046</v>
      </c>
      <c r="F1196" s="397" t="s">
        <v>191</v>
      </c>
      <c r="G1196" s="396">
        <v>1</v>
      </c>
      <c r="H1196" s="395">
        <v>14956.06</v>
      </c>
      <c r="I1196" s="394">
        <v>10891.41</v>
      </c>
      <c r="J1196" s="394">
        <v>21365.8</v>
      </c>
      <c r="K1196" s="393" t="s">
        <v>1033</v>
      </c>
    </row>
    <row r="1197" spans="1:12" hidden="1" x14ac:dyDescent="0.3">
      <c r="A1197" s="397" t="s">
        <v>2242</v>
      </c>
      <c r="C1197" s="397" t="s">
        <v>1053</v>
      </c>
      <c r="D1197" s="397" t="s">
        <v>2241</v>
      </c>
      <c r="E1197" s="397" t="s">
        <v>2240</v>
      </c>
      <c r="F1197" s="397" t="s">
        <v>191</v>
      </c>
      <c r="G1197" s="396">
        <v>10</v>
      </c>
      <c r="H1197" s="395">
        <v>9526.6219999999994</v>
      </c>
      <c r="I1197" s="394">
        <v>6477.24</v>
      </c>
      <c r="J1197" s="394">
        <v>13609.460000000001</v>
      </c>
      <c r="K1197" s="393" t="s">
        <v>1033</v>
      </c>
      <c r="L1197" s="395">
        <v>1</v>
      </c>
    </row>
    <row r="1198" spans="1:12" hidden="1" x14ac:dyDescent="0.3">
      <c r="A1198" s="397" t="s">
        <v>7031</v>
      </c>
      <c r="C1198" s="397" t="s">
        <v>1053</v>
      </c>
      <c r="D1198" s="397" t="s">
        <v>7030</v>
      </c>
      <c r="E1198" s="397" t="s">
        <v>501</v>
      </c>
      <c r="F1198" s="397" t="s">
        <v>191</v>
      </c>
      <c r="G1198" s="396">
        <v>1</v>
      </c>
      <c r="H1198" s="395">
        <v>31262.637000000002</v>
      </c>
      <c r="I1198" s="394">
        <v>31154.89</v>
      </c>
      <c r="J1198" s="394">
        <v>44660.91</v>
      </c>
      <c r="K1198" s="393" t="s">
        <v>1033</v>
      </c>
    </row>
    <row r="1199" spans="1:12" hidden="1" x14ac:dyDescent="0.3">
      <c r="A1199" s="397" t="s">
        <v>5491</v>
      </c>
      <c r="C1199" s="397" t="s">
        <v>1053</v>
      </c>
      <c r="D1199" s="397" t="s">
        <v>5490</v>
      </c>
      <c r="E1199" s="397" t="s">
        <v>5489</v>
      </c>
      <c r="F1199" s="397" t="s">
        <v>191</v>
      </c>
      <c r="G1199" s="396">
        <v>4</v>
      </c>
      <c r="H1199" s="395">
        <v>57066.212</v>
      </c>
      <c r="I1199" s="394">
        <v>33636.9</v>
      </c>
      <c r="J1199" s="394">
        <v>81523.16</v>
      </c>
      <c r="K1199" s="393" t="s">
        <v>1033</v>
      </c>
    </row>
    <row r="1200" spans="1:12" hidden="1" x14ac:dyDescent="0.3">
      <c r="A1200" s="397" t="s">
        <v>3020</v>
      </c>
      <c r="C1200" s="397" t="s">
        <v>1053</v>
      </c>
      <c r="D1200" s="397" t="s">
        <v>3019</v>
      </c>
      <c r="E1200" s="397" t="s">
        <v>2026</v>
      </c>
      <c r="F1200" s="397" t="s">
        <v>191</v>
      </c>
      <c r="G1200" s="396">
        <v>4</v>
      </c>
      <c r="H1200" s="395">
        <v>1929.039</v>
      </c>
      <c r="I1200" s="394">
        <v>1894.92</v>
      </c>
      <c r="J1200" s="394">
        <v>2755.77</v>
      </c>
      <c r="K1200" s="393" t="s">
        <v>1033</v>
      </c>
    </row>
    <row r="1201" spans="1:12" hidden="1" x14ac:dyDescent="0.3">
      <c r="A1201" s="397" t="s">
        <v>2570</v>
      </c>
      <c r="C1201" s="397" t="s">
        <v>1053</v>
      </c>
      <c r="D1201" s="397" t="s">
        <v>2569</v>
      </c>
      <c r="E1201" s="397" t="s">
        <v>2535</v>
      </c>
      <c r="F1201" s="397" t="s">
        <v>191</v>
      </c>
      <c r="G1201" s="396">
        <v>2</v>
      </c>
      <c r="H1201" s="395">
        <v>3230.29</v>
      </c>
      <c r="I1201" s="394">
        <v>29.560000000000002</v>
      </c>
      <c r="J1201" s="394">
        <v>4614.7</v>
      </c>
      <c r="K1201" s="393" t="s">
        <v>1033</v>
      </c>
    </row>
    <row r="1202" spans="1:12" hidden="1" x14ac:dyDescent="0.3">
      <c r="A1202" s="397" t="s">
        <v>2556</v>
      </c>
      <c r="C1202" s="397" t="s">
        <v>1053</v>
      </c>
      <c r="D1202" s="397" t="s">
        <v>2555</v>
      </c>
      <c r="E1202" s="397" t="s">
        <v>2035</v>
      </c>
      <c r="F1202" s="397" t="s">
        <v>191</v>
      </c>
      <c r="G1202" s="396">
        <v>1</v>
      </c>
      <c r="H1202" s="395">
        <v>3011.288</v>
      </c>
      <c r="I1202" s="394">
        <v>54.74</v>
      </c>
      <c r="J1202" s="394">
        <v>4301.84</v>
      </c>
      <c r="K1202" s="393" t="s">
        <v>1033</v>
      </c>
    </row>
    <row r="1203" spans="1:12" hidden="1" x14ac:dyDescent="0.3">
      <c r="A1203" s="397" t="s">
        <v>2573</v>
      </c>
      <c r="C1203" s="397" t="s">
        <v>1053</v>
      </c>
      <c r="D1203" s="397" t="s">
        <v>2572</v>
      </c>
      <c r="E1203" s="397" t="s">
        <v>2571</v>
      </c>
      <c r="F1203" s="397" t="s">
        <v>191</v>
      </c>
      <c r="G1203" s="396">
        <v>1</v>
      </c>
      <c r="H1203" s="395">
        <v>1971.0250000000001</v>
      </c>
      <c r="I1203" s="394">
        <v>13.5</v>
      </c>
      <c r="J1203" s="394">
        <v>2815.75</v>
      </c>
      <c r="K1203" s="393" t="s">
        <v>1033</v>
      </c>
    </row>
    <row r="1204" spans="1:12" hidden="1" x14ac:dyDescent="0.3">
      <c r="A1204" s="397" t="s">
        <v>2568</v>
      </c>
      <c r="C1204" s="397" t="s">
        <v>1053</v>
      </c>
      <c r="D1204" s="397" t="s">
        <v>2567</v>
      </c>
      <c r="E1204" s="397" t="s">
        <v>2566</v>
      </c>
      <c r="F1204" s="397" t="s">
        <v>191</v>
      </c>
      <c r="G1204" s="396">
        <v>8</v>
      </c>
      <c r="H1204" s="395">
        <v>3347.4490000000005</v>
      </c>
      <c r="I1204" s="394">
        <v>24.82</v>
      </c>
      <c r="J1204" s="394">
        <v>4782.07</v>
      </c>
      <c r="K1204" s="393" t="s">
        <v>1033</v>
      </c>
    </row>
    <row r="1205" spans="1:12" hidden="1" x14ac:dyDescent="0.3">
      <c r="A1205" s="397" t="s">
        <v>2542</v>
      </c>
      <c r="C1205" s="397" t="s">
        <v>1053</v>
      </c>
      <c r="D1205" s="397" t="s">
        <v>2541</v>
      </c>
      <c r="E1205" s="397" t="s">
        <v>2535</v>
      </c>
      <c r="F1205" s="397" t="s">
        <v>191</v>
      </c>
      <c r="G1205" s="396">
        <v>2</v>
      </c>
      <c r="H1205" s="395">
        <v>3832.5490000000004</v>
      </c>
      <c r="I1205" s="394">
        <v>36.79</v>
      </c>
      <c r="J1205" s="394">
        <v>5475.07</v>
      </c>
      <c r="K1205" s="393" t="s">
        <v>1033</v>
      </c>
    </row>
    <row r="1206" spans="1:12" hidden="1" x14ac:dyDescent="0.3">
      <c r="A1206" s="397" t="s">
        <v>2550</v>
      </c>
      <c r="C1206" s="397" t="s">
        <v>1053</v>
      </c>
      <c r="D1206" s="397" t="s">
        <v>2549</v>
      </c>
      <c r="E1206" s="397" t="s">
        <v>2035</v>
      </c>
      <c r="F1206" s="397" t="s">
        <v>191</v>
      </c>
      <c r="G1206" s="396">
        <v>7</v>
      </c>
      <c r="H1206" s="395">
        <v>3347.4490000000005</v>
      </c>
      <c r="I1206" s="394">
        <v>364.67</v>
      </c>
      <c r="J1206" s="394">
        <v>4782.07</v>
      </c>
      <c r="K1206" s="393" t="s">
        <v>1033</v>
      </c>
    </row>
    <row r="1207" spans="1:12" hidden="1" x14ac:dyDescent="0.3">
      <c r="A1207" s="397" t="s">
        <v>5040</v>
      </c>
      <c r="C1207" s="397" t="s">
        <v>1053</v>
      </c>
      <c r="D1207" s="397" t="s">
        <v>5039</v>
      </c>
      <c r="E1207" s="397" t="s">
        <v>5033</v>
      </c>
      <c r="F1207" s="397" t="s">
        <v>191</v>
      </c>
      <c r="G1207" s="396">
        <v>1</v>
      </c>
      <c r="H1207" s="395">
        <v>54052.614000000001</v>
      </c>
      <c r="I1207" s="394">
        <v>52576.41</v>
      </c>
      <c r="J1207" s="394">
        <v>77218.02</v>
      </c>
      <c r="K1207" s="393" t="s">
        <v>1033</v>
      </c>
      <c r="L1207" s="395">
        <v>1</v>
      </c>
    </row>
    <row r="1208" spans="1:12" hidden="1" x14ac:dyDescent="0.3">
      <c r="A1208" s="397" t="s">
        <v>6579</v>
      </c>
      <c r="C1208" s="397" t="s">
        <v>1053</v>
      </c>
      <c r="D1208" s="397" t="s">
        <v>6578</v>
      </c>
      <c r="E1208" s="397" t="s">
        <v>6577</v>
      </c>
      <c r="F1208" s="397" t="s">
        <v>191</v>
      </c>
      <c r="G1208" s="396">
        <v>1</v>
      </c>
      <c r="H1208" s="395">
        <v>300800.24800000002</v>
      </c>
      <c r="I1208" s="394">
        <v>1925.79</v>
      </c>
      <c r="J1208" s="394">
        <v>429714.64</v>
      </c>
      <c r="K1208" s="393" t="s">
        <v>1033</v>
      </c>
    </row>
    <row r="1209" spans="1:12" hidden="1" x14ac:dyDescent="0.3">
      <c r="A1209" s="397" t="s">
        <v>6996</v>
      </c>
      <c r="C1209" s="397" t="s">
        <v>1053</v>
      </c>
      <c r="D1209" s="397" t="s">
        <v>6995</v>
      </c>
      <c r="E1209" s="397" t="s">
        <v>2026</v>
      </c>
      <c r="F1209" s="397" t="s">
        <v>191</v>
      </c>
      <c r="G1209" s="396">
        <v>1</v>
      </c>
      <c r="H1209" s="395">
        <v>2573.2840000000001</v>
      </c>
      <c r="I1209" s="394">
        <v>18.690000000000001</v>
      </c>
      <c r="J1209" s="394">
        <v>3676.12</v>
      </c>
      <c r="K1209" s="393" t="s">
        <v>1033</v>
      </c>
    </row>
    <row r="1210" spans="1:12" hidden="1" x14ac:dyDescent="0.3">
      <c r="A1210" s="397" t="s">
        <v>2565</v>
      </c>
      <c r="C1210" s="397" t="s">
        <v>1053</v>
      </c>
      <c r="D1210" s="397" t="s">
        <v>2564</v>
      </c>
      <c r="E1210" s="397" t="s">
        <v>2563</v>
      </c>
      <c r="F1210" s="397" t="s">
        <v>191</v>
      </c>
      <c r="G1210" s="396">
        <v>2</v>
      </c>
      <c r="H1210" s="395">
        <v>3832.5490000000004</v>
      </c>
      <c r="I1210" s="394">
        <v>17.989999999999998</v>
      </c>
      <c r="J1210" s="394">
        <v>5475.07</v>
      </c>
      <c r="K1210" s="393" t="s">
        <v>1033</v>
      </c>
    </row>
    <row r="1211" spans="1:12" hidden="1" x14ac:dyDescent="0.3">
      <c r="A1211" s="397" t="s">
        <v>2530</v>
      </c>
      <c r="C1211" s="397" t="s">
        <v>1053</v>
      </c>
      <c r="D1211" s="397" t="s">
        <v>2529</v>
      </c>
      <c r="E1211" s="397" t="s">
        <v>2519</v>
      </c>
      <c r="F1211" s="397" t="s">
        <v>191</v>
      </c>
      <c r="G1211" s="396">
        <v>1</v>
      </c>
      <c r="H1211" s="395">
        <v>4380.0540000000001</v>
      </c>
      <c r="I1211" s="394">
        <v>23.12</v>
      </c>
      <c r="J1211" s="394">
        <v>6257.22</v>
      </c>
      <c r="K1211" s="393" t="s">
        <v>1033</v>
      </c>
    </row>
    <row r="1212" spans="1:12" hidden="1" x14ac:dyDescent="0.3">
      <c r="A1212" s="397" t="s">
        <v>2537</v>
      </c>
      <c r="C1212" s="397" t="s">
        <v>1053</v>
      </c>
      <c r="D1212" s="397" t="s">
        <v>2536</v>
      </c>
      <c r="E1212" s="397" t="s">
        <v>2535</v>
      </c>
      <c r="F1212" s="397" t="s">
        <v>191</v>
      </c>
      <c r="G1212" s="396">
        <v>4</v>
      </c>
      <c r="H1212" s="395">
        <v>3971.5550000000003</v>
      </c>
      <c r="I1212" s="394">
        <v>36.79</v>
      </c>
      <c r="J1212" s="394">
        <v>5673.6500000000005</v>
      </c>
      <c r="K1212" s="393" t="s">
        <v>1033</v>
      </c>
    </row>
    <row r="1213" spans="1:12" hidden="1" x14ac:dyDescent="0.3">
      <c r="A1213" s="397" t="s">
        <v>2942</v>
      </c>
      <c r="C1213" s="397" t="s">
        <v>1053</v>
      </c>
      <c r="D1213" s="397" t="s">
        <v>2941</v>
      </c>
      <c r="E1213" s="397" t="s">
        <v>608</v>
      </c>
      <c r="F1213" s="397" t="s">
        <v>191</v>
      </c>
      <c r="G1213" s="396">
        <v>1</v>
      </c>
      <c r="H1213" s="395">
        <v>11716.648999999999</v>
      </c>
      <c r="I1213" s="394">
        <v>8014.1500000000005</v>
      </c>
      <c r="J1213" s="394">
        <v>16738.07</v>
      </c>
      <c r="K1213" s="393" t="s">
        <v>1033</v>
      </c>
    </row>
    <row r="1214" spans="1:12" hidden="1" x14ac:dyDescent="0.3">
      <c r="A1214" s="397" t="s">
        <v>7098</v>
      </c>
      <c r="C1214" s="397" t="s">
        <v>1053</v>
      </c>
      <c r="D1214" s="397" t="s">
        <v>7097</v>
      </c>
      <c r="E1214" s="397" t="s">
        <v>7096</v>
      </c>
      <c r="F1214" s="397" t="s">
        <v>191</v>
      </c>
      <c r="G1214" s="396">
        <v>1</v>
      </c>
      <c r="H1214" s="395">
        <v>120944.257</v>
      </c>
      <c r="I1214" s="394">
        <v>1877.26</v>
      </c>
      <c r="J1214" s="394">
        <v>172777.51</v>
      </c>
      <c r="K1214" s="393" t="s">
        <v>1033</v>
      </c>
    </row>
    <row r="1215" spans="1:12" hidden="1" x14ac:dyDescent="0.3">
      <c r="A1215" s="397" t="s">
        <v>5323</v>
      </c>
      <c r="C1215" s="397" t="s">
        <v>1053</v>
      </c>
      <c r="D1215" s="397" t="s">
        <v>5322</v>
      </c>
      <c r="E1215" s="397" t="s">
        <v>5321</v>
      </c>
      <c r="F1215" s="397" t="s">
        <v>191</v>
      </c>
      <c r="G1215" s="396">
        <v>1</v>
      </c>
      <c r="H1215" s="395">
        <v>1642.5220000000002</v>
      </c>
      <c r="I1215" s="394">
        <v>34.03</v>
      </c>
      <c r="J1215" s="394">
        <v>2346.46</v>
      </c>
      <c r="K1215" s="393" t="s">
        <v>1033</v>
      </c>
    </row>
    <row r="1216" spans="1:12" hidden="1" x14ac:dyDescent="0.3">
      <c r="A1216" s="397" t="s">
        <v>2525</v>
      </c>
      <c r="C1216" s="397" t="s">
        <v>1053</v>
      </c>
      <c r="D1216" s="397" t="s">
        <v>2524</v>
      </c>
      <c r="E1216" s="397" t="s">
        <v>2486</v>
      </c>
      <c r="F1216" s="397" t="s">
        <v>191</v>
      </c>
      <c r="G1216" s="396">
        <v>6</v>
      </c>
      <c r="H1216" s="395">
        <v>3081.9250000000002</v>
      </c>
      <c r="I1216" s="394">
        <v>2900.42</v>
      </c>
      <c r="J1216" s="394">
        <v>4402.75</v>
      </c>
      <c r="K1216" s="393" t="s">
        <v>1033</v>
      </c>
    </row>
    <row r="1217" spans="1:12" hidden="1" x14ac:dyDescent="0.3">
      <c r="A1217" s="397" t="s">
        <v>2523</v>
      </c>
      <c r="C1217" s="397" t="s">
        <v>1053</v>
      </c>
      <c r="D1217" s="397" t="s">
        <v>2522</v>
      </c>
      <c r="E1217" s="397" t="s">
        <v>2519</v>
      </c>
      <c r="F1217" s="397" t="s">
        <v>191</v>
      </c>
      <c r="G1217" s="396">
        <v>1</v>
      </c>
      <c r="H1217" s="395">
        <v>3832.5490000000004</v>
      </c>
      <c r="I1217" s="394">
        <v>79.84</v>
      </c>
      <c r="J1217" s="394">
        <v>5475.07</v>
      </c>
      <c r="K1217" s="393" t="s">
        <v>1033</v>
      </c>
      <c r="L1217" s="395">
        <v>1</v>
      </c>
    </row>
    <row r="1218" spans="1:12" hidden="1" x14ac:dyDescent="0.3">
      <c r="A1218" s="397" t="s">
        <v>2698</v>
      </c>
      <c r="C1218" s="397" t="s">
        <v>1053</v>
      </c>
      <c r="D1218" s="397" t="s">
        <v>2697</v>
      </c>
      <c r="E1218" s="397" t="s">
        <v>2252</v>
      </c>
      <c r="F1218" s="397" t="s">
        <v>191</v>
      </c>
      <c r="G1218" s="396">
        <v>4</v>
      </c>
      <c r="H1218" s="395">
        <v>15148.637000000001</v>
      </c>
      <c r="I1218" s="394">
        <v>777.92000000000007</v>
      </c>
      <c r="J1218" s="394">
        <v>21640.91</v>
      </c>
      <c r="K1218" s="393" t="s">
        <v>1033</v>
      </c>
    </row>
    <row r="1219" spans="1:12" hidden="1" x14ac:dyDescent="0.3">
      <c r="A1219" s="397" t="s">
        <v>788</v>
      </c>
      <c r="C1219" s="397" t="s">
        <v>1053</v>
      </c>
      <c r="D1219" s="397" t="s">
        <v>674</v>
      </c>
      <c r="E1219" s="397" t="s">
        <v>675</v>
      </c>
      <c r="F1219" s="397" t="s">
        <v>191</v>
      </c>
      <c r="G1219" s="396">
        <v>4</v>
      </c>
      <c r="H1219" s="395">
        <v>5489.2530000000006</v>
      </c>
      <c r="I1219" s="394">
        <v>5383.83</v>
      </c>
      <c r="J1219" s="394">
        <v>7841.79</v>
      </c>
      <c r="K1219" s="393" t="s">
        <v>1033</v>
      </c>
      <c r="L1219" s="395">
        <v>2</v>
      </c>
    </row>
    <row r="1220" spans="1:12" hidden="1" x14ac:dyDescent="0.3">
      <c r="A1220" s="397" t="s">
        <v>6427</v>
      </c>
      <c r="C1220" s="397" t="s">
        <v>1053</v>
      </c>
      <c r="D1220" s="397" t="s">
        <v>6426</v>
      </c>
      <c r="E1220" s="397" t="s">
        <v>2577</v>
      </c>
      <c r="F1220" s="397" t="s">
        <v>191</v>
      </c>
      <c r="G1220" s="396">
        <v>2</v>
      </c>
      <c r="H1220" s="395">
        <v>8650.607</v>
      </c>
      <c r="I1220" s="394">
        <v>127.37</v>
      </c>
      <c r="J1220" s="394">
        <v>12358.01</v>
      </c>
      <c r="K1220" s="393" t="s">
        <v>1033</v>
      </c>
    </row>
    <row r="1221" spans="1:12" hidden="1" x14ac:dyDescent="0.3">
      <c r="A1221" s="397" t="s">
        <v>4817</v>
      </c>
      <c r="C1221" s="397" t="s">
        <v>1053</v>
      </c>
      <c r="D1221" s="397" t="s">
        <v>4816</v>
      </c>
      <c r="E1221" s="397" t="s">
        <v>4813</v>
      </c>
      <c r="F1221" s="397" t="s">
        <v>191</v>
      </c>
      <c r="G1221" s="396">
        <v>1</v>
      </c>
      <c r="H1221" s="395">
        <v>72325.652000000002</v>
      </c>
      <c r="I1221" s="394">
        <v>6816.25</v>
      </c>
      <c r="J1221" s="394">
        <v>103322.36</v>
      </c>
      <c r="K1221" s="393" t="s">
        <v>1033</v>
      </c>
    </row>
    <row r="1222" spans="1:12" hidden="1" x14ac:dyDescent="0.3">
      <c r="A1222" s="397" t="s">
        <v>2558</v>
      </c>
      <c r="C1222" s="397" t="s">
        <v>1053</v>
      </c>
      <c r="D1222" s="397" t="s">
        <v>2557</v>
      </c>
      <c r="E1222" s="397" t="s">
        <v>2535</v>
      </c>
      <c r="F1222" s="397" t="s">
        <v>191</v>
      </c>
      <c r="G1222" s="396">
        <v>2</v>
      </c>
      <c r="H1222" s="395">
        <v>3971.5550000000003</v>
      </c>
      <c r="I1222" s="394">
        <v>36.79</v>
      </c>
      <c r="J1222" s="394">
        <v>5673.6500000000005</v>
      </c>
      <c r="K1222" s="393" t="s">
        <v>1033</v>
      </c>
    </row>
    <row r="1223" spans="1:12" hidden="1" x14ac:dyDescent="0.3">
      <c r="A1223" s="397" t="s">
        <v>2712</v>
      </c>
      <c r="C1223" s="397" t="s">
        <v>1053</v>
      </c>
      <c r="D1223" s="397" t="s">
        <v>2711</v>
      </c>
      <c r="E1223" s="397" t="s">
        <v>374</v>
      </c>
      <c r="F1223" s="397" t="s">
        <v>191</v>
      </c>
      <c r="G1223" s="396">
        <v>24</v>
      </c>
      <c r="H1223" s="395">
        <v>1423.52</v>
      </c>
      <c r="I1223" s="394">
        <v>1041.99</v>
      </c>
      <c r="J1223" s="394">
        <v>2033.6000000000001</v>
      </c>
      <c r="K1223" s="393" t="s">
        <v>1033</v>
      </c>
    </row>
    <row r="1224" spans="1:12" hidden="1" x14ac:dyDescent="0.3">
      <c r="A1224" s="397" t="s">
        <v>2710</v>
      </c>
      <c r="C1224" s="397" t="s">
        <v>1053</v>
      </c>
      <c r="D1224" s="397" t="s">
        <v>2709</v>
      </c>
      <c r="E1224" s="397" t="s">
        <v>374</v>
      </c>
      <c r="F1224" s="397" t="s">
        <v>191</v>
      </c>
      <c r="G1224" s="396">
        <v>1</v>
      </c>
      <c r="H1224" s="395">
        <v>1872.3040000000001</v>
      </c>
      <c r="I1224" s="394">
        <v>1634.13</v>
      </c>
      <c r="J1224" s="394">
        <v>2674.7200000000003</v>
      </c>
      <c r="K1224" s="393" t="s">
        <v>1033</v>
      </c>
    </row>
    <row r="1225" spans="1:12" hidden="1" x14ac:dyDescent="0.3">
      <c r="A1225" s="397" t="s">
        <v>8214</v>
      </c>
      <c r="C1225" s="397" t="s">
        <v>1053</v>
      </c>
      <c r="D1225" s="397" t="s">
        <v>8213</v>
      </c>
      <c r="E1225" s="397" t="s">
        <v>8212</v>
      </c>
      <c r="F1225" s="397" t="s">
        <v>191</v>
      </c>
      <c r="G1225" s="396">
        <v>1</v>
      </c>
      <c r="H1225" s="395">
        <v>187548.46600000001</v>
      </c>
      <c r="I1225" s="394">
        <v>78208.27</v>
      </c>
      <c r="J1225" s="394">
        <v>267926.38</v>
      </c>
      <c r="K1225" s="393" t="s">
        <v>1033</v>
      </c>
    </row>
    <row r="1226" spans="1:12" hidden="1" x14ac:dyDescent="0.3">
      <c r="A1226" s="397" t="s">
        <v>2497</v>
      </c>
      <c r="C1226" s="397" t="s">
        <v>1053</v>
      </c>
      <c r="D1226" s="397" t="s">
        <v>2496</v>
      </c>
      <c r="E1226" s="397" t="s">
        <v>2035</v>
      </c>
      <c r="F1226" s="397" t="s">
        <v>191</v>
      </c>
      <c r="G1226" s="396">
        <v>2</v>
      </c>
      <c r="H1226" s="395">
        <v>6132.0769999999993</v>
      </c>
      <c r="I1226" s="394">
        <v>297.01</v>
      </c>
      <c r="J1226" s="394">
        <v>8760.11</v>
      </c>
      <c r="K1226" s="393" t="s">
        <v>1033</v>
      </c>
    </row>
    <row r="1227" spans="1:12" hidden="1" x14ac:dyDescent="0.3">
      <c r="A1227" s="397" t="s">
        <v>2521</v>
      </c>
      <c r="C1227" s="397" t="s">
        <v>1053</v>
      </c>
      <c r="D1227" s="397" t="s">
        <v>2520</v>
      </c>
      <c r="E1227" s="397" t="s">
        <v>2519</v>
      </c>
      <c r="F1227" s="397" t="s">
        <v>191</v>
      </c>
      <c r="G1227" s="396">
        <v>1</v>
      </c>
      <c r="H1227" s="395">
        <v>4872.8119999999999</v>
      </c>
      <c r="I1227" s="394">
        <v>3339.23</v>
      </c>
      <c r="J1227" s="394">
        <v>6961.16</v>
      </c>
      <c r="K1227" s="393" t="s">
        <v>1033</v>
      </c>
    </row>
    <row r="1228" spans="1:12" hidden="1" x14ac:dyDescent="0.3">
      <c r="A1228" s="397" t="s">
        <v>6963</v>
      </c>
      <c r="C1228" s="397" t="s">
        <v>1053</v>
      </c>
      <c r="D1228" s="397" t="s">
        <v>492</v>
      </c>
      <c r="E1228" s="397" t="s">
        <v>491</v>
      </c>
      <c r="F1228" s="397" t="s">
        <v>191</v>
      </c>
      <c r="G1228" s="396">
        <v>1</v>
      </c>
      <c r="H1228" s="395">
        <v>12921.16</v>
      </c>
      <c r="I1228" s="394">
        <v>12874.380000000001</v>
      </c>
      <c r="J1228" s="394">
        <v>18458.8</v>
      </c>
      <c r="K1228" s="393" t="s">
        <v>1033</v>
      </c>
      <c r="L1228" s="395">
        <v>-1</v>
      </c>
    </row>
    <row r="1229" spans="1:12" hidden="1" x14ac:dyDescent="0.3">
      <c r="A1229" s="397" t="s">
        <v>2548</v>
      </c>
      <c r="C1229" s="397" t="s">
        <v>1053</v>
      </c>
      <c r="D1229" s="397" t="s">
        <v>2547</v>
      </c>
      <c r="E1229" s="397" t="s">
        <v>2519</v>
      </c>
      <c r="F1229" s="397" t="s">
        <v>191</v>
      </c>
      <c r="G1229" s="396">
        <v>12</v>
      </c>
      <c r="H1229" s="395">
        <v>3404.1909999999998</v>
      </c>
      <c r="I1229" s="394">
        <v>130.09</v>
      </c>
      <c r="J1229" s="394">
        <v>4863.13</v>
      </c>
      <c r="K1229" s="393" t="s">
        <v>1033</v>
      </c>
    </row>
    <row r="1230" spans="1:12" hidden="1" x14ac:dyDescent="0.3">
      <c r="A1230" s="397" t="s">
        <v>2544</v>
      </c>
      <c r="C1230" s="397" t="s">
        <v>1053</v>
      </c>
      <c r="D1230" s="397" t="s">
        <v>2543</v>
      </c>
      <c r="E1230" s="397" t="s">
        <v>2035</v>
      </c>
      <c r="F1230" s="397" t="s">
        <v>191</v>
      </c>
      <c r="G1230" s="396">
        <v>9</v>
      </c>
      <c r="H1230" s="395">
        <v>4879.3360000000002</v>
      </c>
      <c r="I1230" s="394">
        <v>96.86</v>
      </c>
      <c r="J1230" s="394">
        <v>6970.4800000000005</v>
      </c>
      <c r="K1230" s="393" t="s">
        <v>1033</v>
      </c>
      <c r="L1230" s="395">
        <v>1</v>
      </c>
    </row>
    <row r="1231" spans="1:12" hidden="1" x14ac:dyDescent="0.3">
      <c r="A1231" s="397" t="s">
        <v>2554</v>
      </c>
      <c r="C1231" s="397" t="s">
        <v>1053</v>
      </c>
      <c r="D1231" s="397" t="s">
        <v>2553</v>
      </c>
      <c r="E1231" s="397" t="s">
        <v>2035</v>
      </c>
      <c r="F1231" s="397" t="s">
        <v>191</v>
      </c>
      <c r="G1231" s="396">
        <v>8</v>
      </c>
      <c r="H1231" s="395">
        <v>3066.0349999999999</v>
      </c>
      <c r="I1231" s="394">
        <v>2069.65</v>
      </c>
      <c r="J1231" s="394">
        <v>4380.05</v>
      </c>
      <c r="K1231" s="393" t="s">
        <v>1033</v>
      </c>
    </row>
    <row r="1232" spans="1:12" hidden="1" x14ac:dyDescent="0.3">
      <c r="A1232" s="397" t="s">
        <v>3006</v>
      </c>
      <c r="C1232" s="397" t="s">
        <v>1053</v>
      </c>
      <c r="D1232" s="397" t="s">
        <v>3005</v>
      </c>
      <c r="E1232" s="397" t="s">
        <v>2004</v>
      </c>
      <c r="F1232" s="397" t="s">
        <v>191</v>
      </c>
      <c r="G1232" s="396">
        <v>1</v>
      </c>
      <c r="H1232" s="395">
        <v>6132.0769999999993</v>
      </c>
      <c r="I1232" s="394">
        <v>36.97</v>
      </c>
      <c r="J1232" s="394">
        <v>8760.11</v>
      </c>
      <c r="K1232" s="393" t="s">
        <v>1033</v>
      </c>
    </row>
    <row r="1233" spans="1:12" hidden="1" x14ac:dyDescent="0.3">
      <c r="A1233" s="397" t="s">
        <v>2562</v>
      </c>
      <c r="C1233" s="397" t="s">
        <v>1053</v>
      </c>
      <c r="D1233" s="397" t="s">
        <v>2561</v>
      </c>
      <c r="E1233" s="397" t="s">
        <v>2519</v>
      </c>
      <c r="F1233" s="397" t="s">
        <v>191</v>
      </c>
      <c r="G1233" s="396">
        <v>2</v>
      </c>
      <c r="H1233" s="395">
        <v>3832.5490000000004</v>
      </c>
      <c r="I1233" s="394">
        <v>36.79</v>
      </c>
      <c r="J1233" s="394">
        <v>5475.07</v>
      </c>
      <c r="K1233" s="393" t="s">
        <v>1033</v>
      </c>
    </row>
    <row r="1234" spans="1:12" hidden="1" x14ac:dyDescent="0.3">
      <c r="A1234" s="397" t="s">
        <v>2876</v>
      </c>
      <c r="C1234" s="397" t="s">
        <v>1053</v>
      </c>
      <c r="D1234" s="397" t="s">
        <v>2875</v>
      </c>
      <c r="E1234" s="397" t="s">
        <v>2874</v>
      </c>
      <c r="F1234" s="397" t="s">
        <v>191</v>
      </c>
      <c r="G1234" s="396">
        <v>1</v>
      </c>
      <c r="H1234" s="395">
        <v>84808.808000000005</v>
      </c>
      <c r="I1234" s="394">
        <v>82473.149999999994</v>
      </c>
      <c r="J1234" s="394">
        <v>121155.44</v>
      </c>
      <c r="K1234" s="393" t="s">
        <v>1033</v>
      </c>
    </row>
    <row r="1235" spans="1:12" hidden="1" x14ac:dyDescent="0.3">
      <c r="A1235" s="397" t="s">
        <v>3876</v>
      </c>
      <c r="C1235" s="397" t="s">
        <v>1053</v>
      </c>
      <c r="D1235" s="397" t="s">
        <v>3875</v>
      </c>
      <c r="E1235" s="397" t="s">
        <v>3874</v>
      </c>
      <c r="F1235" s="397" t="s">
        <v>191</v>
      </c>
      <c r="G1235" s="396">
        <v>1</v>
      </c>
      <c r="H1235" s="395">
        <v>8919.5400000000009</v>
      </c>
      <c r="I1235" s="394">
        <v>8330.49</v>
      </c>
      <c r="J1235" s="394">
        <v>12742.2</v>
      </c>
      <c r="K1235" s="393" t="s">
        <v>1033</v>
      </c>
    </row>
    <row r="1236" spans="1:12" hidden="1" x14ac:dyDescent="0.3">
      <c r="A1236" s="397" t="s">
        <v>3835</v>
      </c>
      <c r="C1236" s="397" t="s">
        <v>1053</v>
      </c>
      <c r="D1236" s="397" t="s">
        <v>3834</v>
      </c>
      <c r="E1236" s="397" t="s">
        <v>3833</v>
      </c>
      <c r="F1236" s="397" t="s">
        <v>191</v>
      </c>
      <c r="G1236" s="396">
        <v>1</v>
      </c>
      <c r="H1236" s="395">
        <v>118635.93699999999</v>
      </c>
      <c r="I1236" s="394">
        <v>76730.429999999993</v>
      </c>
      <c r="J1236" s="394">
        <v>169479.91</v>
      </c>
      <c r="K1236" s="393" t="s">
        <v>1033</v>
      </c>
    </row>
    <row r="1237" spans="1:12" hidden="1" x14ac:dyDescent="0.3">
      <c r="A1237" s="397" t="s">
        <v>6815</v>
      </c>
      <c r="C1237" s="397" t="s">
        <v>1053</v>
      </c>
      <c r="D1237" s="397" t="s">
        <v>6814</v>
      </c>
      <c r="E1237" s="397" t="s">
        <v>6813</v>
      </c>
      <c r="F1237" s="397" t="s">
        <v>191</v>
      </c>
      <c r="G1237" s="396">
        <v>2</v>
      </c>
      <c r="H1237" s="395">
        <v>15670.865</v>
      </c>
      <c r="I1237" s="394">
        <v>15049.81</v>
      </c>
      <c r="J1237" s="394">
        <v>22386.95</v>
      </c>
      <c r="K1237" s="393" t="s">
        <v>1033</v>
      </c>
    </row>
    <row r="1238" spans="1:12" hidden="1" x14ac:dyDescent="0.3">
      <c r="A1238" s="397" t="s">
        <v>2474</v>
      </c>
      <c r="C1238" s="397" t="s">
        <v>1053</v>
      </c>
      <c r="D1238" s="397" t="s">
        <v>2473</v>
      </c>
      <c r="E1238" s="397" t="s">
        <v>2035</v>
      </c>
      <c r="F1238" s="397" t="s">
        <v>191</v>
      </c>
      <c r="G1238" s="396">
        <v>2</v>
      </c>
      <c r="H1238" s="395">
        <v>11552.393999999998</v>
      </c>
      <c r="I1238" s="394">
        <v>9953.35</v>
      </c>
      <c r="J1238" s="394">
        <v>16503.419999999998</v>
      </c>
      <c r="K1238" s="393" t="s">
        <v>1033</v>
      </c>
    </row>
    <row r="1239" spans="1:12" hidden="1" x14ac:dyDescent="0.3">
      <c r="A1239" s="397" t="s">
        <v>4783</v>
      </c>
      <c r="C1239" s="397" t="s">
        <v>1053</v>
      </c>
      <c r="D1239" s="397" t="s">
        <v>4782</v>
      </c>
      <c r="E1239" s="397" t="s">
        <v>4781</v>
      </c>
      <c r="F1239" s="397" t="s">
        <v>191</v>
      </c>
      <c r="G1239" s="396">
        <v>6</v>
      </c>
      <c r="H1239" s="395">
        <v>5146.5609999999997</v>
      </c>
      <c r="I1239" s="394">
        <v>30.85</v>
      </c>
      <c r="J1239" s="394">
        <v>7352.2300000000005</v>
      </c>
      <c r="K1239" s="393" t="s">
        <v>1033</v>
      </c>
    </row>
    <row r="1240" spans="1:12" hidden="1" x14ac:dyDescent="0.3">
      <c r="A1240" s="397" t="s">
        <v>5507</v>
      </c>
      <c r="C1240" s="397" t="s">
        <v>1053</v>
      </c>
      <c r="D1240" s="397" t="s">
        <v>5506</v>
      </c>
      <c r="E1240" s="397" t="s">
        <v>5500</v>
      </c>
      <c r="F1240" s="397" t="s">
        <v>191</v>
      </c>
      <c r="G1240" s="396">
        <v>1</v>
      </c>
      <c r="H1240" s="395">
        <v>8840.9089999999997</v>
      </c>
      <c r="I1240" s="394">
        <v>52.63</v>
      </c>
      <c r="J1240" s="394">
        <v>12629.87</v>
      </c>
      <c r="K1240" s="393" t="s">
        <v>1033</v>
      </c>
    </row>
    <row r="1241" spans="1:12" hidden="1" x14ac:dyDescent="0.3">
      <c r="A1241" s="397" t="s">
        <v>6962</v>
      </c>
      <c r="C1241" s="397" t="s">
        <v>1053</v>
      </c>
      <c r="D1241" s="397" t="s">
        <v>6961</v>
      </c>
      <c r="E1241" s="397" t="s">
        <v>6960</v>
      </c>
      <c r="F1241" s="397" t="s">
        <v>191</v>
      </c>
      <c r="G1241" s="396">
        <v>1</v>
      </c>
      <c r="H1241" s="395">
        <v>1702.0920000000001</v>
      </c>
      <c r="I1241" s="394">
        <v>68.900000000000006</v>
      </c>
      <c r="J1241" s="394">
        <v>2431.56</v>
      </c>
      <c r="K1241" s="393" t="s">
        <v>1033</v>
      </c>
    </row>
    <row r="1242" spans="1:12" hidden="1" x14ac:dyDescent="0.3">
      <c r="A1242" s="397" t="s">
        <v>5032</v>
      </c>
      <c r="C1242" s="397" t="s">
        <v>1053</v>
      </c>
      <c r="D1242" s="397" t="s">
        <v>5031</v>
      </c>
      <c r="E1242" s="397" t="s">
        <v>5030</v>
      </c>
      <c r="F1242" s="397" t="s">
        <v>191</v>
      </c>
      <c r="G1242" s="396">
        <v>1</v>
      </c>
      <c r="H1242" s="395">
        <v>41053.887000000002</v>
      </c>
      <c r="I1242" s="394">
        <v>3287.15</v>
      </c>
      <c r="J1242" s="394">
        <v>58648.41</v>
      </c>
      <c r="K1242" s="393" t="s">
        <v>1033</v>
      </c>
      <c r="L1242" s="395">
        <v>1</v>
      </c>
    </row>
    <row r="1243" spans="1:12" hidden="1" x14ac:dyDescent="0.3">
      <c r="A1243" s="397" t="s">
        <v>5502</v>
      </c>
      <c r="C1243" s="397" t="s">
        <v>1053</v>
      </c>
      <c r="D1243" s="397" t="s">
        <v>5501</v>
      </c>
      <c r="E1243" s="397" t="s">
        <v>5500</v>
      </c>
      <c r="F1243" s="397" t="s">
        <v>191</v>
      </c>
      <c r="G1243" s="396">
        <v>2</v>
      </c>
      <c r="H1243" s="395">
        <v>18419.043999999998</v>
      </c>
      <c r="I1243" s="394">
        <v>101.27</v>
      </c>
      <c r="J1243" s="394">
        <v>26312.920000000002</v>
      </c>
      <c r="K1243" s="393" t="s">
        <v>1033</v>
      </c>
    </row>
    <row r="1244" spans="1:12" hidden="1" x14ac:dyDescent="0.3">
      <c r="A1244" s="397" t="s">
        <v>3879</v>
      </c>
      <c r="C1244" s="397" t="s">
        <v>1053</v>
      </c>
      <c r="D1244" s="397" t="s">
        <v>3878</v>
      </c>
      <c r="E1244" s="397" t="s">
        <v>3877</v>
      </c>
      <c r="F1244" s="397" t="s">
        <v>191</v>
      </c>
      <c r="G1244" s="396">
        <v>3</v>
      </c>
      <c r="H1244" s="395">
        <v>236392.15600000002</v>
      </c>
      <c r="I1244" s="394">
        <v>12371.84</v>
      </c>
      <c r="J1244" s="394">
        <v>337703.08</v>
      </c>
      <c r="K1244" s="393" t="s">
        <v>1033</v>
      </c>
    </row>
    <row r="1245" spans="1:12" hidden="1" x14ac:dyDescent="0.3">
      <c r="A1245" s="397" t="s">
        <v>4815</v>
      </c>
      <c r="C1245" s="397" t="s">
        <v>1053</v>
      </c>
      <c r="D1245" s="397" t="s">
        <v>4814</v>
      </c>
      <c r="E1245" s="397" t="s">
        <v>4813</v>
      </c>
      <c r="F1245" s="397" t="s">
        <v>191</v>
      </c>
      <c r="G1245" s="396">
        <v>1</v>
      </c>
      <c r="H1245" s="395">
        <v>74948.86</v>
      </c>
      <c r="I1245" s="394">
        <v>6816.25</v>
      </c>
      <c r="J1245" s="394">
        <v>107069.8</v>
      </c>
      <c r="K1245" s="393" t="s">
        <v>1033</v>
      </c>
    </row>
    <row r="1246" spans="1:12" hidden="1" x14ac:dyDescent="0.3">
      <c r="A1246" s="397" t="s">
        <v>4836</v>
      </c>
      <c r="C1246" s="397" t="s">
        <v>1053</v>
      </c>
      <c r="D1246" s="397" t="s">
        <v>4835</v>
      </c>
      <c r="E1246" s="397" t="s">
        <v>4834</v>
      </c>
      <c r="F1246" s="397" t="s">
        <v>191</v>
      </c>
      <c r="G1246" s="396">
        <v>2</v>
      </c>
      <c r="H1246" s="395">
        <v>102466.042</v>
      </c>
      <c r="I1246" s="394">
        <v>100654.26000000001</v>
      </c>
      <c r="J1246" s="394">
        <v>146380.06</v>
      </c>
      <c r="K1246" s="393" t="s">
        <v>1033</v>
      </c>
    </row>
    <row r="1247" spans="1:12" hidden="1" x14ac:dyDescent="0.3">
      <c r="A1247" s="397" t="s">
        <v>4830</v>
      </c>
      <c r="C1247" s="397" t="s">
        <v>1053</v>
      </c>
      <c r="D1247" s="397" t="s">
        <v>4829</v>
      </c>
      <c r="E1247" s="397" t="s">
        <v>4828</v>
      </c>
      <c r="F1247" s="397" t="s">
        <v>191</v>
      </c>
      <c r="G1247" s="396">
        <v>1</v>
      </c>
      <c r="H1247" s="395">
        <v>90448.126999999993</v>
      </c>
      <c r="I1247" s="394">
        <v>1066.68</v>
      </c>
      <c r="J1247" s="394">
        <v>129211.61</v>
      </c>
      <c r="K1247" s="393" t="s">
        <v>1033</v>
      </c>
    </row>
    <row r="1248" spans="1:12" hidden="1" x14ac:dyDescent="0.3">
      <c r="A1248" s="397" t="s">
        <v>3433</v>
      </c>
      <c r="C1248" s="397" t="s">
        <v>1053</v>
      </c>
      <c r="D1248" s="397" t="s">
        <v>3432</v>
      </c>
      <c r="E1248" s="397" t="s">
        <v>3431</v>
      </c>
      <c r="F1248" s="397" t="s">
        <v>191</v>
      </c>
      <c r="G1248" s="396">
        <v>1</v>
      </c>
      <c r="H1248" s="395">
        <v>2439.6680000000001</v>
      </c>
      <c r="I1248" s="394">
        <v>11.24</v>
      </c>
      <c r="J1248" s="394">
        <v>3485.2400000000002</v>
      </c>
      <c r="K1248" s="393" t="s">
        <v>1033</v>
      </c>
    </row>
    <row r="1249" spans="1:12" hidden="1" x14ac:dyDescent="0.3">
      <c r="A1249" s="397" t="s">
        <v>3463</v>
      </c>
      <c r="C1249" s="397" t="s">
        <v>1053</v>
      </c>
      <c r="D1249" s="397" t="s">
        <v>3462</v>
      </c>
      <c r="E1249" s="397" t="s">
        <v>3461</v>
      </c>
      <c r="F1249" s="397" t="s">
        <v>191</v>
      </c>
      <c r="G1249" s="396">
        <v>1</v>
      </c>
      <c r="H1249" s="395">
        <v>58196.635000000002</v>
      </c>
      <c r="I1249" s="394">
        <v>227.47</v>
      </c>
      <c r="J1249" s="394">
        <v>83138.05</v>
      </c>
      <c r="K1249" s="393" t="s">
        <v>1033</v>
      </c>
    </row>
    <row r="1250" spans="1:12" hidden="1" x14ac:dyDescent="0.3">
      <c r="A1250" s="397" t="s">
        <v>3468</v>
      </c>
      <c r="C1250" s="397" t="s">
        <v>1053</v>
      </c>
      <c r="D1250" s="397" t="s">
        <v>3467</v>
      </c>
      <c r="E1250" s="397" t="s">
        <v>3464</v>
      </c>
      <c r="F1250" s="397" t="s">
        <v>191</v>
      </c>
      <c r="G1250" s="396">
        <v>1</v>
      </c>
      <c r="H1250" s="395">
        <v>69454.881999999998</v>
      </c>
      <c r="I1250" s="394">
        <v>76.239999999999995</v>
      </c>
      <c r="J1250" s="394">
        <v>99221.260000000009</v>
      </c>
      <c r="K1250" s="393" t="s">
        <v>1033</v>
      </c>
    </row>
    <row r="1251" spans="1:12" hidden="1" x14ac:dyDescent="0.3">
      <c r="A1251" s="397" t="s">
        <v>5329</v>
      </c>
      <c r="C1251" s="397" t="s">
        <v>1053</v>
      </c>
      <c r="D1251" s="397" t="s">
        <v>5328</v>
      </c>
      <c r="E1251" s="397" t="s">
        <v>5327</v>
      </c>
      <c r="F1251" s="397" t="s">
        <v>191</v>
      </c>
      <c r="G1251" s="396">
        <v>1</v>
      </c>
      <c r="H1251" s="395">
        <v>5614.9870000000001</v>
      </c>
      <c r="I1251" s="394">
        <v>17.239999999999998</v>
      </c>
      <c r="J1251" s="394">
        <v>8021.41</v>
      </c>
      <c r="K1251" s="393" t="s">
        <v>1033</v>
      </c>
    </row>
    <row r="1252" spans="1:12" hidden="1" x14ac:dyDescent="0.3">
      <c r="A1252" s="397" t="s">
        <v>3032</v>
      </c>
      <c r="C1252" s="397" t="s">
        <v>1053</v>
      </c>
      <c r="D1252" s="397" t="s">
        <v>3031</v>
      </c>
      <c r="E1252" s="397" t="s">
        <v>501</v>
      </c>
      <c r="F1252" s="397" t="s">
        <v>191</v>
      </c>
      <c r="G1252" s="396">
        <v>6</v>
      </c>
      <c r="H1252" s="395">
        <v>6132.0769999999993</v>
      </c>
      <c r="I1252" s="394">
        <v>5963.46</v>
      </c>
      <c r="J1252" s="394">
        <v>8760.11</v>
      </c>
      <c r="K1252" s="393" t="s">
        <v>1033</v>
      </c>
    </row>
    <row r="1253" spans="1:12" hidden="1" x14ac:dyDescent="0.3">
      <c r="A1253" s="397" t="s">
        <v>4876</v>
      </c>
      <c r="C1253" s="397" t="s">
        <v>1053</v>
      </c>
      <c r="D1253" s="397" t="s">
        <v>4875</v>
      </c>
      <c r="E1253" s="397" t="s">
        <v>4874</v>
      </c>
      <c r="F1253" s="397" t="s">
        <v>191</v>
      </c>
      <c r="G1253" s="396">
        <v>1</v>
      </c>
      <c r="H1253" s="395">
        <v>127404.837</v>
      </c>
      <c r="I1253" s="394">
        <v>7462.14</v>
      </c>
      <c r="J1253" s="394">
        <v>182006.91</v>
      </c>
      <c r="K1253" s="393" t="s">
        <v>1033</v>
      </c>
    </row>
    <row r="1254" spans="1:12" hidden="1" x14ac:dyDescent="0.3">
      <c r="A1254" s="397" t="s">
        <v>1168</v>
      </c>
      <c r="C1254" s="397" t="s">
        <v>1053</v>
      </c>
      <c r="D1254" s="397" t="s">
        <v>1167</v>
      </c>
      <c r="E1254" s="397" t="s">
        <v>1166</v>
      </c>
      <c r="F1254" s="397" t="s">
        <v>191</v>
      </c>
      <c r="G1254" s="396">
        <v>1</v>
      </c>
      <c r="H1254" s="395">
        <v>395691.73700000002</v>
      </c>
      <c r="I1254" s="394">
        <v>9606.59</v>
      </c>
      <c r="J1254" s="394">
        <v>565273.91</v>
      </c>
      <c r="K1254" s="393" t="s">
        <v>1033</v>
      </c>
    </row>
    <row r="1255" spans="1:12" hidden="1" x14ac:dyDescent="0.3">
      <c r="A1255" s="397" t="s">
        <v>6810</v>
      </c>
      <c r="C1255" s="397" t="s">
        <v>1053</v>
      </c>
      <c r="D1255" s="397" t="s">
        <v>6809</v>
      </c>
      <c r="E1255" s="397" t="s">
        <v>6808</v>
      </c>
      <c r="F1255" s="397" t="s">
        <v>191</v>
      </c>
      <c r="G1255" s="396">
        <v>1</v>
      </c>
      <c r="H1255" s="395">
        <v>15251.11</v>
      </c>
      <c r="I1255" s="394">
        <v>14628.83</v>
      </c>
      <c r="J1255" s="394">
        <v>21787.3</v>
      </c>
      <c r="K1255" s="393" t="s">
        <v>1033</v>
      </c>
    </row>
    <row r="1256" spans="1:12" hidden="1" x14ac:dyDescent="0.3">
      <c r="A1256" s="397" t="s">
        <v>4022</v>
      </c>
      <c r="C1256" s="397" t="s">
        <v>1053</v>
      </c>
      <c r="D1256" s="397" t="s">
        <v>4021</v>
      </c>
      <c r="E1256" s="397" t="s">
        <v>4020</v>
      </c>
      <c r="F1256" s="397" t="s">
        <v>191</v>
      </c>
      <c r="G1256" s="396">
        <v>2</v>
      </c>
      <c r="H1256" s="395">
        <v>32029.151000000002</v>
      </c>
      <c r="I1256" s="394">
        <v>31959.920000000002</v>
      </c>
      <c r="J1256" s="394">
        <v>45755.93</v>
      </c>
      <c r="K1256" s="393" t="s">
        <v>1033</v>
      </c>
    </row>
    <row r="1257" spans="1:12" hidden="1" x14ac:dyDescent="0.3">
      <c r="A1257" s="397" t="s">
        <v>3575</v>
      </c>
      <c r="C1257" s="397" t="s">
        <v>1053</v>
      </c>
      <c r="D1257" s="397" t="s">
        <v>3574</v>
      </c>
      <c r="E1257" s="397" t="s">
        <v>3573</v>
      </c>
      <c r="F1257" s="397" t="s">
        <v>191</v>
      </c>
      <c r="G1257" s="396">
        <v>1</v>
      </c>
      <c r="H1257" s="395">
        <v>55517.189000000006</v>
      </c>
      <c r="I1257" s="394">
        <v>43063.71</v>
      </c>
      <c r="J1257" s="394">
        <v>79310.27</v>
      </c>
      <c r="K1257" s="393" t="s">
        <v>1033</v>
      </c>
    </row>
    <row r="1258" spans="1:12" hidden="1" x14ac:dyDescent="0.3">
      <c r="A1258" s="397" t="s">
        <v>4780</v>
      </c>
      <c r="C1258" s="397" t="s">
        <v>1053</v>
      </c>
      <c r="D1258" s="397" t="s">
        <v>4779</v>
      </c>
      <c r="E1258" s="397" t="s">
        <v>4778</v>
      </c>
      <c r="F1258" s="397" t="s">
        <v>191</v>
      </c>
      <c r="G1258" s="396">
        <v>1</v>
      </c>
      <c r="H1258" s="395">
        <v>68512.422999999995</v>
      </c>
      <c r="I1258" s="394">
        <v>4704.46</v>
      </c>
      <c r="J1258" s="394">
        <v>97874.89</v>
      </c>
      <c r="K1258" s="393" t="s">
        <v>1033</v>
      </c>
    </row>
    <row r="1259" spans="1:12" hidden="1" x14ac:dyDescent="0.3">
      <c r="A1259" s="397" t="s">
        <v>3538</v>
      </c>
      <c r="C1259" s="397" t="s">
        <v>1053</v>
      </c>
      <c r="D1259" s="397" t="s">
        <v>3537</v>
      </c>
      <c r="E1259" s="397" t="s">
        <v>3536</v>
      </c>
      <c r="F1259" s="397" t="s">
        <v>191</v>
      </c>
      <c r="G1259" s="396">
        <v>1</v>
      </c>
      <c r="H1259" s="395">
        <v>202464.052</v>
      </c>
      <c r="I1259" s="394">
        <v>1756.41</v>
      </c>
      <c r="J1259" s="394">
        <v>289234.36</v>
      </c>
      <c r="K1259" s="393" t="s">
        <v>1033</v>
      </c>
    </row>
    <row r="1260" spans="1:12" hidden="1" x14ac:dyDescent="0.3">
      <c r="A1260" s="397" t="s">
        <v>5038</v>
      </c>
      <c r="C1260" s="397" t="s">
        <v>1053</v>
      </c>
      <c r="D1260" s="397" t="s">
        <v>5037</v>
      </c>
      <c r="E1260" s="397" t="s">
        <v>5036</v>
      </c>
      <c r="F1260" s="397" t="s">
        <v>191</v>
      </c>
      <c r="G1260" s="396">
        <v>1</v>
      </c>
      <c r="H1260" s="395">
        <v>42330.175999999999</v>
      </c>
      <c r="I1260" s="394">
        <v>40717.53</v>
      </c>
      <c r="J1260" s="394">
        <v>60471.68</v>
      </c>
      <c r="K1260" s="393" t="s">
        <v>1033</v>
      </c>
      <c r="L1260" s="395">
        <v>1</v>
      </c>
    </row>
    <row r="1261" spans="1:12" hidden="1" x14ac:dyDescent="0.3">
      <c r="A1261" s="397" t="s">
        <v>3474</v>
      </c>
      <c r="C1261" s="397" t="s">
        <v>1053</v>
      </c>
      <c r="D1261" s="397" t="s">
        <v>3473</v>
      </c>
      <c r="E1261" s="397" t="s">
        <v>3472</v>
      </c>
      <c r="F1261" s="397" t="s">
        <v>191</v>
      </c>
      <c r="G1261" s="396">
        <v>5</v>
      </c>
      <c r="H1261" s="395">
        <v>10224.921</v>
      </c>
      <c r="I1261" s="394">
        <v>10044.11</v>
      </c>
      <c r="J1261" s="394">
        <v>14607.03</v>
      </c>
      <c r="K1261" s="393" t="s">
        <v>1033</v>
      </c>
      <c r="L1261" s="395">
        <v>1</v>
      </c>
    </row>
    <row r="1262" spans="1:12" hidden="1" x14ac:dyDescent="0.3">
      <c r="A1262" s="397" t="s">
        <v>3803</v>
      </c>
      <c r="C1262" s="397" t="s">
        <v>1053</v>
      </c>
      <c r="D1262" s="397" t="s">
        <v>3802</v>
      </c>
      <c r="E1262" s="397" t="s">
        <v>3801</v>
      </c>
      <c r="F1262" s="397" t="s">
        <v>191</v>
      </c>
      <c r="G1262" s="396">
        <v>1</v>
      </c>
      <c r="H1262" s="395">
        <v>70573.629000000001</v>
      </c>
      <c r="I1262" s="394">
        <v>70391.100000000006</v>
      </c>
      <c r="J1262" s="394">
        <v>100819.47</v>
      </c>
      <c r="K1262" s="393" t="s">
        <v>1033</v>
      </c>
    </row>
    <row r="1263" spans="1:12" hidden="1" x14ac:dyDescent="0.3">
      <c r="A1263" s="397" t="s">
        <v>3563</v>
      </c>
      <c r="C1263" s="397" t="s">
        <v>1053</v>
      </c>
      <c r="D1263" s="397" t="s">
        <v>3562</v>
      </c>
      <c r="E1263" s="397" t="s">
        <v>3561</v>
      </c>
      <c r="F1263" s="397" t="s">
        <v>191</v>
      </c>
      <c r="G1263" s="396">
        <v>1</v>
      </c>
      <c r="H1263" s="395">
        <v>391.37699999999995</v>
      </c>
      <c r="I1263" s="394">
        <v>160.74</v>
      </c>
      <c r="J1263" s="394">
        <v>559.11</v>
      </c>
      <c r="K1263" s="393" t="s">
        <v>1033</v>
      </c>
    </row>
    <row r="1264" spans="1:12" hidden="1" x14ac:dyDescent="0.3">
      <c r="A1264" s="397" t="s">
        <v>3812</v>
      </c>
      <c r="C1264" s="397" t="s">
        <v>1053</v>
      </c>
      <c r="D1264" s="397" t="s">
        <v>3811</v>
      </c>
      <c r="E1264" s="397" t="s">
        <v>3810</v>
      </c>
      <c r="F1264" s="397" t="s">
        <v>191</v>
      </c>
      <c r="G1264" s="396">
        <v>1</v>
      </c>
      <c r="H1264" s="395">
        <v>175130.00399999999</v>
      </c>
      <c r="I1264" s="394">
        <v>2951.1</v>
      </c>
      <c r="J1264" s="394">
        <v>250185.72</v>
      </c>
      <c r="K1264" s="393" t="s">
        <v>1033</v>
      </c>
    </row>
    <row r="1265" spans="1:11" hidden="1" x14ac:dyDescent="0.3">
      <c r="A1265" s="397" t="s">
        <v>8276</v>
      </c>
      <c r="C1265" s="397" t="s">
        <v>1053</v>
      </c>
      <c r="D1265" s="397" t="s">
        <v>8275</v>
      </c>
      <c r="E1265" s="397" t="s">
        <v>8274</v>
      </c>
      <c r="F1265" s="397" t="s">
        <v>191</v>
      </c>
      <c r="G1265" s="396">
        <v>1</v>
      </c>
      <c r="H1265" s="395">
        <v>7498.6660000000002</v>
      </c>
      <c r="I1265" s="394">
        <v>201.72</v>
      </c>
      <c r="J1265" s="394">
        <v>10712.380000000001</v>
      </c>
      <c r="K1265" s="393" t="s">
        <v>1033</v>
      </c>
    </row>
    <row r="1266" spans="1:11" hidden="1" x14ac:dyDescent="0.3">
      <c r="A1266" s="397" t="s">
        <v>6152</v>
      </c>
      <c r="C1266" s="397" t="s">
        <v>1053</v>
      </c>
      <c r="D1266" s="397" t="s">
        <v>6151</v>
      </c>
      <c r="E1266" s="397" t="s">
        <v>6150</v>
      </c>
      <c r="F1266" s="397" t="s">
        <v>191</v>
      </c>
      <c r="G1266" s="396">
        <v>2</v>
      </c>
      <c r="H1266" s="395">
        <v>8430.0859999999993</v>
      </c>
      <c r="I1266" s="394">
        <v>6846.6500000000005</v>
      </c>
      <c r="J1266" s="394">
        <v>12042.98</v>
      </c>
      <c r="K1266" s="393" t="s">
        <v>1033</v>
      </c>
    </row>
    <row r="1267" spans="1:11" hidden="1" x14ac:dyDescent="0.3">
      <c r="A1267" s="397" t="s">
        <v>4710</v>
      </c>
      <c r="C1267" s="397" t="s">
        <v>1053</v>
      </c>
      <c r="D1267" s="397" t="s">
        <v>4709</v>
      </c>
      <c r="E1267" s="397" t="s">
        <v>4708</v>
      </c>
      <c r="F1267" s="397" t="s">
        <v>191</v>
      </c>
      <c r="G1267" s="396">
        <v>1</v>
      </c>
      <c r="H1267" s="395">
        <v>12647.411000000002</v>
      </c>
      <c r="I1267" s="394">
        <v>10943.73</v>
      </c>
      <c r="J1267" s="394">
        <v>18067.73</v>
      </c>
      <c r="K1267" s="393" t="s">
        <v>1033</v>
      </c>
    </row>
    <row r="1268" spans="1:11" hidden="1" x14ac:dyDescent="0.3">
      <c r="A1268" s="397" t="s">
        <v>4827</v>
      </c>
      <c r="C1268" s="397" t="s">
        <v>1053</v>
      </c>
      <c r="D1268" s="397" t="s">
        <v>4826</v>
      </c>
      <c r="E1268" s="397" t="s">
        <v>4825</v>
      </c>
      <c r="F1268" s="397" t="s">
        <v>191</v>
      </c>
      <c r="G1268" s="396">
        <v>1</v>
      </c>
      <c r="H1268" s="395">
        <v>592555.57200000004</v>
      </c>
      <c r="I1268" s="394">
        <v>343821.06</v>
      </c>
      <c r="J1268" s="394">
        <v>846507.96</v>
      </c>
      <c r="K1268" s="393" t="s">
        <v>1033</v>
      </c>
    </row>
    <row r="1269" spans="1:11" hidden="1" x14ac:dyDescent="0.3">
      <c r="A1269" s="397" t="s">
        <v>4713</v>
      </c>
      <c r="C1269" s="397" t="s">
        <v>1053</v>
      </c>
      <c r="D1269" s="397" t="s">
        <v>4712</v>
      </c>
      <c r="E1269" s="397" t="s">
        <v>4711</v>
      </c>
      <c r="F1269" s="397" t="s">
        <v>191</v>
      </c>
      <c r="G1269" s="396">
        <v>1</v>
      </c>
      <c r="H1269" s="395">
        <v>27517.182000000001</v>
      </c>
      <c r="I1269" s="394">
        <v>170.24</v>
      </c>
      <c r="J1269" s="394">
        <v>39310.26</v>
      </c>
      <c r="K1269" s="393" t="s">
        <v>1033</v>
      </c>
    </row>
    <row r="1270" spans="1:11" hidden="1" x14ac:dyDescent="0.3">
      <c r="A1270" s="397" t="s">
        <v>3560</v>
      </c>
      <c r="C1270" s="397" t="s">
        <v>1053</v>
      </c>
      <c r="D1270" s="397" t="s">
        <v>3559</v>
      </c>
      <c r="E1270" s="397" t="s">
        <v>3558</v>
      </c>
      <c r="F1270" s="397" t="s">
        <v>191</v>
      </c>
      <c r="G1270" s="396">
        <v>1</v>
      </c>
      <c r="H1270" s="395">
        <v>24145.051000000003</v>
      </c>
      <c r="I1270" s="394">
        <v>30.580000000000002</v>
      </c>
      <c r="J1270" s="394">
        <v>34492.93</v>
      </c>
      <c r="K1270" s="393" t="s">
        <v>1033</v>
      </c>
    </row>
    <row r="1271" spans="1:11" hidden="1" x14ac:dyDescent="0.3">
      <c r="A1271" s="397" t="s">
        <v>4807</v>
      </c>
      <c r="C1271" s="397" t="s">
        <v>1053</v>
      </c>
      <c r="D1271" s="397" t="s">
        <v>4806</v>
      </c>
      <c r="E1271" s="397" t="s">
        <v>4805</v>
      </c>
      <c r="F1271" s="397" t="s">
        <v>191</v>
      </c>
      <c r="G1271" s="396">
        <v>1</v>
      </c>
      <c r="H1271" s="395">
        <v>21731.457999999999</v>
      </c>
      <c r="I1271" s="394">
        <v>4979.82</v>
      </c>
      <c r="J1271" s="394">
        <v>31044.940000000002</v>
      </c>
      <c r="K1271" s="393" t="s">
        <v>1033</v>
      </c>
    </row>
    <row r="1272" spans="1:11" hidden="1" x14ac:dyDescent="0.3">
      <c r="A1272" s="397" t="s">
        <v>4801</v>
      </c>
      <c r="C1272" s="397" t="s">
        <v>1053</v>
      </c>
      <c r="D1272" s="397" t="s">
        <v>4800</v>
      </c>
      <c r="E1272" s="397" t="s">
        <v>4799</v>
      </c>
      <c r="F1272" s="397" t="s">
        <v>191</v>
      </c>
      <c r="G1272" s="396">
        <v>1</v>
      </c>
      <c r="H1272" s="395">
        <v>12095.335000000001</v>
      </c>
      <c r="I1272" s="394">
        <v>566.37</v>
      </c>
      <c r="J1272" s="394">
        <v>17279.05</v>
      </c>
      <c r="K1272" s="393" t="s">
        <v>1033</v>
      </c>
    </row>
    <row r="1273" spans="1:11" hidden="1" x14ac:dyDescent="0.3">
      <c r="A1273" s="397" t="s">
        <v>8073</v>
      </c>
      <c r="C1273" s="397" t="s">
        <v>1053</v>
      </c>
      <c r="D1273" s="397" t="s">
        <v>8072</v>
      </c>
      <c r="E1273" s="397" t="s">
        <v>8071</v>
      </c>
      <c r="F1273" s="397" t="s">
        <v>191</v>
      </c>
      <c r="G1273" s="396">
        <v>1</v>
      </c>
      <c r="H1273" s="395">
        <v>25954.865999999998</v>
      </c>
      <c r="I1273" s="394">
        <v>14863.12</v>
      </c>
      <c r="J1273" s="394">
        <v>37078.379999999997</v>
      </c>
      <c r="K1273" s="393" t="s">
        <v>1033</v>
      </c>
    </row>
    <row r="1274" spans="1:11" hidden="1" x14ac:dyDescent="0.3">
      <c r="A1274" s="397" t="s">
        <v>4833</v>
      </c>
      <c r="C1274" s="397" t="s">
        <v>1053</v>
      </c>
      <c r="D1274" s="397" t="s">
        <v>4832</v>
      </c>
      <c r="E1274" s="397" t="s">
        <v>4831</v>
      </c>
      <c r="F1274" s="397" t="s">
        <v>191</v>
      </c>
      <c r="G1274" s="396">
        <v>1</v>
      </c>
      <c r="H1274" s="395">
        <v>102466.042</v>
      </c>
      <c r="I1274" s="394">
        <v>100654.26000000001</v>
      </c>
      <c r="J1274" s="394">
        <v>146380.06</v>
      </c>
      <c r="K1274" s="393" t="s">
        <v>1033</v>
      </c>
    </row>
    <row r="1275" spans="1:11" hidden="1" x14ac:dyDescent="0.3">
      <c r="A1275" s="397" t="s">
        <v>3446</v>
      </c>
      <c r="C1275" s="397" t="s">
        <v>1053</v>
      </c>
      <c r="D1275" s="397" t="s">
        <v>3445</v>
      </c>
      <c r="E1275" s="397" t="s">
        <v>3444</v>
      </c>
      <c r="F1275" s="397" t="s">
        <v>191</v>
      </c>
      <c r="G1275" s="396">
        <v>1</v>
      </c>
      <c r="H1275" s="395">
        <v>369319.67100000003</v>
      </c>
      <c r="I1275" s="394">
        <v>53961.950000000004</v>
      </c>
      <c r="J1275" s="394">
        <v>527599.53</v>
      </c>
      <c r="K1275" s="393" t="s">
        <v>1033</v>
      </c>
    </row>
    <row r="1276" spans="1:11" hidden="1" x14ac:dyDescent="0.3">
      <c r="A1276" s="397" t="s">
        <v>6980</v>
      </c>
      <c r="C1276" s="397" t="s">
        <v>1053</v>
      </c>
      <c r="D1276" s="397" t="s">
        <v>6979</v>
      </c>
      <c r="E1276" s="397" t="s">
        <v>6978</v>
      </c>
      <c r="F1276" s="397" t="s">
        <v>191</v>
      </c>
      <c r="G1276" s="396">
        <v>1</v>
      </c>
      <c r="H1276" s="395">
        <v>79497.991999999998</v>
      </c>
      <c r="I1276" s="394">
        <v>2325.35</v>
      </c>
      <c r="J1276" s="394">
        <v>113568.56</v>
      </c>
      <c r="K1276" s="393" t="s">
        <v>1033</v>
      </c>
    </row>
    <row r="1277" spans="1:11" hidden="1" x14ac:dyDescent="0.3">
      <c r="A1277" s="397" t="s">
        <v>921</v>
      </c>
      <c r="C1277" s="397" t="s">
        <v>1053</v>
      </c>
      <c r="D1277" s="397" t="s">
        <v>920</v>
      </c>
      <c r="E1277" s="397" t="s">
        <v>343</v>
      </c>
      <c r="F1277" s="397" t="s">
        <v>191</v>
      </c>
      <c r="G1277" s="396">
        <v>1</v>
      </c>
      <c r="H1277" s="395">
        <v>26470.71</v>
      </c>
      <c r="I1277" s="394">
        <v>401.63</v>
      </c>
      <c r="J1277" s="394">
        <v>37815.300000000003</v>
      </c>
      <c r="K1277" s="393" t="s">
        <v>1033</v>
      </c>
    </row>
    <row r="1278" spans="1:11" hidden="1" x14ac:dyDescent="0.3">
      <c r="A1278" s="397" t="s">
        <v>4060</v>
      </c>
      <c r="C1278" s="397" t="s">
        <v>1053</v>
      </c>
      <c r="D1278" s="397" t="s">
        <v>4059</v>
      </c>
      <c r="E1278" s="397" t="s">
        <v>645</v>
      </c>
      <c r="F1278" s="397" t="s">
        <v>191</v>
      </c>
      <c r="G1278" s="396">
        <v>2</v>
      </c>
      <c r="H1278" s="395">
        <v>111910.39300000001</v>
      </c>
      <c r="I1278" s="394">
        <v>108840.64</v>
      </c>
      <c r="J1278" s="394">
        <v>159871.99</v>
      </c>
      <c r="K1278" s="393" t="s">
        <v>1033</v>
      </c>
    </row>
    <row r="1279" spans="1:11" hidden="1" x14ac:dyDescent="0.3">
      <c r="A1279" s="397" t="s">
        <v>3885</v>
      </c>
      <c r="C1279" s="397" t="s">
        <v>1053</v>
      </c>
      <c r="D1279" s="397" t="s">
        <v>3884</v>
      </c>
      <c r="E1279" s="397" t="s">
        <v>3883</v>
      </c>
      <c r="F1279" s="397" t="s">
        <v>191</v>
      </c>
      <c r="G1279" s="396">
        <v>1</v>
      </c>
      <c r="H1279" s="395">
        <v>7555.5969999999998</v>
      </c>
      <c r="I1279" s="394">
        <v>337.87</v>
      </c>
      <c r="J1279" s="394">
        <v>10793.710000000001</v>
      </c>
      <c r="K1279" s="393" t="s">
        <v>1033</v>
      </c>
    </row>
    <row r="1280" spans="1:11" hidden="1" x14ac:dyDescent="0.3">
      <c r="A1280" s="397" t="s">
        <v>6953</v>
      </c>
      <c r="C1280" s="397" t="s">
        <v>1053</v>
      </c>
      <c r="D1280" s="397" t="s">
        <v>6952</v>
      </c>
      <c r="E1280" s="397" t="s">
        <v>6951</v>
      </c>
      <c r="F1280" s="397" t="s">
        <v>191</v>
      </c>
      <c r="G1280" s="396">
        <v>4</v>
      </c>
      <c r="H1280" s="395">
        <v>4106.2979999999998</v>
      </c>
      <c r="I1280" s="394">
        <v>3859.98</v>
      </c>
      <c r="J1280" s="394">
        <v>5866.14</v>
      </c>
      <c r="K1280" s="393" t="s">
        <v>1033</v>
      </c>
    </row>
    <row r="1281" spans="1:11" hidden="1" x14ac:dyDescent="0.3">
      <c r="A1281" s="397" t="s">
        <v>6899</v>
      </c>
      <c r="C1281" s="397" t="s">
        <v>1053</v>
      </c>
      <c r="D1281" s="397" t="s">
        <v>6898</v>
      </c>
      <c r="E1281" s="397" t="s">
        <v>6897</v>
      </c>
      <c r="F1281" s="397" t="s">
        <v>191</v>
      </c>
      <c r="G1281" s="396">
        <v>1</v>
      </c>
      <c r="H1281" s="395">
        <v>37394.714</v>
      </c>
      <c r="I1281" s="394">
        <v>3994.84</v>
      </c>
      <c r="J1281" s="394">
        <v>53421.020000000004</v>
      </c>
      <c r="K1281" s="393" t="s">
        <v>1033</v>
      </c>
    </row>
    <row r="1282" spans="1:11" hidden="1" x14ac:dyDescent="0.3">
      <c r="A1282" s="397" t="s">
        <v>2847</v>
      </c>
      <c r="C1282" s="397" t="s">
        <v>1053</v>
      </c>
      <c r="D1282" s="397" t="s">
        <v>2846</v>
      </c>
      <c r="E1282" s="397" t="s">
        <v>552</v>
      </c>
      <c r="F1282" s="397" t="s">
        <v>191</v>
      </c>
      <c r="G1282" s="396">
        <v>1</v>
      </c>
      <c r="H1282" s="395">
        <v>6789.0830000000005</v>
      </c>
      <c r="I1282" s="394">
        <v>4919.37</v>
      </c>
      <c r="J1282" s="394">
        <v>9698.69</v>
      </c>
      <c r="K1282" s="393" t="s">
        <v>1033</v>
      </c>
    </row>
    <row r="1283" spans="1:11" hidden="1" x14ac:dyDescent="0.3">
      <c r="A1283" s="397" t="s">
        <v>3532</v>
      </c>
      <c r="C1283" s="397" t="s">
        <v>1053</v>
      </c>
      <c r="D1283" s="397" t="s">
        <v>3531</v>
      </c>
      <c r="E1283" s="397" t="s">
        <v>3530</v>
      </c>
      <c r="F1283" s="397" t="s">
        <v>191</v>
      </c>
      <c r="G1283" s="396">
        <v>1</v>
      </c>
      <c r="H1283" s="395">
        <v>397716.27</v>
      </c>
      <c r="I1283" s="394">
        <v>218283.77000000002</v>
      </c>
      <c r="J1283" s="394">
        <v>568166.1</v>
      </c>
      <c r="K1283" s="393" t="s">
        <v>1033</v>
      </c>
    </row>
    <row r="1284" spans="1:11" hidden="1" x14ac:dyDescent="0.3">
      <c r="A1284" s="397" t="s">
        <v>2582</v>
      </c>
      <c r="C1284" s="397" t="s">
        <v>1053</v>
      </c>
      <c r="D1284" s="397" t="s">
        <v>2581</v>
      </c>
      <c r="E1284" s="397" t="s">
        <v>2580</v>
      </c>
      <c r="F1284" s="397" t="s">
        <v>191</v>
      </c>
      <c r="G1284" s="396">
        <v>2</v>
      </c>
      <c r="H1284" s="395">
        <v>7281.8409999999985</v>
      </c>
      <c r="I1284" s="394">
        <v>32.54</v>
      </c>
      <c r="J1284" s="394">
        <v>10402.629999999999</v>
      </c>
      <c r="K1284" s="393" t="s">
        <v>1033</v>
      </c>
    </row>
    <row r="1285" spans="1:11" hidden="1" x14ac:dyDescent="0.3">
      <c r="A1285" s="397" t="s">
        <v>4193</v>
      </c>
      <c r="C1285" s="397" t="s">
        <v>1053</v>
      </c>
      <c r="D1285" s="397" t="s">
        <v>4192</v>
      </c>
      <c r="E1285" s="397" t="s">
        <v>4191</v>
      </c>
      <c r="F1285" s="397" t="s">
        <v>191</v>
      </c>
      <c r="G1285" s="396">
        <v>1</v>
      </c>
      <c r="H1285" s="395">
        <v>26287.890999999996</v>
      </c>
      <c r="I1285" s="394">
        <v>980.75</v>
      </c>
      <c r="J1285" s="394">
        <v>37554.129999999997</v>
      </c>
      <c r="K1285" s="393" t="s">
        <v>1033</v>
      </c>
    </row>
    <row r="1286" spans="1:11" hidden="1" x14ac:dyDescent="0.3">
      <c r="A1286" s="397" t="s">
        <v>4983</v>
      </c>
      <c r="C1286" s="397" t="s">
        <v>1053</v>
      </c>
      <c r="D1286" s="397" t="s">
        <v>4982</v>
      </c>
      <c r="E1286" s="397" t="s">
        <v>4981</v>
      </c>
      <c r="F1286" s="397" t="s">
        <v>191</v>
      </c>
      <c r="G1286" s="396">
        <v>1</v>
      </c>
      <c r="H1286" s="395">
        <v>12747.784</v>
      </c>
      <c r="I1286" s="394">
        <v>625.08000000000004</v>
      </c>
      <c r="J1286" s="394">
        <v>18211.12</v>
      </c>
      <c r="K1286" s="393" t="s">
        <v>1033</v>
      </c>
    </row>
    <row r="1287" spans="1:11" hidden="1" x14ac:dyDescent="0.3">
      <c r="A1287" s="397" t="s">
        <v>5802</v>
      </c>
      <c r="C1287" s="397" t="s">
        <v>1053</v>
      </c>
      <c r="D1287" s="397" t="s">
        <v>5801</v>
      </c>
      <c r="E1287" s="397" t="s">
        <v>5800</v>
      </c>
      <c r="F1287" s="397" t="s">
        <v>191</v>
      </c>
      <c r="G1287" s="396">
        <v>1</v>
      </c>
      <c r="H1287" s="395">
        <v>15706.544</v>
      </c>
      <c r="I1287" s="394">
        <v>14764.66</v>
      </c>
      <c r="J1287" s="394">
        <v>22437.920000000002</v>
      </c>
      <c r="K1287" s="393" t="s">
        <v>1033</v>
      </c>
    </row>
    <row r="1288" spans="1:11" hidden="1" x14ac:dyDescent="0.3">
      <c r="A1288" s="397" t="s">
        <v>6805</v>
      </c>
      <c r="C1288" s="397" t="s">
        <v>1053</v>
      </c>
      <c r="D1288" s="397" t="s">
        <v>6804</v>
      </c>
      <c r="E1288" s="397" t="s">
        <v>510</v>
      </c>
      <c r="F1288" s="397" t="s">
        <v>191</v>
      </c>
      <c r="G1288" s="396">
        <v>1</v>
      </c>
      <c r="H1288" s="395">
        <v>17874.577000000001</v>
      </c>
      <c r="I1288" s="394">
        <v>2044.0900000000001</v>
      </c>
      <c r="J1288" s="394">
        <v>25535.11</v>
      </c>
      <c r="K1288" s="393" t="s">
        <v>1033</v>
      </c>
    </row>
    <row r="1289" spans="1:11" hidden="1" x14ac:dyDescent="0.3">
      <c r="A1289" s="397" t="s">
        <v>6812</v>
      </c>
      <c r="C1289" s="397" t="s">
        <v>1053</v>
      </c>
      <c r="D1289" s="397" t="s">
        <v>6811</v>
      </c>
      <c r="E1289" s="397" t="s">
        <v>510</v>
      </c>
      <c r="F1289" s="397" t="s">
        <v>191</v>
      </c>
      <c r="G1289" s="396">
        <v>5</v>
      </c>
      <c r="H1289" s="395">
        <v>14516.537</v>
      </c>
      <c r="I1289" s="394">
        <v>14136.12</v>
      </c>
      <c r="J1289" s="394">
        <v>20737.91</v>
      </c>
      <c r="K1289" s="393" t="s">
        <v>1033</v>
      </c>
    </row>
    <row r="1290" spans="1:11" hidden="1" x14ac:dyDescent="0.3">
      <c r="A1290" s="397" t="s">
        <v>3999</v>
      </c>
      <c r="C1290" s="397" t="s">
        <v>1053</v>
      </c>
      <c r="D1290" s="397" t="s">
        <v>3998</v>
      </c>
      <c r="E1290" s="397" t="s">
        <v>3997</v>
      </c>
      <c r="F1290" s="397" t="s">
        <v>191</v>
      </c>
      <c r="G1290" s="396">
        <v>2</v>
      </c>
      <c r="H1290" s="395">
        <v>31610.089</v>
      </c>
      <c r="I1290" s="394">
        <v>1265.81</v>
      </c>
      <c r="J1290" s="394">
        <v>45157.270000000004</v>
      </c>
      <c r="K1290" s="393" t="s">
        <v>1033</v>
      </c>
    </row>
    <row r="1291" spans="1:11" hidden="1" x14ac:dyDescent="0.3">
      <c r="A1291" s="397" t="s">
        <v>2477</v>
      </c>
      <c r="C1291" s="397" t="s">
        <v>1053</v>
      </c>
      <c r="D1291" s="397" t="s">
        <v>2476</v>
      </c>
      <c r="E1291" s="397" t="s">
        <v>2035</v>
      </c>
      <c r="F1291" s="397" t="s">
        <v>191</v>
      </c>
      <c r="G1291" s="396">
        <v>9</v>
      </c>
      <c r="H1291" s="395">
        <v>4595.6540000000005</v>
      </c>
      <c r="I1291" s="394">
        <v>36.18</v>
      </c>
      <c r="J1291" s="394">
        <v>6565.22</v>
      </c>
      <c r="K1291" s="393" t="s">
        <v>1033</v>
      </c>
    </row>
    <row r="1292" spans="1:11" hidden="1" x14ac:dyDescent="0.3">
      <c r="A1292" s="397" t="s">
        <v>3529</v>
      </c>
      <c r="C1292" s="397" t="s">
        <v>1053</v>
      </c>
      <c r="D1292" s="397" t="s">
        <v>3528</v>
      </c>
      <c r="E1292" s="397" t="s">
        <v>3527</v>
      </c>
      <c r="F1292" s="397" t="s">
        <v>191</v>
      </c>
      <c r="G1292" s="396">
        <v>5</v>
      </c>
      <c r="H1292" s="395">
        <v>72282.244999999995</v>
      </c>
      <c r="I1292" s="394">
        <v>69262.22</v>
      </c>
      <c r="J1292" s="394">
        <v>103260.35</v>
      </c>
      <c r="K1292" s="393" t="s">
        <v>1033</v>
      </c>
    </row>
    <row r="1293" spans="1:11" hidden="1" x14ac:dyDescent="0.3">
      <c r="A1293" s="397" t="s">
        <v>3335</v>
      </c>
      <c r="C1293" s="397" t="s">
        <v>1053</v>
      </c>
      <c r="D1293" s="397" t="s">
        <v>3334</v>
      </c>
      <c r="E1293" s="397" t="s">
        <v>676</v>
      </c>
      <c r="F1293" s="397" t="s">
        <v>191</v>
      </c>
      <c r="G1293" s="396">
        <v>2</v>
      </c>
      <c r="H1293" s="395">
        <v>7117.5860000000002</v>
      </c>
      <c r="I1293" s="394">
        <v>5278.07</v>
      </c>
      <c r="J1293" s="394">
        <v>10167.98</v>
      </c>
      <c r="K1293" s="393" t="s">
        <v>1033</v>
      </c>
    </row>
    <row r="1294" spans="1:11" hidden="1" x14ac:dyDescent="0.3">
      <c r="A1294" s="397" t="s">
        <v>3339</v>
      </c>
      <c r="C1294" s="397" t="s">
        <v>1053</v>
      </c>
      <c r="D1294" s="397" t="s">
        <v>3338</v>
      </c>
      <c r="E1294" s="397" t="s">
        <v>676</v>
      </c>
      <c r="F1294" s="397" t="s">
        <v>191</v>
      </c>
      <c r="G1294" s="396">
        <v>2</v>
      </c>
      <c r="H1294" s="395">
        <v>8376.8510000000006</v>
      </c>
      <c r="I1294" s="394">
        <v>6214.5</v>
      </c>
      <c r="J1294" s="394">
        <v>11966.93</v>
      </c>
      <c r="K1294" s="393" t="s">
        <v>1033</v>
      </c>
    </row>
    <row r="1295" spans="1:11" hidden="1" x14ac:dyDescent="0.3">
      <c r="A1295" s="397" t="s">
        <v>5332</v>
      </c>
      <c r="C1295" s="397" t="s">
        <v>1053</v>
      </c>
      <c r="D1295" s="397" t="s">
        <v>5331</v>
      </c>
      <c r="E1295" s="397" t="s">
        <v>5330</v>
      </c>
      <c r="F1295" s="397" t="s">
        <v>191</v>
      </c>
      <c r="G1295" s="396">
        <v>3</v>
      </c>
      <c r="H1295" s="395">
        <v>4653.8100000000004</v>
      </c>
      <c r="I1295" s="394">
        <v>4263.99</v>
      </c>
      <c r="J1295" s="394">
        <v>6648.3</v>
      </c>
      <c r="K1295" s="393" t="s">
        <v>1033</v>
      </c>
    </row>
    <row r="1296" spans="1:11" hidden="1" x14ac:dyDescent="0.3">
      <c r="A1296" s="397" t="s">
        <v>3458</v>
      </c>
      <c r="C1296" s="397" t="s">
        <v>1053</v>
      </c>
      <c r="D1296" s="397" t="s">
        <v>3457</v>
      </c>
      <c r="E1296" s="397" t="s">
        <v>3456</v>
      </c>
      <c r="F1296" s="397" t="s">
        <v>191</v>
      </c>
      <c r="G1296" s="396">
        <v>1</v>
      </c>
      <c r="H1296" s="395">
        <v>258366.01</v>
      </c>
      <c r="I1296" s="394">
        <v>81191.58</v>
      </c>
      <c r="J1296" s="394">
        <v>369094.3</v>
      </c>
      <c r="K1296" s="393" t="s">
        <v>1033</v>
      </c>
    </row>
    <row r="1297" spans="1:12" hidden="1" x14ac:dyDescent="0.3">
      <c r="A1297" s="397" t="s">
        <v>3471</v>
      </c>
      <c r="C1297" s="397" t="s">
        <v>1053</v>
      </c>
      <c r="D1297" s="397" t="s">
        <v>3470</v>
      </c>
      <c r="E1297" s="397" t="s">
        <v>3469</v>
      </c>
      <c r="F1297" s="397" t="s">
        <v>191</v>
      </c>
      <c r="G1297" s="396">
        <v>1</v>
      </c>
      <c r="H1297" s="395">
        <v>52900.442000000003</v>
      </c>
      <c r="I1297" s="394">
        <v>1679.42</v>
      </c>
      <c r="J1297" s="394">
        <v>75572.06</v>
      </c>
      <c r="K1297" s="393" t="s">
        <v>1033</v>
      </c>
    </row>
    <row r="1298" spans="1:12" hidden="1" x14ac:dyDescent="0.3">
      <c r="A1298" s="397" t="s">
        <v>4798</v>
      </c>
      <c r="C1298" s="397" t="s">
        <v>1053</v>
      </c>
      <c r="D1298" s="397" t="s">
        <v>4797</v>
      </c>
      <c r="E1298" s="397" t="s">
        <v>4796</v>
      </c>
      <c r="F1298" s="397" t="s">
        <v>191</v>
      </c>
      <c r="G1298" s="396">
        <v>2</v>
      </c>
      <c r="H1298" s="395">
        <v>25459.07</v>
      </c>
      <c r="I1298" s="394">
        <v>25358.63</v>
      </c>
      <c r="J1298" s="394">
        <v>36370.1</v>
      </c>
      <c r="K1298" s="393" t="s">
        <v>1033</v>
      </c>
    </row>
    <row r="1299" spans="1:12" hidden="1" x14ac:dyDescent="0.3">
      <c r="A1299" s="397" t="s">
        <v>3477</v>
      </c>
      <c r="C1299" s="397" t="s">
        <v>1053</v>
      </c>
      <c r="D1299" s="397" t="s">
        <v>3476</v>
      </c>
      <c r="E1299" s="397" t="s">
        <v>3475</v>
      </c>
      <c r="F1299" s="397" t="s">
        <v>191</v>
      </c>
      <c r="G1299" s="396">
        <v>10</v>
      </c>
      <c r="H1299" s="395">
        <v>11289.138000000001</v>
      </c>
      <c r="I1299" s="394">
        <v>11089.51</v>
      </c>
      <c r="J1299" s="394">
        <v>16127.34</v>
      </c>
      <c r="K1299" s="393" t="s">
        <v>1033</v>
      </c>
    </row>
    <row r="1300" spans="1:12" hidden="1" x14ac:dyDescent="0.3">
      <c r="A1300" s="397" t="s">
        <v>4090</v>
      </c>
      <c r="C1300" s="397" t="s">
        <v>1053</v>
      </c>
      <c r="D1300" s="397" t="s">
        <v>4089</v>
      </c>
      <c r="E1300" s="397" t="s">
        <v>4088</v>
      </c>
      <c r="F1300" s="397" t="s">
        <v>191</v>
      </c>
      <c r="G1300" s="396">
        <v>3</v>
      </c>
      <c r="H1300" s="395">
        <v>25837.784</v>
      </c>
      <c r="I1300" s="394">
        <v>23681.81</v>
      </c>
      <c r="J1300" s="394">
        <v>36911.120000000003</v>
      </c>
      <c r="K1300" s="393" t="s">
        <v>1033</v>
      </c>
    </row>
    <row r="1301" spans="1:12" hidden="1" x14ac:dyDescent="0.3">
      <c r="A1301" s="397" t="s">
        <v>3460</v>
      </c>
      <c r="C1301" s="397" t="s">
        <v>1053</v>
      </c>
      <c r="D1301" s="397" t="s">
        <v>3459</v>
      </c>
      <c r="E1301" s="397" t="s">
        <v>3456</v>
      </c>
      <c r="F1301" s="397" t="s">
        <v>191</v>
      </c>
      <c r="G1301" s="396">
        <v>2</v>
      </c>
      <c r="H1301" s="395">
        <v>258366.01</v>
      </c>
      <c r="I1301" s="394">
        <v>89310.76</v>
      </c>
      <c r="J1301" s="394">
        <v>369094.3</v>
      </c>
      <c r="K1301" s="393" t="s">
        <v>1033</v>
      </c>
    </row>
    <row r="1302" spans="1:12" hidden="1" x14ac:dyDescent="0.3">
      <c r="A1302" s="397" t="s">
        <v>4096</v>
      </c>
      <c r="C1302" s="397" t="s">
        <v>1053</v>
      </c>
      <c r="D1302" s="397" t="s">
        <v>4095</v>
      </c>
      <c r="E1302" s="397" t="s">
        <v>4094</v>
      </c>
      <c r="F1302" s="397" t="s">
        <v>191</v>
      </c>
      <c r="G1302" s="396">
        <v>1</v>
      </c>
      <c r="H1302" s="395">
        <v>24018.435000000001</v>
      </c>
      <c r="I1302" s="394">
        <v>1049.28</v>
      </c>
      <c r="J1302" s="394">
        <v>34312.050000000003</v>
      </c>
      <c r="K1302" s="393" t="s">
        <v>1033</v>
      </c>
    </row>
    <row r="1303" spans="1:12" hidden="1" x14ac:dyDescent="0.3">
      <c r="A1303" s="397" t="s">
        <v>2119</v>
      </c>
      <c r="C1303" s="397" t="s">
        <v>1053</v>
      </c>
      <c r="D1303" s="397" t="s">
        <v>2118</v>
      </c>
      <c r="E1303" s="397" t="s">
        <v>2117</v>
      </c>
      <c r="F1303" s="397" t="s">
        <v>191</v>
      </c>
      <c r="G1303" s="396">
        <v>6</v>
      </c>
      <c r="H1303" s="395">
        <v>1842.2320000000002</v>
      </c>
      <c r="I1303" s="394">
        <v>1765.26</v>
      </c>
      <c r="J1303" s="394">
        <v>2631.76</v>
      </c>
      <c r="K1303" s="393" t="s">
        <v>1033</v>
      </c>
      <c r="L1303" s="395">
        <v>1</v>
      </c>
    </row>
    <row r="1304" spans="1:12" hidden="1" x14ac:dyDescent="0.3">
      <c r="A1304" s="397" t="s">
        <v>2116</v>
      </c>
      <c r="C1304" s="397" t="s">
        <v>1053</v>
      </c>
      <c r="D1304" s="397" t="s">
        <v>2115</v>
      </c>
      <c r="E1304" s="397" t="s">
        <v>2114</v>
      </c>
      <c r="F1304" s="397" t="s">
        <v>191</v>
      </c>
      <c r="G1304" s="396">
        <v>35</v>
      </c>
      <c r="H1304" s="395">
        <v>1842.2320000000002</v>
      </c>
      <c r="I1304" s="394">
        <v>1782.91</v>
      </c>
      <c r="J1304" s="394">
        <v>2631.76</v>
      </c>
      <c r="K1304" s="393" t="s">
        <v>1033</v>
      </c>
      <c r="L1304" s="395">
        <v>3</v>
      </c>
    </row>
    <row r="1305" spans="1:12" hidden="1" x14ac:dyDescent="0.3">
      <c r="A1305" s="397" t="s">
        <v>2113</v>
      </c>
      <c r="C1305" s="397" t="s">
        <v>1053</v>
      </c>
      <c r="D1305" s="397" t="s">
        <v>2112</v>
      </c>
      <c r="E1305" s="397" t="s">
        <v>2111</v>
      </c>
      <c r="F1305" s="397" t="s">
        <v>191</v>
      </c>
      <c r="G1305" s="396">
        <v>33</v>
      </c>
      <c r="H1305" s="395">
        <v>1890.4620000000002</v>
      </c>
      <c r="I1305" s="394">
        <v>1775.77</v>
      </c>
      <c r="J1305" s="394">
        <v>2700.66</v>
      </c>
      <c r="K1305" s="393" t="s">
        <v>1033</v>
      </c>
      <c r="L1305" s="395">
        <v>2</v>
      </c>
    </row>
    <row r="1306" spans="1:12" hidden="1" x14ac:dyDescent="0.3">
      <c r="A1306" s="397" t="s">
        <v>2110</v>
      </c>
      <c r="C1306" s="397" t="s">
        <v>1053</v>
      </c>
      <c r="D1306" s="397" t="s">
        <v>2109</v>
      </c>
      <c r="E1306" s="397" t="s">
        <v>2108</v>
      </c>
      <c r="F1306" s="397" t="s">
        <v>191</v>
      </c>
      <c r="G1306" s="396">
        <v>13</v>
      </c>
      <c r="H1306" s="395">
        <v>1842.2320000000002</v>
      </c>
      <c r="I1306" s="394">
        <v>1730.65</v>
      </c>
      <c r="J1306" s="394">
        <v>2631.76</v>
      </c>
      <c r="K1306" s="393" t="s">
        <v>1033</v>
      </c>
    </row>
    <row r="1307" spans="1:12" hidden="1" x14ac:dyDescent="0.3">
      <c r="A1307" s="397" t="s">
        <v>2107</v>
      </c>
      <c r="C1307" s="397" t="s">
        <v>1053</v>
      </c>
      <c r="D1307" s="397" t="s">
        <v>2106</v>
      </c>
      <c r="E1307" s="397" t="s">
        <v>2105</v>
      </c>
      <c r="F1307" s="397" t="s">
        <v>191</v>
      </c>
      <c r="G1307" s="396">
        <v>2</v>
      </c>
      <c r="H1307" s="395">
        <v>1842.2320000000002</v>
      </c>
      <c r="I1307" s="394">
        <v>185.77</v>
      </c>
      <c r="J1307" s="394">
        <v>2631.76</v>
      </c>
      <c r="K1307" s="393" t="s">
        <v>1033</v>
      </c>
    </row>
    <row r="1308" spans="1:12" hidden="1" x14ac:dyDescent="0.3">
      <c r="A1308" s="397" t="s">
        <v>2122</v>
      </c>
      <c r="C1308" s="397" t="s">
        <v>1053</v>
      </c>
      <c r="D1308" s="397" t="s">
        <v>2121</v>
      </c>
      <c r="E1308" s="397" t="s">
        <v>2120</v>
      </c>
      <c r="F1308" s="397" t="s">
        <v>191</v>
      </c>
      <c r="G1308" s="396">
        <v>20</v>
      </c>
      <c r="H1308" s="395">
        <v>1985.7739999999999</v>
      </c>
      <c r="I1308" s="394">
        <v>24.96</v>
      </c>
      <c r="J1308" s="394">
        <v>2836.82</v>
      </c>
      <c r="K1308" s="393" t="s">
        <v>1033</v>
      </c>
    </row>
    <row r="1309" spans="1:12" hidden="1" x14ac:dyDescent="0.3">
      <c r="A1309" s="397" t="s">
        <v>7380</v>
      </c>
      <c r="C1309" s="397" t="s">
        <v>1053</v>
      </c>
      <c r="D1309" s="397" t="s">
        <v>7379</v>
      </c>
      <c r="E1309" s="397" t="s">
        <v>7378</v>
      </c>
      <c r="F1309" s="397" t="s">
        <v>191</v>
      </c>
      <c r="G1309" s="396">
        <v>1</v>
      </c>
      <c r="H1309" s="395">
        <v>4372.4520000000002</v>
      </c>
      <c r="I1309" s="394">
        <v>199.67000000000002</v>
      </c>
      <c r="J1309" s="394">
        <v>6246.3600000000006</v>
      </c>
      <c r="K1309" s="393" t="s">
        <v>1033</v>
      </c>
    </row>
    <row r="1310" spans="1:12" hidden="1" x14ac:dyDescent="0.3">
      <c r="A1310" s="397" t="s">
        <v>7231</v>
      </c>
      <c r="C1310" s="397" t="s">
        <v>1053</v>
      </c>
      <c r="D1310" s="397" t="s">
        <v>7230</v>
      </c>
      <c r="E1310" s="397" t="s">
        <v>2435</v>
      </c>
      <c r="F1310" s="397" t="s">
        <v>191</v>
      </c>
      <c r="G1310" s="396">
        <v>1</v>
      </c>
      <c r="H1310" s="395">
        <v>123955.545</v>
      </c>
      <c r="I1310" s="394">
        <v>120583.68000000001</v>
      </c>
      <c r="J1310" s="394">
        <v>177079.35</v>
      </c>
      <c r="K1310" s="393" t="s">
        <v>1033</v>
      </c>
    </row>
    <row r="1311" spans="1:12" hidden="1" x14ac:dyDescent="0.3">
      <c r="A1311" s="397" t="s">
        <v>6938</v>
      </c>
      <c r="C1311" s="397" t="s">
        <v>1053</v>
      </c>
      <c r="D1311" s="397" t="s">
        <v>6937</v>
      </c>
      <c r="E1311" s="397" t="s">
        <v>6936</v>
      </c>
      <c r="F1311" s="397" t="s">
        <v>191</v>
      </c>
      <c r="G1311" s="396">
        <v>1</v>
      </c>
      <c r="H1311" s="395">
        <v>55771.94</v>
      </c>
      <c r="I1311" s="394">
        <v>5777.45</v>
      </c>
      <c r="J1311" s="394">
        <v>79674.2</v>
      </c>
      <c r="K1311" s="393" t="s">
        <v>1033</v>
      </c>
    </row>
    <row r="1312" spans="1:12" hidden="1" x14ac:dyDescent="0.3">
      <c r="A1312" s="397" t="s">
        <v>2128</v>
      </c>
      <c r="C1312" s="397" t="s">
        <v>1053</v>
      </c>
      <c r="D1312" s="397" t="s">
        <v>2127</v>
      </c>
      <c r="E1312" s="397" t="s">
        <v>2126</v>
      </c>
      <c r="F1312" s="397" t="s">
        <v>191</v>
      </c>
      <c r="G1312" s="396">
        <v>1</v>
      </c>
      <c r="H1312" s="395">
        <v>15822.947</v>
      </c>
      <c r="I1312" s="394">
        <v>27.29</v>
      </c>
      <c r="J1312" s="394">
        <v>22604.21</v>
      </c>
      <c r="K1312" s="393" t="s">
        <v>1033</v>
      </c>
    </row>
    <row r="1313" spans="1:11" hidden="1" x14ac:dyDescent="0.3">
      <c r="A1313" s="397" t="s">
        <v>3625</v>
      </c>
      <c r="C1313" s="397" t="s">
        <v>1053</v>
      </c>
      <c r="D1313" s="397" t="s">
        <v>3624</v>
      </c>
      <c r="E1313" s="397" t="s">
        <v>3623</v>
      </c>
      <c r="F1313" s="397" t="s">
        <v>191</v>
      </c>
      <c r="G1313" s="396">
        <v>1</v>
      </c>
      <c r="H1313" s="395">
        <v>31262.637000000002</v>
      </c>
      <c r="I1313" s="394">
        <v>24965.68</v>
      </c>
      <c r="J1313" s="394">
        <v>44660.91</v>
      </c>
      <c r="K1313" s="393" t="s">
        <v>1033</v>
      </c>
    </row>
    <row r="1314" spans="1:11" hidden="1" x14ac:dyDescent="0.3">
      <c r="A1314" s="397" t="s">
        <v>3535</v>
      </c>
      <c r="C1314" s="397" t="s">
        <v>1053</v>
      </c>
      <c r="D1314" s="397" t="s">
        <v>3534</v>
      </c>
      <c r="E1314" s="397" t="s">
        <v>3533</v>
      </c>
      <c r="F1314" s="397" t="s">
        <v>191</v>
      </c>
      <c r="G1314" s="396">
        <v>1</v>
      </c>
      <c r="H1314" s="395">
        <v>185745.70699999999</v>
      </c>
      <c r="I1314" s="394">
        <v>46228.75</v>
      </c>
      <c r="J1314" s="394">
        <v>265351.01</v>
      </c>
      <c r="K1314" s="393" t="s">
        <v>1033</v>
      </c>
    </row>
    <row r="1315" spans="1:11" hidden="1" x14ac:dyDescent="0.3">
      <c r="A1315" s="397" t="s">
        <v>3466</v>
      </c>
      <c r="C1315" s="397" t="s">
        <v>1053</v>
      </c>
      <c r="D1315" s="397" t="s">
        <v>3465</v>
      </c>
      <c r="E1315" s="397" t="s">
        <v>3464</v>
      </c>
      <c r="F1315" s="397" t="s">
        <v>191</v>
      </c>
      <c r="G1315" s="396">
        <v>1</v>
      </c>
      <c r="H1315" s="395">
        <v>62804.42</v>
      </c>
      <c r="I1315" s="394">
        <v>524.97</v>
      </c>
      <c r="J1315" s="394">
        <v>89720.6</v>
      </c>
      <c r="K1315" s="393" t="s">
        <v>1033</v>
      </c>
    </row>
    <row r="1316" spans="1:11" hidden="1" x14ac:dyDescent="0.3">
      <c r="A1316" s="397" t="s">
        <v>3415</v>
      </c>
      <c r="C1316" s="397" t="s">
        <v>1053</v>
      </c>
      <c r="D1316" s="397" t="s">
        <v>3414</v>
      </c>
      <c r="E1316" s="397" t="s">
        <v>3413</v>
      </c>
      <c r="F1316" s="397" t="s">
        <v>191</v>
      </c>
      <c r="G1316" s="396">
        <v>1</v>
      </c>
      <c r="H1316" s="395">
        <v>33343.163</v>
      </c>
      <c r="I1316" s="394">
        <v>31020.57</v>
      </c>
      <c r="J1316" s="394">
        <v>47633.090000000004</v>
      </c>
      <c r="K1316" s="393" t="s">
        <v>1033</v>
      </c>
    </row>
    <row r="1317" spans="1:11" hidden="1" x14ac:dyDescent="0.3">
      <c r="A1317" s="397" t="s">
        <v>3438</v>
      </c>
      <c r="C1317" s="397" t="s">
        <v>1053</v>
      </c>
      <c r="D1317" s="397" t="s">
        <v>3437</v>
      </c>
      <c r="E1317" s="397" t="s">
        <v>3434</v>
      </c>
      <c r="F1317" s="397" t="s">
        <v>191</v>
      </c>
      <c r="G1317" s="396">
        <v>1</v>
      </c>
      <c r="H1317" s="395">
        <v>7610.3440000000001</v>
      </c>
      <c r="I1317" s="394">
        <v>6150.34</v>
      </c>
      <c r="J1317" s="394">
        <v>10871.92</v>
      </c>
      <c r="K1317" s="393" t="s">
        <v>1033</v>
      </c>
    </row>
    <row r="1318" spans="1:11" hidden="1" x14ac:dyDescent="0.3">
      <c r="A1318" s="397" t="s">
        <v>3440</v>
      </c>
      <c r="C1318" s="397" t="s">
        <v>1053</v>
      </c>
      <c r="D1318" s="397" t="s">
        <v>3439</v>
      </c>
      <c r="E1318" s="397" t="s">
        <v>3434</v>
      </c>
      <c r="F1318" s="397" t="s">
        <v>191</v>
      </c>
      <c r="G1318" s="396">
        <v>3</v>
      </c>
      <c r="H1318" s="395">
        <v>9985.6190000000006</v>
      </c>
      <c r="I1318" s="394">
        <v>82.7</v>
      </c>
      <c r="J1318" s="394">
        <v>14265.17</v>
      </c>
      <c r="K1318" s="393" t="s">
        <v>1033</v>
      </c>
    </row>
    <row r="1319" spans="1:11" hidden="1" x14ac:dyDescent="0.3">
      <c r="A1319" s="397" t="s">
        <v>3870</v>
      </c>
      <c r="C1319" s="397" t="s">
        <v>1053</v>
      </c>
      <c r="D1319" s="397" t="s">
        <v>3869</v>
      </c>
      <c r="E1319" s="397" t="s">
        <v>3868</v>
      </c>
      <c r="F1319" s="397" t="s">
        <v>191</v>
      </c>
      <c r="G1319" s="396">
        <v>2</v>
      </c>
      <c r="H1319" s="395">
        <v>18286.73</v>
      </c>
      <c r="I1319" s="394">
        <v>751.77</v>
      </c>
      <c r="J1319" s="394">
        <v>26123.9</v>
      </c>
      <c r="K1319" s="393" t="s">
        <v>1033</v>
      </c>
    </row>
    <row r="1320" spans="1:11" hidden="1" x14ac:dyDescent="0.3">
      <c r="A1320" s="397" t="s">
        <v>6625</v>
      </c>
      <c r="C1320" s="397" t="s">
        <v>1053</v>
      </c>
      <c r="D1320" s="397" t="s">
        <v>6624</v>
      </c>
      <c r="E1320" s="397" t="s">
        <v>6623</v>
      </c>
      <c r="F1320" s="397" t="s">
        <v>191</v>
      </c>
      <c r="G1320" s="396">
        <v>1</v>
      </c>
      <c r="H1320" s="395">
        <v>49587.664000000004</v>
      </c>
      <c r="I1320" s="394">
        <v>1363.14</v>
      </c>
      <c r="J1320" s="394">
        <v>70839.520000000004</v>
      </c>
      <c r="K1320" s="393" t="s">
        <v>1033</v>
      </c>
    </row>
    <row r="1321" spans="1:11" hidden="1" x14ac:dyDescent="0.3">
      <c r="A1321" s="397" t="s">
        <v>4654</v>
      </c>
      <c r="C1321" s="397" t="s">
        <v>1053</v>
      </c>
      <c r="D1321" s="397" t="s">
        <v>4653</v>
      </c>
      <c r="E1321" s="397" t="s">
        <v>4652</v>
      </c>
      <c r="F1321" s="397" t="s">
        <v>191</v>
      </c>
      <c r="G1321" s="396">
        <v>1</v>
      </c>
      <c r="H1321" s="395">
        <v>12592.656999999997</v>
      </c>
      <c r="I1321" s="394">
        <v>9171.7099999999991</v>
      </c>
      <c r="J1321" s="394">
        <v>17989.509999999998</v>
      </c>
      <c r="K1321" s="393" t="s">
        <v>1033</v>
      </c>
    </row>
    <row r="1322" spans="1:11" hidden="1" x14ac:dyDescent="0.3">
      <c r="A1322" s="397" t="s">
        <v>4716</v>
      </c>
      <c r="C1322" s="397" t="s">
        <v>1053</v>
      </c>
      <c r="D1322" s="397" t="s">
        <v>4715</v>
      </c>
      <c r="E1322" s="397" t="s">
        <v>4714</v>
      </c>
      <c r="F1322" s="397" t="s">
        <v>191</v>
      </c>
      <c r="G1322" s="396">
        <v>1</v>
      </c>
      <c r="H1322" s="395">
        <v>17520.216</v>
      </c>
      <c r="I1322" s="394">
        <v>2183.91</v>
      </c>
      <c r="J1322" s="394">
        <v>25028.880000000001</v>
      </c>
      <c r="K1322" s="393" t="s">
        <v>1033</v>
      </c>
    </row>
    <row r="1323" spans="1:11" hidden="1" x14ac:dyDescent="0.3">
      <c r="A1323" s="397" t="s">
        <v>1580</v>
      </c>
      <c r="C1323" s="397" t="s">
        <v>1053</v>
      </c>
      <c r="D1323" s="397" t="s">
        <v>1579</v>
      </c>
      <c r="E1323" s="397" t="s">
        <v>1578</v>
      </c>
      <c r="F1323" s="397" t="s">
        <v>191</v>
      </c>
      <c r="G1323" s="396">
        <v>1</v>
      </c>
      <c r="H1323" s="395">
        <v>18965.695</v>
      </c>
      <c r="I1323" s="394">
        <v>13888.6</v>
      </c>
      <c r="J1323" s="394">
        <v>27093.850000000002</v>
      </c>
      <c r="K1323" s="393" t="s">
        <v>1033</v>
      </c>
    </row>
    <row r="1324" spans="1:11" hidden="1" x14ac:dyDescent="0.3">
      <c r="A1324" s="397" t="s">
        <v>5100</v>
      </c>
      <c r="C1324" s="397" t="s">
        <v>1053</v>
      </c>
      <c r="D1324" s="397" t="s">
        <v>5099</v>
      </c>
      <c r="E1324" s="397" t="s">
        <v>5098</v>
      </c>
      <c r="F1324" s="397" t="s">
        <v>191</v>
      </c>
      <c r="G1324" s="396">
        <v>1</v>
      </c>
      <c r="H1324" s="395">
        <v>10804.136</v>
      </c>
      <c r="I1324" s="394">
        <v>962.61</v>
      </c>
      <c r="J1324" s="394">
        <v>15434.48</v>
      </c>
      <c r="K1324" s="393" t="s">
        <v>1033</v>
      </c>
    </row>
    <row r="1325" spans="1:11" hidden="1" x14ac:dyDescent="0.3">
      <c r="A1325" s="397" t="s">
        <v>5051</v>
      </c>
      <c r="C1325" s="397" t="s">
        <v>1053</v>
      </c>
      <c r="D1325" s="397" t="s">
        <v>5050</v>
      </c>
      <c r="E1325" s="397" t="s">
        <v>5049</v>
      </c>
      <c r="F1325" s="397" t="s">
        <v>191</v>
      </c>
      <c r="G1325" s="396">
        <v>2</v>
      </c>
      <c r="H1325" s="395">
        <v>4316.1790000000001</v>
      </c>
      <c r="I1325" s="394">
        <v>2952.92</v>
      </c>
      <c r="J1325" s="394">
        <v>6165.97</v>
      </c>
      <c r="K1325" s="393" t="s">
        <v>1033</v>
      </c>
    </row>
    <row r="1326" spans="1:11" hidden="1" x14ac:dyDescent="0.3">
      <c r="A1326" s="397" t="s">
        <v>4014</v>
      </c>
      <c r="C1326" s="397" t="s">
        <v>1053</v>
      </c>
      <c r="D1326" s="397" t="s">
        <v>4013</v>
      </c>
      <c r="E1326" s="397" t="s">
        <v>4012</v>
      </c>
      <c r="F1326" s="397" t="s">
        <v>191</v>
      </c>
      <c r="G1326" s="396">
        <v>1</v>
      </c>
      <c r="H1326" s="395">
        <v>74299.714999999997</v>
      </c>
      <c r="I1326" s="394">
        <v>2730.56</v>
      </c>
      <c r="J1326" s="394">
        <v>106142.45</v>
      </c>
      <c r="K1326" s="393" t="s">
        <v>1033</v>
      </c>
    </row>
    <row r="1327" spans="1:11" hidden="1" x14ac:dyDescent="0.3">
      <c r="A1327" s="397" t="s">
        <v>3436</v>
      </c>
      <c r="C1327" s="397" t="s">
        <v>1053</v>
      </c>
      <c r="D1327" s="397" t="s">
        <v>3435</v>
      </c>
      <c r="E1327" s="397" t="s">
        <v>3434</v>
      </c>
      <c r="F1327" s="397" t="s">
        <v>191</v>
      </c>
      <c r="G1327" s="396">
        <v>2</v>
      </c>
      <c r="H1327" s="395">
        <v>6297.7460000000001</v>
      </c>
      <c r="I1327" s="394">
        <v>32.520000000000003</v>
      </c>
      <c r="J1327" s="394">
        <v>8996.7800000000007</v>
      </c>
      <c r="K1327" s="393" t="s">
        <v>1033</v>
      </c>
    </row>
    <row r="1328" spans="1:11" hidden="1" x14ac:dyDescent="0.3">
      <c r="A1328" s="397" t="s">
        <v>3841</v>
      </c>
      <c r="C1328" s="397" t="s">
        <v>1053</v>
      </c>
      <c r="D1328" s="397" t="s">
        <v>3840</v>
      </c>
      <c r="E1328" s="397" t="s">
        <v>3839</v>
      </c>
      <c r="F1328" s="397" t="s">
        <v>191</v>
      </c>
      <c r="G1328" s="396">
        <v>1</v>
      </c>
      <c r="H1328" s="395">
        <v>24280.41</v>
      </c>
      <c r="I1328" s="394">
        <v>24236.22</v>
      </c>
      <c r="J1328" s="394">
        <v>34686.300000000003</v>
      </c>
      <c r="K1328" s="393" t="s">
        <v>1033</v>
      </c>
    </row>
    <row r="1329" spans="1:11" hidden="1" x14ac:dyDescent="0.3">
      <c r="A1329" s="397" t="s">
        <v>3855</v>
      </c>
      <c r="C1329" s="397" t="s">
        <v>1053</v>
      </c>
      <c r="D1329" s="397" t="s">
        <v>3854</v>
      </c>
      <c r="E1329" s="397" t="s">
        <v>3853</v>
      </c>
      <c r="F1329" s="397" t="s">
        <v>191</v>
      </c>
      <c r="G1329" s="396">
        <v>3</v>
      </c>
      <c r="H1329" s="395">
        <v>24280.41</v>
      </c>
      <c r="I1329" s="394">
        <v>18789.55</v>
      </c>
      <c r="J1329" s="394">
        <v>34686.300000000003</v>
      </c>
      <c r="K1329" s="393" t="s">
        <v>1033</v>
      </c>
    </row>
    <row r="1330" spans="1:11" hidden="1" x14ac:dyDescent="0.3">
      <c r="A1330" s="397" t="s">
        <v>5102</v>
      </c>
      <c r="C1330" s="397" t="s">
        <v>1053</v>
      </c>
      <c r="D1330" s="397" t="s">
        <v>5101</v>
      </c>
      <c r="E1330" s="397" t="s">
        <v>5098</v>
      </c>
      <c r="F1330" s="397" t="s">
        <v>191</v>
      </c>
      <c r="G1330" s="396">
        <v>1</v>
      </c>
      <c r="H1330" s="395">
        <v>9720.844000000001</v>
      </c>
      <c r="I1330" s="394">
        <v>38.33</v>
      </c>
      <c r="J1330" s="394">
        <v>13886.92</v>
      </c>
      <c r="K1330" s="393" t="s">
        <v>1033</v>
      </c>
    </row>
    <row r="1331" spans="1:11" hidden="1" x14ac:dyDescent="0.3">
      <c r="A1331" s="397" t="s">
        <v>5133</v>
      </c>
      <c r="C1331" s="397" t="s">
        <v>1053</v>
      </c>
      <c r="D1331" s="397" t="s">
        <v>5132</v>
      </c>
      <c r="E1331" s="397" t="s">
        <v>5131</v>
      </c>
      <c r="F1331" s="397" t="s">
        <v>191</v>
      </c>
      <c r="G1331" s="396">
        <v>6</v>
      </c>
      <c r="H1331" s="395">
        <v>1154.328</v>
      </c>
      <c r="I1331" s="394">
        <v>12.48</v>
      </c>
      <c r="J1331" s="394">
        <v>1649.04</v>
      </c>
      <c r="K1331" s="393" t="s">
        <v>1033</v>
      </c>
    </row>
    <row r="1332" spans="1:11" hidden="1" x14ac:dyDescent="0.3">
      <c r="A1332" s="397" t="s">
        <v>4005</v>
      </c>
      <c r="C1332" s="397" t="s">
        <v>1053</v>
      </c>
      <c r="D1332" s="397" t="s">
        <v>4004</v>
      </c>
      <c r="E1332" s="397" t="s">
        <v>4003</v>
      </c>
      <c r="F1332" s="397" t="s">
        <v>191</v>
      </c>
      <c r="G1332" s="396">
        <v>1</v>
      </c>
      <c r="H1332" s="395">
        <v>64332.050999999999</v>
      </c>
      <c r="I1332" s="394">
        <v>52277.87</v>
      </c>
      <c r="J1332" s="394">
        <v>91902.930000000008</v>
      </c>
      <c r="K1332" s="393" t="s">
        <v>1033</v>
      </c>
    </row>
    <row r="1333" spans="1:11" hidden="1" x14ac:dyDescent="0.3">
      <c r="A1333" s="397" t="s">
        <v>7948</v>
      </c>
      <c r="C1333" s="397" t="s">
        <v>1053</v>
      </c>
      <c r="D1333" s="397" t="s">
        <v>7947</v>
      </c>
      <c r="E1333" s="397" t="s">
        <v>415</v>
      </c>
      <c r="F1333" s="397" t="s">
        <v>191</v>
      </c>
      <c r="G1333" s="396">
        <v>4</v>
      </c>
      <c r="H1333" s="395">
        <v>3230.29</v>
      </c>
      <c r="I1333" s="394">
        <v>17.78</v>
      </c>
      <c r="J1333" s="394">
        <v>4614.7</v>
      </c>
      <c r="K1333" s="393" t="s">
        <v>1033</v>
      </c>
    </row>
    <row r="1334" spans="1:11" hidden="1" x14ac:dyDescent="0.3">
      <c r="A1334" s="397" t="s">
        <v>1759</v>
      </c>
      <c r="C1334" s="397" t="s">
        <v>1053</v>
      </c>
      <c r="D1334" s="397" t="s">
        <v>1758</v>
      </c>
      <c r="E1334" s="397" t="s">
        <v>1757</v>
      </c>
      <c r="F1334" s="397" t="s">
        <v>191</v>
      </c>
      <c r="G1334" s="396">
        <v>1</v>
      </c>
      <c r="H1334" s="395">
        <v>116915.28800000002</v>
      </c>
      <c r="I1334" s="394">
        <v>42449.440000000002</v>
      </c>
      <c r="J1334" s="394">
        <v>167021.84</v>
      </c>
      <c r="K1334" s="393" t="s">
        <v>1033</v>
      </c>
    </row>
    <row r="1335" spans="1:11" hidden="1" x14ac:dyDescent="0.3">
      <c r="A1335" s="397" t="s">
        <v>2028</v>
      </c>
      <c r="C1335" s="397" t="s">
        <v>1053</v>
      </c>
      <c r="D1335" s="397" t="s">
        <v>2027</v>
      </c>
      <c r="E1335" s="397" t="s">
        <v>2026</v>
      </c>
      <c r="F1335" s="397" t="s">
        <v>191</v>
      </c>
      <c r="G1335" s="396">
        <v>2</v>
      </c>
      <c r="H1335" s="395">
        <v>1478.2670000000001</v>
      </c>
      <c r="I1335" s="394">
        <v>659.72</v>
      </c>
      <c r="J1335" s="394">
        <v>2111.81</v>
      </c>
      <c r="K1335" s="393" t="s">
        <v>1033</v>
      </c>
    </row>
    <row r="1336" spans="1:11" hidden="1" x14ac:dyDescent="0.3">
      <c r="A1336" s="397" t="s">
        <v>4777</v>
      </c>
      <c r="C1336" s="397" t="s">
        <v>1053</v>
      </c>
      <c r="D1336" s="397" t="s">
        <v>4776</v>
      </c>
      <c r="E1336" s="397" t="s">
        <v>4775</v>
      </c>
      <c r="F1336" s="397" t="s">
        <v>191</v>
      </c>
      <c r="G1336" s="396">
        <v>1</v>
      </c>
      <c r="H1336" s="395">
        <v>68512.422999999995</v>
      </c>
      <c r="I1336" s="394">
        <v>4204.55</v>
      </c>
      <c r="J1336" s="394">
        <v>97874.89</v>
      </c>
      <c r="K1336" s="393" t="s">
        <v>1033</v>
      </c>
    </row>
    <row r="1337" spans="1:11" hidden="1" x14ac:dyDescent="0.3">
      <c r="A1337" s="397" t="s">
        <v>4804</v>
      </c>
      <c r="C1337" s="397" t="s">
        <v>1053</v>
      </c>
      <c r="D1337" s="397" t="s">
        <v>4803</v>
      </c>
      <c r="E1337" s="397" t="s">
        <v>4802</v>
      </c>
      <c r="F1337" s="397" t="s">
        <v>191</v>
      </c>
      <c r="G1337" s="396">
        <v>1</v>
      </c>
      <c r="H1337" s="395">
        <v>21028.826000000001</v>
      </c>
      <c r="I1337" s="394">
        <v>9625.6</v>
      </c>
      <c r="J1337" s="394">
        <v>30041.18</v>
      </c>
      <c r="K1337" s="393" t="s">
        <v>1033</v>
      </c>
    </row>
    <row r="1338" spans="1:11" hidden="1" x14ac:dyDescent="0.3">
      <c r="A1338" s="397" t="s">
        <v>3549</v>
      </c>
      <c r="C1338" s="397" t="s">
        <v>1053</v>
      </c>
      <c r="D1338" s="397" t="s">
        <v>3548</v>
      </c>
      <c r="E1338" s="397" t="s">
        <v>3547</v>
      </c>
      <c r="F1338" s="397" t="s">
        <v>191</v>
      </c>
      <c r="G1338" s="396">
        <v>2</v>
      </c>
      <c r="H1338" s="395">
        <v>147637.72099999999</v>
      </c>
      <c r="I1338" s="394">
        <v>33752.06</v>
      </c>
      <c r="J1338" s="394">
        <v>210911.03</v>
      </c>
      <c r="K1338" s="393" t="s">
        <v>1033</v>
      </c>
    </row>
    <row r="1339" spans="1:11" hidden="1" x14ac:dyDescent="0.3">
      <c r="A1339" s="397" t="s">
        <v>2227</v>
      </c>
      <c r="C1339" s="397" t="s">
        <v>1053</v>
      </c>
      <c r="D1339" s="397" t="s">
        <v>2226</v>
      </c>
      <c r="E1339" s="397" t="s">
        <v>2225</v>
      </c>
      <c r="F1339" s="397" t="s">
        <v>191</v>
      </c>
      <c r="G1339" s="396">
        <v>1</v>
      </c>
      <c r="H1339" s="395">
        <v>4270.5529999999999</v>
      </c>
      <c r="I1339" s="394">
        <v>3944.19</v>
      </c>
      <c r="J1339" s="394">
        <v>6100.79</v>
      </c>
      <c r="K1339" s="393" t="s">
        <v>1033</v>
      </c>
    </row>
    <row r="1340" spans="1:11" hidden="1" x14ac:dyDescent="0.3">
      <c r="A1340" s="397" t="s">
        <v>3566</v>
      </c>
      <c r="C1340" s="397" t="s">
        <v>1053</v>
      </c>
      <c r="D1340" s="397" t="s">
        <v>3565</v>
      </c>
      <c r="E1340" s="397" t="s">
        <v>3564</v>
      </c>
      <c r="F1340" s="397" t="s">
        <v>191</v>
      </c>
      <c r="G1340" s="396">
        <v>1</v>
      </c>
      <c r="H1340" s="395">
        <v>375630.02399999992</v>
      </c>
      <c r="I1340" s="394">
        <v>78550.509999999995</v>
      </c>
      <c r="J1340" s="394">
        <v>536614.31999999995</v>
      </c>
      <c r="K1340" s="393" t="s">
        <v>1033</v>
      </c>
    </row>
    <row r="1341" spans="1:11" hidden="1" x14ac:dyDescent="0.3">
      <c r="A1341" s="397" t="s">
        <v>1206</v>
      </c>
      <c r="C1341" s="397" t="s">
        <v>1053</v>
      </c>
      <c r="D1341" s="397" t="s">
        <v>1205</v>
      </c>
      <c r="E1341" s="397" t="s">
        <v>1204</v>
      </c>
      <c r="F1341" s="397" t="s">
        <v>191</v>
      </c>
      <c r="G1341" s="396">
        <v>1</v>
      </c>
      <c r="H1341" s="395">
        <v>198312.079</v>
      </c>
      <c r="I1341" s="394">
        <v>6604.3600000000006</v>
      </c>
      <c r="J1341" s="394">
        <v>283302.96999999997</v>
      </c>
      <c r="K1341" s="393" t="s">
        <v>1033</v>
      </c>
    </row>
    <row r="1342" spans="1:11" hidden="1" x14ac:dyDescent="0.3">
      <c r="A1342" s="397" t="s">
        <v>7484</v>
      </c>
      <c r="C1342" s="397" t="s">
        <v>1053</v>
      </c>
      <c r="D1342" s="397" t="s">
        <v>7483</v>
      </c>
      <c r="E1342" s="397" t="s">
        <v>7482</v>
      </c>
      <c r="F1342" s="397" t="s">
        <v>191</v>
      </c>
      <c r="G1342" s="396">
        <v>1</v>
      </c>
      <c r="H1342" s="395">
        <v>10222.016</v>
      </c>
      <c r="I1342" s="394">
        <v>69.599999999999994</v>
      </c>
      <c r="J1342" s="394">
        <v>14602.880000000001</v>
      </c>
      <c r="K1342" s="393" t="s">
        <v>1033</v>
      </c>
    </row>
    <row r="1343" spans="1:11" hidden="1" x14ac:dyDescent="0.3">
      <c r="A1343" s="397" t="s">
        <v>6494</v>
      </c>
      <c r="C1343" s="397" t="s">
        <v>1053</v>
      </c>
      <c r="D1343" s="397" t="s">
        <v>6493</v>
      </c>
      <c r="E1343" s="397" t="s">
        <v>3023</v>
      </c>
      <c r="F1343" s="397" t="s">
        <v>191</v>
      </c>
      <c r="G1343" s="396">
        <v>1</v>
      </c>
      <c r="H1343" s="395">
        <v>4127.5920000000006</v>
      </c>
      <c r="I1343" s="394">
        <v>19.22</v>
      </c>
      <c r="J1343" s="394">
        <v>5896.56</v>
      </c>
      <c r="K1343" s="393" t="s">
        <v>1033</v>
      </c>
    </row>
    <row r="1344" spans="1:11" hidden="1" x14ac:dyDescent="0.3">
      <c r="A1344" s="397" t="s">
        <v>3843</v>
      </c>
      <c r="C1344" s="397" t="s">
        <v>1053</v>
      </c>
      <c r="D1344" s="397" t="s">
        <v>3842</v>
      </c>
      <c r="E1344" s="397" t="s">
        <v>3839</v>
      </c>
      <c r="F1344" s="397" t="s">
        <v>191</v>
      </c>
      <c r="G1344" s="396">
        <v>1</v>
      </c>
      <c r="H1344" s="395">
        <v>24280.41</v>
      </c>
      <c r="I1344" s="394">
        <v>24236.22</v>
      </c>
      <c r="J1344" s="394">
        <v>34686.300000000003</v>
      </c>
      <c r="K1344" s="393" t="s">
        <v>1033</v>
      </c>
    </row>
    <row r="1345" spans="1:12" hidden="1" x14ac:dyDescent="0.3">
      <c r="A1345" s="397" t="s">
        <v>4852</v>
      </c>
      <c r="C1345" s="397" t="s">
        <v>1053</v>
      </c>
      <c r="D1345" s="397" t="s">
        <v>4851</v>
      </c>
      <c r="E1345" s="397" t="s">
        <v>471</v>
      </c>
      <c r="F1345" s="397" t="s">
        <v>191</v>
      </c>
      <c r="G1345" s="396">
        <v>1</v>
      </c>
      <c r="H1345" s="395">
        <v>17214.785</v>
      </c>
      <c r="I1345" s="394">
        <v>472.37</v>
      </c>
      <c r="J1345" s="394">
        <v>24592.55</v>
      </c>
      <c r="K1345" s="393" t="s">
        <v>1033</v>
      </c>
    </row>
    <row r="1346" spans="1:12" hidden="1" x14ac:dyDescent="0.3">
      <c r="A1346" s="397" t="s">
        <v>2208</v>
      </c>
      <c r="C1346" s="397" t="s">
        <v>1053</v>
      </c>
      <c r="D1346" s="397" t="s">
        <v>2207</v>
      </c>
      <c r="E1346" s="397" t="s">
        <v>2206</v>
      </c>
      <c r="F1346" s="397" t="s">
        <v>191</v>
      </c>
      <c r="G1346" s="396">
        <v>1</v>
      </c>
      <c r="H1346" s="395">
        <v>11771.396000000001</v>
      </c>
      <c r="I1346" s="394">
        <v>511.43</v>
      </c>
      <c r="J1346" s="394">
        <v>16816.28</v>
      </c>
      <c r="K1346" s="393" t="s">
        <v>1033</v>
      </c>
    </row>
    <row r="1347" spans="1:12" hidden="1" x14ac:dyDescent="0.3">
      <c r="A1347" s="397" t="s">
        <v>3569</v>
      </c>
      <c r="C1347" s="397" t="s">
        <v>1053</v>
      </c>
      <c r="D1347" s="397" t="s">
        <v>3568</v>
      </c>
      <c r="E1347" s="397" t="s">
        <v>3567</v>
      </c>
      <c r="F1347" s="397" t="s">
        <v>191</v>
      </c>
      <c r="G1347" s="396">
        <v>1</v>
      </c>
      <c r="H1347" s="395">
        <v>399019.929</v>
      </c>
      <c r="I1347" s="394">
        <v>5473.97</v>
      </c>
      <c r="J1347" s="394">
        <v>570028.47</v>
      </c>
      <c r="K1347" s="393" t="s">
        <v>1033</v>
      </c>
    </row>
    <row r="1348" spans="1:12" hidden="1" x14ac:dyDescent="0.3">
      <c r="A1348" s="397" t="s">
        <v>3518</v>
      </c>
      <c r="C1348" s="397" t="s">
        <v>1053</v>
      </c>
      <c r="D1348" s="397" t="s">
        <v>3517</v>
      </c>
      <c r="E1348" s="397" t="s">
        <v>3516</v>
      </c>
      <c r="F1348" s="397" t="s">
        <v>191</v>
      </c>
      <c r="G1348" s="396">
        <v>1</v>
      </c>
      <c r="H1348" s="395">
        <v>54695.934999999998</v>
      </c>
      <c r="I1348" s="394">
        <v>1563.5900000000001</v>
      </c>
      <c r="J1348" s="394">
        <v>78137.05</v>
      </c>
      <c r="K1348" s="393" t="s">
        <v>1033</v>
      </c>
    </row>
    <row r="1349" spans="1:12" hidden="1" x14ac:dyDescent="0.3">
      <c r="A1349" s="397" t="s">
        <v>2429</v>
      </c>
      <c r="C1349" s="397" t="s">
        <v>1053</v>
      </c>
      <c r="D1349" s="397" t="s">
        <v>2428</v>
      </c>
      <c r="E1349" s="397" t="s">
        <v>2427</v>
      </c>
      <c r="F1349" s="397" t="s">
        <v>191</v>
      </c>
      <c r="G1349" s="396">
        <v>2</v>
      </c>
      <c r="H1349" s="395">
        <v>13523.419</v>
      </c>
      <c r="I1349" s="394">
        <v>715.82</v>
      </c>
      <c r="J1349" s="394">
        <v>19319.169999999998</v>
      </c>
      <c r="K1349" s="393" t="s">
        <v>1033</v>
      </c>
    </row>
    <row r="1350" spans="1:12" hidden="1" x14ac:dyDescent="0.3">
      <c r="A1350" s="397" t="s">
        <v>5356</v>
      </c>
      <c r="C1350" s="397" t="s">
        <v>1053</v>
      </c>
      <c r="D1350" s="397" t="s">
        <v>5355</v>
      </c>
      <c r="E1350" s="397" t="s">
        <v>5354</v>
      </c>
      <c r="F1350" s="397" t="s">
        <v>191</v>
      </c>
      <c r="G1350" s="396">
        <v>3</v>
      </c>
      <c r="H1350" s="395">
        <v>1758.8270000000002</v>
      </c>
      <c r="I1350" s="394">
        <v>7.19</v>
      </c>
      <c r="J1350" s="394">
        <v>2512.61</v>
      </c>
      <c r="K1350" s="393" t="s">
        <v>1033</v>
      </c>
    </row>
    <row r="1351" spans="1:12" hidden="1" x14ac:dyDescent="0.3">
      <c r="A1351" s="397" t="s">
        <v>1156</v>
      </c>
      <c r="C1351" s="397" t="s">
        <v>1034</v>
      </c>
      <c r="D1351" s="397" t="s">
        <v>1155</v>
      </c>
      <c r="E1351" s="397" t="s">
        <v>1154</v>
      </c>
      <c r="F1351" s="397" t="s">
        <v>416</v>
      </c>
      <c r="G1351" s="396">
        <v>4</v>
      </c>
      <c r="H1351" s="395">
        <v>66.118500000000012</v>
      </c>
      <c r="I1351" s="394">
        <v>312.39999999999998</v>
      </c>
      <c r="J1351" s="394">
        <v>104.95</v>
      </c>
      <c r="K1351" s="393" t="s">
        <v>1033</v>
      </c>
    </row>
    <row r="1352" spans="1:12" hidden="1" x14ac:dyDescent="0.3">
      <c r="A1352" s="397" t="s">
        <v>7018</v>
      </c>
      <c r="C1352" s="397" t="s">
        <v>1053</v>
      </c>
      <c r="D1352" s="397" t="s">
        <v>7017</v>
      </c>
      <c r="E1352" s="397" t="s">
        <v>7011</v>
      </c>
      <c r="F1352" s="397" t="s">
        <v>191</v>
      </c>
      <c r="G1352" s="396">
        <v>3</v>
      </c>
      <c r="H1352" s="395">
        <v>4381.1880000000001</v>
      </c>
      <c r="I1352" s="394">
        <v>4022.67</v>
      </c>
      <c r="J1352" s="394">
        <v>6258.84</v>
      </c>
      <c r="K1352" s="393" t="s">
        <v>1033</v>
      </c>
      <c r="L1352" s="395">
        <v>-3</v>
      </c>
    </row>
    <row r="1353" spans="1:12" hidden="1" x14ac:dyDescent="0.3">
      <c r="A1353" s="397" t="s">
        <v>7123</v>
      </c>
      <c r="C1353" s="397" t="s">
        <v>1053</v>
      </c>
      <c r="D1353" s="397" t="s">
        <v>7122</v>
      </c>
      <c r="E1353" s="397" t="s">
        <v>7121</v>
      </c>
      <c r="F1353" s="397" t="s">
        <v>191</v>
      </c>
      <c r="G1353" s="396">
        <v>4</v>
      </c>
      <c r="H1353" s="395">
        <v>2682.7849999999999</v>
      </c>
      <c r="I1353" s="394">
        <v>2635.66</v>
      </c>
      <c r="J1353" s="394">
        <v>3832.55</v>
      </c>
      <c r="K1353" s="393" t="s">
        <v>1033</v>
      </c>
    </row>
    <row r="1354" spans="1:12" hidden="1" x14ac:dyDescent="0.3">
      <c r="A1354" s="397" t="s">
        <v>1617</v>
      </c>
      <c r="C1354" s="397" t="s">
        <v>1053</v>
      </c>
      <c r="D1354" s="397" t="s">
        <v>1616</v>
      </c>
      <c r="E1354" s="397" t="s">
        <v>1615</v>
      </c>
      <c r="F1354" s="397" t="s">
        <v>191</v>
      </c>
      <c r="G1354" s="396">
        <v>2</v>
      </c>
      <c r="H1354" s="395">
        <v>584.85</v>
      </c>
      <c r="I1354" s="394">
        <v>265</v>
      </c>
      <c r="J1354" s="394">
        <v>835.5</v>
      </c>
      <c r="K1354" s="393" t="s">
        <v>1033</v>
      </c>
    </row>
    <row r="1355" spans="1:12" hidden="1" x14ac:dyDescent="0.3">
      <c r="A1355" s="397" t="s">
        <v>2125</v>
      </c>
      <c r="C1355" s="397" t="s">
        <v>1053</v>
      </c>
      <c r="D1355" s="397" t="s">
        <v>2124</v>
      </c>
      <c r="E1355" s="397" t="s">
        <v>2123</v>
      </c>
      <c r="F1355" s="397" t="s">
        <v>191</v>
      </c>
      <c r="G1355" s="396">
        <v>2</v>
      </c>
      <c r="H1355" s="395">
        <v>22885.786</v>
      </c>
      <c r="I1355" s="394">
        <v>12673.68</v>
      </c>
      <c r="J1355" s="394">
        <v>32693.98</v>
      </c>
      <c r="K1355" s="393" t="s">
        <v>1033</v>
      </c>
    </row>
    <row r="1356" spans="1:12" hidden="1" x14ac:dyDescent="0.3">
      <c r="A1356" s="397" t="s">
        <v>3399</v>
      </c>
      <c r="C1356" s="397" t="s">
        <v>1053</v>
      </c>
      <c r="D1356" s="397" t="s">
        <v>3398</v>
      </c>
      <c r="E1356" s="397" t="s">
        <v>2519</v>
      </c>
      <c r="F1356" s="397" t="s">
        <v>191</v>
      </c>
      <c r="G1356" s="396">
        <v>3</v>
      </c>
      <c r="H1356" s="395">
        <v>1929.039</v>
      </c>
      <c r="I1356" s="394">
        <v>1463.54</v>
      </c>
      <c r="J1356" s="394">
        <v>2755.77</v>
      </c>
      <c r="K1356" s="393" t="s">
        <v>1033</v>
      </c>
    </row>
    <row r="1357" spans="1:12" hidden="1" x14ac:dyDescent="0.3">
      <c r="A1357" s="397" t="s">
        <v>3848</v>
      </c>
      <c r="C1357" s="397" t="s">
        <v>1053</v>
      </c>
      <c r="D1357" s="397" t="s">
        <v>3847</v>
      </c>
      <c r="E1357" s="397" t="s">
        <v>3846</v>
      </c>
      <c r="F1357" s="397" t="s">
        <v>191</v>
      </c>
      <c r="G1357" s="396">
        <v>1</v>
      </c>
      <c r="H1357" s="395">
        <v>24280.41</v>
      </c>
      <c r="I1357" s="394">
        <v>23641.63</v>
      </c>
      <c r="J1357" s="394">
        <v>34686.300000000003</v>
      </c>
      <c r="K1357" s="393" t="s">
        <v>1033</v>
      </c>
    </row>
    <row r="1358" spans="1:12" hidden="1" x14ac:dyDescent="0.3">
      <c r="A1358" s="397" t="s">
        <v>3620</v>
      </c>
      <c r="C1358" s="397" t="s">
        <v>1053</v>
      </c>
      <c r="D1358" s="397" t="s">
        <v>3619</v>
      </c>
      <c r="E1358" s="397" t="s">
        <v>3618</v>
      </c>
      <c r="F1358" s="397" t="s">
        <v>191</v>
      </c>
      <c r="G1358" s="396">
        <v>5</v>
      </c>
      <c r="H1358" s="395">
        <v>17349.885000000002</v>
      </c>
      <c r="I1358" s="394">
        <v>2576.4499999999998</v>
      </c>
      <c r="J1358" s="394">
        <v>24785.55</v>
      </c>
      <c r="K1358" s="393" t="s">
        <v>1033</v>
      </c>
    </row>
    <row r="1359" spans="1:12" hidden="1" x14ac:dyDescent="0.3">
      <c r="A1359" s="397" t="s">
        <v>6349</v>
      </c>
      <c r="C1359" s="397" t="s">
        <v>1053</v>
      </c>
      <c r="D1359" s="397" t="s">
        <v>6348</v>
      </c>
      <c r="E1359" s="397" t="s">
        <v>6347</v>
      </c>
      <c r="F1359" s="397" t="s">
        <v>191</v>
      </c>
      <c r="G1359" s="396">
        <v>1</v>
      </c>
      <c r="H1359" s="395">
        <v>17304.623</v>
      </c>
      <c r="I1359" s="394">
        <v>651.49</v>
      </c>
      <c r="J1359" s="394">
        <v>24720.89</v>
      </c>
      <c r="K1359" s="393" t="s">
        <v>1033</v>
      </c>
    </row>
    <row r="1360" spans="1:12" hidden="1" x14ac:dyDescent="0.3">
      <c r="A1360" s="397" t="s">
        <v>2694</v>
      </c>
      <c r="C1360" s="397" t="s">
        <v>1053</v>
      </c>
      <c r="D1360" s="397" t="s">
        <v>2693</v>
      </c>
      <c r="E1360" s="397" t="s">
        <v>466</v>
      </c>
      <c r="F1360" s="397" t="s">
        <v>191</v>
      </c>
      <c r="G1360" s="396">
        <v>1</v>
      </c>
      <c r="H1360" s="395">
        <v>10621.632</v>
      </c>
      <c r="I1360" s="394">
        <v>10329.52</v>
      </c>
      <c r="J1360" s="394">
        <v>15173.76</v>
      </c>
      <c r="K1360" s="393" t="s">
        <v>1033</v>
      </c>
    </row>
    <row r="1361" spans="1:11" hidden="1" x14ac:dyDescent="0.3">
      <c r="A1361" s="397" t="s">
        <v>5194</v>
      </c>
      <c r="C1361" s="397" t="s">
        <v>1053</v>
      </c>
      <c r="D1361" s="397" t="s">
        <v>5193</v>
      </c>
      <c r="E1361" s="397" t="s">
        <v>5192</v>
      </c>
      <c r="F1361" s="397" t="s">
        <v>191</v>
      </c>
      <c r="G1361" s="396">
        <v>2</v>
      </c>
      <c r="H1361" s="395">
        <v>13632.92</v>
      </c>
      <c r="I1361" s="394">
        <v>172.97</v>
      </c>
      <c r="J1361" s="394">
        <v>19475.599999999999</v>
      </c>
      <c r="K1361" s="393" t="s">
        <v>1033</v>
      </c>
    </row>
    <row r="1362" spans="1:11" hidden="1" x14ac:dyDescent="0.3">
      <c r="A1362" s="397" t="s">
        <v>5546</v>
      </c>
      <c r="C1362" s="397" t="s">
        <v>1053</v>
      </c>
      <c r="D1362" s="397" t="s">
        <v>5545</v>
      </c>
      <c r="E1362" s="397" t="s">
        <v>5363</v>
      </c>
      <c r="F1362" s="397" t="s">
        <v>191</v>
      </c>
      <c r="G1362" s="396">
        <v>1</v>
      </c>
      <c r="H1362" s="395">
        <v>6293.0209999999997</v>
      </c>
      <c r="I1362" s="394">
        <v>46.9</v>
      </c>
      <c r="J1362" s="394">
        <v>8990.0300000000007</v>
      </c>
      <c r="K1362" s="393" t="s">
        <v>1033</v>
      </c>
    </row>
    <row r="1363" spans="1:11" hidden="1" x14ac:dyDescent="0.3">
      <c r="A1363" s="397" t="s">
        <v>2601</v>
      </c>
      <c r="C1363" s="397" t="s">
        <v>1053</v>
      </c>
      <c r="D1363" s="397" t="s">
        <v>2600</v>
      </c>
      <c r="E1363" s="397" t="s">
        <v>2599</v>
      </c>
      <c r="F1363" s="397" t="s">
        <v>191</v>
      </c>
      <c r="G1363" s="396">
        <v>1</v>
      </c>
      <c r="H1363" s="395">
        <v>3832.5490000000004</v>
      </c>
      <c r="I1363" s="394">
        <v>2361.1799999999998</v>
      </c>
      <c r="J1363" s="394">
        <v>5475.07</v>
      </c>
      <c r="K1363" s="393" t="s">
        <v>1033</v>
      </c>
    </row>
    <row r="1364" spans="1:11" hidden="1" x14ac:dyDescent="0.3">
      <c r="A1364" s="397" t="s">
        <v>6929</v>
      </c>
      <c r="C1364" s="397" t="s">
        <v>1053</v>
      </c>
      <c r="D1364" s="397" t="s">
        <v>6928</v>
      </c>
      <c r="E1364" s="397" t="s">
        <v>6927</v>
      </c>
      <c r="F1364" s="397" t="s">
        <v>191</v>
      </c>
      <c r="G1364" s="396">
        <v>1</v>
      </c>
      <c r="H1364" s="395">
        <v>66636.969000000012</v>
      </c>
      <c r="I1364" s="394">
        <v>901.04</v>
      </c>
      <c r="J1364" s="394">
        <v>95195.67</v>
      </c>
      <c r="K1364" s="393" t="s">
        <v>1033</v>
      </c>
    </row>
    <row r="1365" spans="1:11" hidden="1" x14ac:dyDescent="0.3">
      <c r="A1365" s="397" t="s">
        <v>4061</v>
      </c>
      <c r="C1365" s="397" t="s">
        <v>1053</v>
      </c>
      <c r="D1365" s="397" t="s">
        <v>5299</v>
      </c>
      <c r="E1365" s="397" t="s">
        <v>5298</v>
      </c>
      <c r="F1365" s="397" t="s">
        <v>191</v>
      </c>
      <c r="G1365" s="396">
        <v>1</v>
      </c>
      <c r="H1365" s="395">
        <v>16260.951000000001</v>
      </c>
      <c r="I1365" s="394">
        <v>15978.69</v>
      </c>
      <c r="J1365" s="394">
        <v>23229.93</v>
      </c>
      <c r="K1365" s="393" t="s">
        <v>1033</v>
      </c>
    </row>
    <row r="1366" spans="1:11" hidden="1" x14ac:dyDescent="0.3">
      <c r="A1366" s="397" t="s">
        <v>4061</v>
      </c>
      <c r="C1366" s="397" t="s">
        <v>1053</v>
      </c>
      <c r="D1366" s="397" t="s">
        <v>644</v>
      </c>
      <c r="E1366" s="397" t="s">
        <v>645</v>
      </c>
      <c r="F1366" s="397" t="s">
        <v>191</v>
      </c>
      <c r="G1366" s="396">
        <v>3</v>
      </c>
      <c r="H1366" s="395">
        <v>117139.51199999999</v>
      </c>
      <c r="I1366" s="394">
        <v>109973.36</v>
      </c>
      <c r="J1366" s="394">
        <v>167342.16</v>
      </c>
      <c r="K1366" s="393" t="s">
        <v>1033</v>
      </c>
    </row>
    <row r="1367" spans="1:11" hidden="1" x14ac:dyDescent="0.3">
      <c r="A1367" s="397" t="s">
        <v>3546</v>
      </c>
      <c r="C1367" s="397" t="s">
        <v>1053</v>
      </c>
      <c r="D1367" s="397" t="s">
        <v>4819</v>
      </c>
      <c r="E1367" s="397" t="s">
        <v>4818</v>
      </c>
      <c r="F1367" s="397" t="s">
        <v>191</v>
      </c>
      <c r="G1367" s="396">
        <v>4</v>
      </c>
      <c r="H1367" s="395">
        <v>58528.477000000006</v>
      </c>
      <c r="I1367" s="394">
        <v>40267.18</v>
      </c>
      <c r="J1367" s="394">
        <v>83612.11</v>
      </c>
      <c r="K1367" s="393" t="s">
        <v>1033</v>
      </c>
    </row>
    <row r="1368" spans="1:11" hidden="1" x14ac:dyDescent="0.3">
      <c r="A1368" s="397" t="s">
        <v>3546</v>
      </c>
      <c r="C1368" s="397" t="s">
        <v>1053</v>
      </c>
      <c r="D1368" s="397" t="s">
        <v>3545</v>
      </c>
      <c r="E1368" s="397" t="s">
        <v>3544</v>
      </c>
      <c r="F1368" s="397" t="s">
        <v>191</v>
      </c>
      <c r="G1368" s="396">
        <v>1</v>
      </c>
      <c r="H1368" s="395">
        <v>676355.32299999997</v>
      </c>
      <c r="I1368" s="394">
        <v>505600.68</v>
      </c>
      <c r="J1368" s="394">
        <v>966221.89</v>
      </c>
      <c r="K1368" s="393" t="s">
        <v>1033</v>
      </c>
    </row>
    <row r="1369" spans="1:11" hidden="1" x14ac:dyDescent="0.3">
      <c r="A1369" s="397" t="s">
        <v>2726</v>
      </c>
      <c r="C1369" s="397" t="s">
        <v>1053</v>
      </c>
      <c r="D1369" s="397" t="s">
        <v>2725</v>
      </c>
      <c r="E1369" s="397" t="s">
        <v>2718</v>
      </c>
      <c r="F1369" s="397" t="s">
        <v>191</v>
      </c>
      <c r="G1369" s="396">
        <v>2</v>
      </c>
      <c r="H1369" s="395">
        <v>6898.5840000000007</v>
      </c>
      <c r="I1369" s="394">
        <v>42.77</v>
      </c>
      <c r="J1369" s="394">
        <v>9855.1200000000008</v>
      </c>
      <c r="K1369" s="393" t="s">
        <v>1033</v>
      </c>
    </row>
    <row r="1370" spans="1:11" hidden="1" x14ac:dyDescent="0.3">
      <c r="A1370" s="397" t="s">
        <v>2104</v>
      </c>
      <c r="C1370" s="397" t="s">
        <v>1053</v>
      </c>
      <c r="D1370" s="397" t="s">
        <v>2103</v>
      </c>
      <c r="E1370" s="397" t="s">
        <v>2102</v>
      </c>
      <c r="F1370" s="397" t="s">
        <v>191</v>
      </c>
      <c r="G1370" s="396">
        <v>1</v>
      </c>
      <c r="H1370" s="395">
        <v>1929.039</v>
      </c>
      <c r="I1370" s="394">
        <v>1375.75</v>
      </c>
      <c r="J1370" s="394">
        <v>2755.77</v>
      </c>
      <c r="K1370" s="393" t="s">
        <v>1033</v>
      </c>
    </row>
    <row r="1371" spans="1:11" hidden="1" x14ac:dyDescent="0.3">
      <c r="A1371" s="397" t="s">
        <v>3873</v>
      </c>
      <c r="C1371" s="397" t="s">
        <v>1053</v>
      </c>
      <c r="D1371" s="397" t="s">
        <v>3872</v>
      </c>
      <c r="E1371" s="397" t="s">
        <v>3871</v>
      </c>
      <c r="F1371" s="397" t="s">
        <v>191</v>
      </c>
      <c r="G1371" s="396">
        <v>12</v>
      </c>
      <c r="H1371" s="395">
        <v>4380.0540000000001</v>
      </c>
      <c r="I1371" s="394">
        <v>3862.4900000000002</v>
      </c>
      <c r="J1371" s="394">
        <v>6257.22</v>
      </c>
      <c r="K1371" s="393" t="s">
        <v>1033</v>
      </c>
    </row>
    <row r="1372" spans="1:11" hidden="1" x14ac:dyDescent="0.3">
      <c r="A1372" s="397" t="s">
        <v>4058</v>
      </c>
      <c r="C1372" s="397" t="s">
        <v>1053</v>
      </c>
      <c r="D1372" s="397" t="s">
        <v>4057</v>
      </c>
      <c r="E1372" s="397" t="s">
        <v>645</v>
      </c>
      <c r="F1372" s="397" t="s">
        <v>191</v>
      </c>
      <c r="G1372" s="396">
        <v>1</v>
      </c>
      <c r="H1372" s="395">
        <v>21405.012999999999</v>
      </c>
      <c r="I1372" s="394">
        <v>20281.75</v>
      </c>
      <c r="J1372" s="394">
        <v>30578.59</v>
      </c>
      <c r="K1372" s="393" t="s">
        <v>1033</v>
      </c>
    </row>
    <row r="1373" spans="1:11" hidden="1" x14ac:dyDescent="0.3">
      <c r="A1373" s="397" t="s">
        <v>1620</v>
      </c>
      <c r="C1373" s="397" t="s">
        <v>1053</v>
      </c>
      <c r="D1373" s="397" t="s">
        <v>1619</v>
      </c>
      <c r="E1373" s="397" t="s">
        <v>1618</v>
      </c>
      <c r="F1373" s="397" t="s">
        <v>191</v>
      </c>
      <c r="G1373" s="396">
        <v>1</v>
      </c>
      <c r="H1373" s="395">
        <v>672.08399999999995</v>
      </c>
      <c r="I1373" s="394">
        <v>672.08</v>
      </c>
      <c r="J1373" s="394">
        <v>960.12</v>
      </c>
      <c r="K1373" s="393" t="s">
        <v>1033</v>
      </c>
    </row>
    <row r="1374" spans="1:11" hidden="1" x14ac:dyDescent="0.3">
      <c r="A1374" s="397" t="s">
        <v>3540</v>
      </c>
      <c r="C1374" s="397" t="s">
        <v>1053</v>
      </c>
      <c r="D1374" s="397" t="s">
        <v>3539</v>
      </c>
      <c r="E1374" s="397" t="s">
        <v>3533</v>
      </c>
      <c r="F1374" s="397" t="s">
        <v>191</v>
      </c>
      <c r="G1374" s="396">
        <v>1</v>
      </c>
      <c r="H1374" s="395">
        <v>230491.86300000001</v>
      </c>
      <c r="I1374" s="394">
        <v>45919.83</v>
      </c>
      <c r="J1374" s="394">
        <v>329274.09000000003</v>
      </c>
      <c r="K1374" s="393" t="s">
        <v>1033</v>
      </c>
    </row>
    <row r="1375" spans="1:11" hidden="1" x14ac:dyDescent="0.3">
      <c r="A1375" s="397" t="s">
        <v>4025</v>
      </c>
      <c r="C1375" s="397" t="s">
        <v>1053</v>
      </c>
      <c r="D1375" s="397" t="s">
        <v>4024</v>
      </c>
      <c r="E1375" s="397" t="s">
        <v>4023</v>
      </c>
      <c r="F1375" s="397" t="s">
        <v>191</v>
      </c>
      <c r="G1375" s="396">
        <v>2</v>
      </c>
      <c r="H1375" s="395">
        <v>32029.151000000002</v>
      </c>
      <c r="I1375" s="394">
        <v>28396.49</v>
      </c>
      <c r="J1375" s="394">
        <v>45755.93</v>
      </c>
      <c r="K1375" s="393" t="s">
        <v>1033</v>
      </c>
    </row>
    <row r="1376" spans="1:11" hidden="1" x14ac:dyDescent="0.3">
      <c r="A1376" s="397" t="s">
        <v>3449</v>
      </c>
      <c r="C1376" s="397" t="s">
        <v>1053</v>
      </c>
      <c r="D1376" s="397" t="s">
        <v>3448</v>
      </c>
      <c r="E1376" s="397" t="s">
        <v>3447</v>
      </c>
      <c r="F1376" s="397" t="s">
        <v>191</v>
      </c>
      <c r="G1376" s="396">
        <v>2</v>
      </c>
      <c r="H1376" s="395">
        <v>404026.62299999996</v>
      </c>
      <c r="I1376" s="394">
        <v>59407.65</v>
      </c>
      <c r="J1376" s="394">
        <v>577180.89</v>
      </c>
      <c r="K1376" s="393" t="s">
        <v>1033</v>
      </c>
    </row>
    <row r="1377" spans="1:12" hidden="1" x14ac:dyDescent="0.3">
      <c r="A1377" s="397" t="s">
        <v>3850</v>
      </c>
      <c r="C1377" s="397" t="s">
        <v>1053</v>
      </c>
      <c r="D1377" s="397" t="s">
        <v>3849</v>
      </c>
      <c r="E1377" s="397" t="s">
        <v>3846</v>
      </c>
      <c r="F1377" s="397" t="s">
        <v>191</v>
      </c>
      <c r="G1377" s="396">
        <v>2</v>
      </c>
      <c r="H1377" s="395">
        <v>25307.611000000001</v>
      </c>
      <c r="I1377" s="394">
        <v>1149.82</v>
      </c>
      <c r="J1377" s="394">
        <v>36153.730000000003</v>
      </c>
      <c r="K1377" s="393" t="s">
        <v>1033</v>
      </c>
    </row>
    <row r="1378" spans="1:12" hidden="1" x14ac:dyDescent="0.3">
      <c r="A1378" s="397" t="s">
        <v>5856</v>
      </c>
      <c r="C1378" s="397" t="s">
        <v>1053</v>
      </c>
      <c r="D1378" s="397" t="s">
        <v>5855</v>
      </c>
      <c r="E1378" s="397" t="s">
        <v>5854</v>
      </c>
      <c r="F1378" s="397" t="s">
        <v>191</v>
      </c>
      <c r="G1378" s="396">
        <v>1</v>
      </c>
      <c r="H1378" s="395">
        <v>14554.554</v>
      </c>
      <c r="I1378" s="394">
        <v>13533.74</v>
      </c>
      <c r="J1378" s="394">
        <v>20792.22</v>
      </c>
      <c r="K1378" s="393" t="s">
        <v>1033</v>
      </c>
      <c r="L1378" s="395">
        <v>-1</v>
      </c>
    </row>
    <row r="1379" spans="1:12" hidden="1" x14ac:dyDescent="0.3">
      <c r="A1379" s="397" t="s">
        <v>2763</v>
      </c>
      <c r="C1379" s="397" t="s">
        <v>1053</v>
      </c>
      <c r="D1379" s="397" t="s">
        <v>2762</v>
      </c>
      <c r="E1379" s="397" t="s">
        <v>2240</v>
      </c>
      <c r="F1379" s="397" t="s">
        <v>191</v>
      </c>
      <c r="G1379" s="396">
        <v>1</v>
      </c>
      <c r="H1379" s="395">
        <v>3347.4490000000005</v>
      </c>
      <c r="I1379" s="394">
        <v>13.32</v>
      </c>
      <c r="J1379" s="394">
        <v>4782.07</v>
      </c>
      <c r="K1379" s="393" t="s">
        <v>1033</v>
      </c>
    </row>
    <row r="1380" spans="1:12" hidden="1" x14ac:dyDescent="0.3">
      <c r="A1380" s="397" t="s">
        <v>880</v>
      </c>
      <c r="C1380" s="397" t="s">
        <v>1053</v>
      </c>
      <c r="D1380" s="397" t="s">
        <v>879</v>
      </c>
      <c r="E1380" s="397" t="s">
        <v>878</v>
      </c>
      <c r="F1380" s="397" t="s">
        <v>191</v>
      </c>
      <c r="G1380" s="396">
        <v>1</v>
      </c>
      <c r="H1380" s="395">
        <v>28544.347999999998</v>
      </c>
      <c r="I1380" s="394">
        <v>19609.5</v>
      </c>
      <c r="J1380" s="394">
        <v>40777.64</v>
      </c>
      <c r="K1380" s="393" t="s">
        <v>1033</v>
      </c>
      <c r="L1380" s="395">
        <v>2</v>
      </c>
    </row>
    <row r="1381" spans="1:12" hidden="1" x14ac:dyDescent="0.3">
      <c r="A1381" s="397" t="s">
        <v>3838</v>
      </c>
      <c r="C1381" s="397" t="s">
        <v>1053</v>
      </c>
      <c r="D1381" s="397" t="s">
        <v>3837</v>
      </c>
      <c r="E1381" s="397" t="s">
        <v>3836</v>
      </c>
      <c r="F1381" s="397" t="s">
        <v>191</v>
      </c>
      <c r="G1381" s="396">
        <v>1</v>
      </c>
      <c r="H1381" s="395">
        <v>20225.813999999998</v>
      </c>
      <c r="I1381" s="394">
        <v>13531.51</v>
      </c>
      <c r="J1381" s="394">
        <v>28894.02</v>
      </c>
      <c r="K1381" s="393" t="s">
        <v>1033</v>
      </c>
    </row>
    <row r="1382" spans="1:12" hidden="1" x14ac:dyDescent="0.3">
      <c r="A1382" s="397" t="s">
        <v>3861</v>
      </c>
      <c r="C1382" s="397" t="s">
        <v>1053</v>
      </c>
      <c r="D1382" s="397" t="s">
        <v>3860</v>
      </c>
      <c r="E1382" s="397" t="s">
        <v>3859</v>
      </c>
      <c r="F1382" s="397" t="s">
        <v>191</v>
      </c>
      <c r="G1382" s="396">
        <v>2</v>
      </c>
      <c r="H1382" s="395">
        <v>4948.5520000000006</v>
      </c>
      <c r="I1382" s="394">
        <v>4751.8100000000004</v>
      </c>
      <c r="J1382" s="394">
        <v>7069.3600000000006</v>
      </c>
      <c r="K1382" s="393" t="s">
        <v>1033</v>
      </c>
      <c r="L1382" s="395">
        <v>2</v>
      </c>
    </row>
    <row r="1383" spans="1:12" hidden="1" x14ac:dyDescent="0.3">
      <c r="A1383" s="397" t="s">
        <v>4310</v>
      </c>
      <c r="C1383" s="397" t="s">
        <v>1053</v>
      </c>
      <c r="D1383" s="397" t="s">
        <v>4309</v>
      </c>
      <c r="E1383" s="397" t="s">
        <v>4308</v>
      </c>
      <c r="F1383" s="397" t="s">
        <v>191</v>
      </c>
      <c r="G1383" s="396">
        <v>2</v>
      </c>
      <c r="H1383" s="395">
        <v>32793.67</v>
      </c>
      <c r="I1383" s="394">
        <v>24573.68</v>
      </c>
      <c r="J1383" s="394">
        <v>46848.1</v>
      </c>
      <c r="K1383" s="393" t="s">
        <v>1033</v>
      </c>
    </row>
    <row r="1384" spans="1:12" hidden="1" x14ac:dyDescent="0.3">
      <c r="A1384" s="397" t="s">
        <v>2692</v>
      </c>
      <c r="C1384" s="397" t="s">
        <v>1053</v>
      </c>
      <c r="D1384" s="397" t="s">
        <v>2691</v>
      </c>
      <c r="E1384" s="397" t="s">
        <v>2690</v>
      </c>
      <c r="F1384" s="397" t="s">
        <v>191</v>
      </c>
      <c r="G1384" s="396">
        <v>4</v>
      </c>
      <c r="H1384" s="395">
        <v>5639.3190000000004</v>
      </c>
      <c r="I1384" s="394">
        <v>33.520000000000003</v>
      </c>
      <c r="J1384" s="394">
        <v>8056.17</v>
      </c>
      <c r="K1384" s="393" t="s">
        <v>1033</v>
      </c>
    </row>
    <row r="1385" spans="1:12" hidden="1" x14ac:dyDescent="0.3">
      <c r="A1385" s="397" t="s">
        <v>3124</v>
      </c>
      <c r="C1385" s="397" t="s">
        <v>1053</v>
      </c>
      <c r="D1385" s="397" t="s">
        <v>3123</v>
      </c>
      <c r="E1385" s="397" t="s">
        <v>2041</v>
      </c>
      <c r="F1385" s="397" t="s">
        <v>191</v>
      </c>
      <c r="G1385" s="396">
        <v>9</v>
      </c>
      <c r="H1385" s="395">
        <v>2835.6859999999997</v>
      </c>
      <c r="I1385" s="394">
        <v>2121.25</v>
      </c>
      <c r="J1385" s="394">
        <v>4050.98</v>
      </c>
      <c r="K1385" s="393" t="s">
        <v>1033</v>
      </c>
      <c r="L1385" s="395">
        <v>4</v>
      </c>
    </row>
    <row r="1386" spans="1:12" hidden="1" x14ac:dyDescent="0.3">
      <c r="A1386" s="397" t="s">
        <v>3356</v>
      </c>
      <c r="C1386" s="397" t="s">
        <v>1053</v>
      </c>
      <c r="D1386" s="397" t="s">
        <v>5496</v>
      </c>
      <c r="E1386" s="397" t="s">
        <v>5492</v>
      </c>
      <c r="F1386" s="397" t="s">
        <v>191</v>
      </c>
      <c r="G1386" s="396">
        <v>1</v>
      </c>
      <c r="H1386" s="395">
        <v>112238.89599999999</v>
      </c>
      <c r="I1386" s="394">
        <v>5939.02</v>
      </c>
      <c r="J1386" s="394">
        <v>160341.28</v>
      </c>
      <c r="K1386" s="393" t="s">
        <v>1033</v>
      </c>
    </row>
    <row r="1387" spans="1:12" hidden="1" x14ac:dyDescent="0.3">
      <c r="A1387" s="397" t="s">
        <v>3356</v>
      </c>
      <c r="C1387" s="397" t="s">
        <v>1053</v>
      </c>
      <c r="D1387" s="397" t="s">
        <v>3355</v>
      </c>
      <c r="E1387" s="397" t="s">
        <v>676</v>
      </c>
      <c r="F1387" s="397" t="s">
        <v>191</v>
      </c>
      <c r="G1387" s="396">
        <v>2</v>
      </c>
      <c r="H1387" s="395">
        <v>1971.0250000000001</v>
      </c>
      <c r="I1387" s="394">
        <v>1130.6500000000001</v>
      </c>
      <c r="J1387" s="394">
        <v>2815.75</v>
      </c>
      <c r="K1387" s="393" t="s">
        <v>1033</v>
      </c>
    </row>
    <row r="1388" spans="1:12" hidden="1" x14ac:dyDescent="0.3">
      <c r="A1388" s="397" t="s">
        <v>3142</v>
      </c>
      <c r="C1388" s="397" t="s">
        <v>1053</v>
      </c>
      <c r="D1388" s="397" t="s">
        <v>3141</v>
      </c>
      <c r="E1388" s="397" t="s">
        <v>3140</v>
      </c>
      <c r="F1388" s="397" t="s">
        <v>191</v>
      </c>
      <c r="G1388" s="396">
        <v>8</v>
      </c>
      <c r="H1388" s="395">
        <v>2244.7809999999999</v>
      </c>
      <c r="I1388" s="394">
        <v>1660.03</v>
      </c>
      <c r="J1388" s="394">
        <v>3206.83</v>
      </c>
      <c r="K1388" s="393" t="s">
        <v>1033</v>
      </c>
    </row>
    <row r="1389" spans="1:12" hidden="1" x14ac:dyDescent="0.3">
      <c r="A1389" s="397" t="s">
        <v>7598</v>
      </c>
      <c r="C1389" s="397" t="s">
        <v>1053</v>
      </c>
      <c r="D1389" s="397" t="s">
        <v>7597</v>
      </c>
      <c r="E1389" s="397" t="s">
        <v>7594</v>
      </c>
      <c r="F1389" s="397" t="s">
        <v>191</v>
      </c>
      <c r="G1389" s="396">
        <v>1</v>
      </c>
      <c r="H1389" s="395">
        <v>63729.792000000001</v>
      </c>
      <c r="I1389" s="394">
        <v>4200.78</v>
      </c>
      <c r="J1389" s="394">
        <v>91042.559999999998</v>
      </c>
      <c r="K1389" s="393" t="s">
        <v>1033</v>
      </c>
    </row>
    <row r="1390" spans="1:12" hidden="1" x14ac:dyDescent="0.3">
      <c r="A1390" s="397" t="s">
        <v>2470</v>
      </c>
      <c r="C1390" s="397" t="s">
        <v>1053</v>
      </c>
      <c r="D1390" s="397" t="s">
        <v>2469</v>
      </c>
      <c r="E1390" s="397" t="s">
        <v>2468</v>
      </c>
      <c r="F1390" s="397" t="s">
        <v>191</v>
      </c>
      <c r="G1390" s="396">
        <v>2</v>
      </c>
      <c r="H1390" s="395">
        <v>14892.184999999999</v>
      </c>
      <c r="I1390" s="394">
        <v>67.66</v>
      </c>
      <c r="J1390" s="394">
        <v>21274.55</v>
      </c>
      <c r="K1390" s="393" t="s">
        <v>1033</v>
      </c>
    </row>
    <row r="1391" spans="1:12" hidden="1" x14ac:dyDescent="0.3">
      <c r="A1391" s="397" t="s">
        <v>7207</v>
      </c>
      <c r="C1391" s="397" t="s">
        <v>1053</v>
      </c>
      <c r="D1391" s="397" t="s">
        <v>7206</v>
      </c>
      <c r="E1391" s="397" t="s">
        <v>7205</v>
      </c>
      <c r="F1391" s="397" t="s">
        <v>191</v>
      </c>
      <c r="G1391" s="396">
        <v>1</v>
      </c>
      <c r="H1391" s="395">
        <v>66671.122000000003</v>
      </c>
      <c r="I1391" s="394">
        <v>47694.22</v>
      </c>
      <c r="J1391" s="394">
        <v>95244.46</v>
      </c>
      <c r="K1391" s="393" t="s">
        <v>1033</v>
      </c>
    </row>
    <row r="1392" spans="1:12" hidden="1" x14ac:dyDescent="0.3">
      <c r="A1392" s="397" t="s">
        <v>2442</v>
      </c>
      <c r="C1392" s="397" t="s">
        <v>1053</v>
      </c>
      <c r="D1392" s="397" t="s">
        <v>2441</v>
      </c>
      <c r="E1392" s="397" t="s">
        <v>2440</v>
      </c>
      <c r="F1392" s="397" t="s">
        <v>191</v>
      </c>
      <c r="G1392" s="396">
        <v>10</v>
      </c>
      <c r="H1392" s="395">
        <v>11661.895</v>
      </c>
      <c r="I1392" s="394">
        <v>178.64000000000001</v>
      </c>
      <c r="J1392" s="394">
        <v>16659.849999999999</v>
      </c>
      <c r="K1392" s="393" t="s">
        <v>1033</v>
      </c>
    </row>
    <row r="1393" spans="1:12" hidden="1" x14ac:dyDescent="0.3">
      <c r="A1393" s="397" t="s">
        <v>3362</v>
      </c>
      <c r="C1393" s="397" t="s">
        <v>1053</v>
      </c>
      <c r="D1393" s="397" t="s">
        <v>3361</v>
      </c>
      <c r="E1393" s="397" t="s">
        <v>676</v>
      </c>
      <c r="F1393" s="397" t="s">
        <v>191</v>
      </c>
      <c r="G1393" s="396">
        <v>6</v>
      </c>
      <c r="H1393" s="395">
        <v>3347.4490000000005</v>
      </c>
      <c r="I1393" s="394">
        <v>26.22</v>
      </c>
      <c r="J1393" s="394">
        <v>4782.07</v>
      </c>
      <c r="K1393" s="393" t="s">
        <v>1033</v>
      </c>
    </row>
    <row r="1394" spans="1:12" hidden="1" x14ac:dyDescent="0.3">
      <c r="A1394" s="397" t="s">
        <v>3109</v>
      </c>
      <c r="C1394" s="397" t="s">
        <v>1053</v>
      </c>
      <c r="D1394" s="397" t="s">
        <v>3108</v>
      </c>
      <c r="E1394" s="397" t="s">
        <v>2041</v>
      </c>
      <c r="F1394" s="397" t="s">
        <v>191</v>
      </c>
      <c r="G1394" s="396">
        <v>1</v>
      </c>
      <c r="H1394" s="395">
        <v>4872.8119999999999</v>
      </c>
      <c r="I1394" s="394">
        <v>164.68</v>
      </c>
      <c r="J1394" s="394">
        <v>6961.16</v>
      </c>
      <c r="K1394" s="393" t="s">
        <v>1033</v>
      </c>
    </row>
    <row r="1395" spans="1:12" hidden="1" x14ac:dyDescent="0.3">
      <c r="A1395" s="397" t="s">
        <v>2098</v>
      </c>
      <c r="C1395" s="397" t="s">
        <v>1053</v>
      </c>
      <c r="D1395" s="397" t="s">
        <v>2097</v>
      </c>
      <c r="E1395" s="397" t="s">
        <v>2041</v>
      </c>
      <c r="F1395" s="397" t="s">
        <v>191</v>
      </c>
      <c r="G1395" s="396">
        <v>6</v>
      </c>
      <c r="H1395" s="395">
        <v>1642.5220000000002</v>
      </c>
      <c r="I1395" s="394">
        <v>1234.3800000000001</v>
      </c>
      <c r="J1395" s="394">
        <v>2346.46</v>
      </c>
      <c r="K1395" s="393" t="s">
        <v>1033</v>
      </c>
    </row>
    <row r="1396" spans="1:12" hidden="1" x14ac:dyDescent="0.3">
      <c r="A1396" s="397" t="s">
        <v>3126</v>
      </c>
      <c r="C1396" s="397" t="s">
        <v>1053</v>
      </c>
      <c r="D1396" s="397" t="s">
        <v>3125</v>
      </c>
      <c r="E1396" s="397" t="s">
        <v>2041</v>
      </c>
      <c r="F1396" s="397" t="s">
        <v>191</v>
      </c>
      <c r="G1396" s="396">
        <v>11</v>
      </c>
      <c r="H1396" s="395">
        <v>2471.4410000000003</v>
      </c>
      <c r="I1396" s="394">
        <v>2317.39</v>
      </c>
      <c r="J1396" s="394">
        <v>3530.63</v>
      </c>
      <c r="K1396" s="393" t="s">
        <v>1033</v>
      </c>
    </row>
    <row r="1397" spans="1:12" hidden="1" x14ac:dyDescent="0.3">
      <c r="A1397" s="397" t="s">
        <v>3120</v>
      </c>
      <c r="C1397" s="397" t="s">
        <v>1053</v>
      </c>
      <c r="D1397" s="397" t="s">
        <v>3119</v>
      </c>
      <c r="E1397" s="397" t="s">
        <v>2041</v>
      </c>
      <c r="F1397" s="397" t="s">
        <v>191</v>
      </c>
      <c r="G1397" s="396">
        <v>4</v>
      </c>
      <c r="H1397" s="395">
        <v>1375.8570000000002</v>
      </c>
      <c r="I1397" s="394">
        <v>5.93</v>
      </c>
      <c r="J1397" s="394">
        <v>1965.51</v>
      </c>
      <c r="K1397" s="393" t="s">
        <v>1033</v>
      </c>
    </row>
    <row r="1398" spans="1:12" hidden="1" x14ac:dyDescent="0.3">
      <c r="A1398" s="397" t="s">
        <v>2057</v>
      </c>
      <c r="C1398" s="397" t="s">
        <v>1053</v>
      </c>
      <c r="D1398" s="397" t="s">
        <v>2056</v>
      </c>
      <c r="E1398" s="397" t="s">
        <v>2041</v>
      </c>
      <c r="F1398" s="397" t="s">
        <v>191</v>
      </c>
      <c r="G1398" s="396">
        <v>3</v>
      </c>
      <c r="H1398" s="395">
        <v>2113.1460000000002</v>
      </c>
      <c r="I1398" s="394">
        <v>24.82</v>
      </c>
      <c r="J1398" s="394">
        <v>3018.78</v>
      </c>
      <c r="K1398" s="393" t="s">
        <v>1033</v>
      </c>
    </row>
    <row r="1399" spans="1:12" hidden="1" x14ac:dyDescent="0.3">
      <c r="A1399" s="397" t="s">
        <v>2050</v>
      </c>
      <c r="C1399" s="397" t="s">
        <v>1053</v>
      </c>
      <c r="D1399" s="397" t="s">
        <v>2049</v>
      </c>
      <c r="E1399" s="397" t="s">
        <v>2041</v>
      </c>
      <c r="F1399" s="397" t="s">
        <v>191</v>
      </c>
      <c r="G1399" s="396">
        <v>8</v>
      </c>
      <c r="H1399" s="395">
        <v>1697.269</v>
      </c>
      <c r="I1399" s="394">
        <v>769.68000000000006</v>
      </c>
      <c r="J1399" s="394">
        <v>2424.67</v>
      </c>
      <c r="K1399" s="393" t="s">
        <v>1033</v>
      </c>
      <c r="L1399" s="395">
        <v>2</v>
      </c>
    </row>
    <row r="1400" spans="1:12" hidden="1" x14ac:dyDescent="0.3">
      <c r="A1400" s="397" t="s">
        <v>3090</v>
      </c>
      <c r="C1400" s="397" t="s">
        <v>1053</v>
      </c>
      <c r="D1400" s="397" t="s">
        <v>3089</v>
      </c>
      <c r="E1400" s="397" t="s">
        <v>2035</v>
      </c>
      <c r="F1400" s="397" t="s">
        <v>191</v>
      </c>
      <c r="G1400" s="396">
        <v>1</v>
      </c>
      <c r="H1400" s="395">
        <v>6581.4280000000008</v>
      </c>
      <c r="I1400" s="394">
        <v>8.5</v>
      </c>
      <c r="J1400" s="394">
        <v>9402.0400000000009</v>
      </c>
      <c r="K1400" s="393" t="s">
        <v>1033</v>
      </c>
    </row>
    <row r="1401" spans="1:12" hidden="1" x14ac:dyDescent="0.3">
      <c r="A1401" s="397" t="s">
        <v>3135</v>
      </c>
      <c r="C1401" s="397" t="s">
        <v>1053</v>
      </c>
      <c r="D1401" s="397" t="s">
        <v>3134</v>
      </c>
      <c r="E1401" s="397" t="s">
        <v>2041</v>
      </c>
      <c r="F1401" s="397" t="s">
        <v>191</v>
      </c>
      <c r="G1401" s="396">
        <v>1</v>
      </c>
      <c r="H1401" s="395">
        <v>3230.29</v>
      </c>
      <c r="I1401" s="394">
        <v>2872.11</v>
      </c>
      <c r="J1401" s="394">
        <v>4614.7</v>
      </c>
      <c r="K1401" s="393" t="s">
        <v>1033</v>
      </c>
    </row>
    <row r="1402" spans="1:12" hidden="1" x14ac:dyDescent="0.3">
      <c r="A1402" s="397" t="s">
        <v>3372</v>
      </c>
      <c r="C1402" s="397" t="s">
        <v>1053</v>
      </c>
      <c r="D1402" s="397" t="s">
        <v>3371</v>
      </c>
      <c r="E1402" s="397" t="s">
        <v>676</v>
      </c>
      <c r="F1402" s="397" t="s">
        <v>191</v>
      </c>
      <c r="G1402" s="396">
        <v>6</v>
      </c>
      <c r="H1402" s="395">
        <v>2792.2859999999996</v>
      </c>
      <c r="I1402" s="394">
        <v>20.16</v>
      </c>
      <c r="J1402" s="394">
        <v>3988.98</v>
      </c>
      <c r="K1402" s="393" t="s">
        <v>1033</v>
      </c>
    </row>
    <row r="1403" spans="1:12" hidden="1" x14ac:dyDescent="0.3">
      <c r="A1403" s="397" t="s">
        <v>3274</v>
      </c>
      <c r="C1403" s="397" t="s">
        <v>1053</v>
      </c>
      <c r="D1403" s="397" t="s">
        <v>3273</v>
      </c>
      <c r="E1403" s="397" t="s">
        <v>676</v>
      </c>
      <c r="F1403" s="397" t="s">
        <v>191</v>
      </c>
      <c r="G1403" s="396">
        <v>3</v>
      </c>
      <c r="H1403" s="395">
        <v>1872.3040000000001</v>
      </c>
      <c r="I1403" s="394">
        <v>4.55</v>
      </c>
      <c r="J1403" s="394">
        <v>2674.7200000000003</v>
      </c>
      <c r="K1403" s="393" t="s">
        <v>1033</v>
      </c>
    </row>
    <row r="1404" spans="1:12" hidden="1" x14ac:dyDescent="0.3">
      <c r="A1404" s="397" t="s">
        <v>3227</v>
      </c>
      <c r="C1404" s="397" t="s">
        <v>1053</v>
      </c>
      <c r="D1404" s="397" t="s">
        <v>3226</v>
      </c>
      <c r="E1404" s="397" t="s">
        <v>3225</v>
      </c>
      <c r="F1404" s="397" t="s">
        <v>191</v>
      </c>
      <c r="G1404" s="396">
        <v>6</v>
      </c>
      <c r="H1404" s="395">
        <v>1334.4449999999999</v>
      </c>
      <c r="I1404" s="394">
        <v>1217.0999999999999</v>
      </c>
      <c r="J1404" s="394">
        <v>1906.3500000000001</v>
      </c>
      <c r="K1404" s="393" t="s">
        <v>1033</v>
      </c>
      <c r="L1404" s="395">
        <v>2</v>
      </c>
    </row>
    <row r="1405" spans="1:12" hidden="1" x14ac:dyDescent="0.3">
      <c r="A1405" s="397" t="s">
        <v>3092</v>
      </c>
      <c r="C1405" s="397" t="s">
        <v>1053</v>
      </c>
      <c r="D1405" s="397" t="s">
        <v>3091</v>
      </c>
      <c r="E1405" s="397" t="s">
        <v>2041</v>
      </c>
      <c r="F1405" s="397" t="s">
        <v>191</v>
      </c>
      <c r="G1405" s="396">
        <v>13</v>
      </c>
      <c r="H1405" s="395">
        <v>2425.4860000000003</v>
      </c>
      <c r="I1405" s="394">
        <v>2069.9</v>
      </c>
      <c r="J1405" s="394">
        <v>3464.98</v>
      </c>
      <c r="K1405" s="393" t="s">
        <v>1033</v>
      </c>
    </row>
    <row r="1406" spans="1:12" hidden="1" x14ac:dyDescent="0.3">
      <c r="A1406" s="397" t="s">
        <v>3112</v>
      </c>
      <c r="C1406" s="397" t="s">
        <v>1053</v>
      </c>
      <c r="D1406" s="397" t="s">
        <v>3111</v>
      </c>
      <c r="E1406" s="397" t="s">
        <v>2041</v>
      </c>
      <c r="F1406" s="397" t="s">
        <v>191</v>
      </c>
      <c r="G1406" s="396">
        <v>2</v>
      </c>
      <c r="H1406" s="395">
        <v>3230.29</v>
      </c>
      <c r="I1406" s="394">
        <v>2184.63</v>
      </c>
      <c r="J1406" s="394">
        <v>4614.7</v>
      </c>
      <c r="K1406" s="393" t="s">
        <v>1033</v>
      </c>
    </row>
    <row r="1407" spans="1:12" hidden="1" x14ac:dyDescent="0.3">
      <c r="A1407" s="397" t="s">
        <v>7016</v>
      </c>
      <c r="C1407" s="397" t="s">
        <v>1053</v>
      </c>
      <c r="D1407" s="397" t="s">
        <v>7015</v>
      </c>
      <c r="E1407" s="397" t="s">
        <v>7011</v>
      </c>
      <c r="F1407" s="397" t="s">
        <v>191</v>
      </c>
      <c r="G1407" s="396">
        <v>2</v>
      </c>
      <c r="H1407" s="395">
        <v>6624.835</v>
      </c>
      <c r="I1407" s="394">
        <v>52.69</v>
      </c>
      <c r="J1407" s="394">
        <v>9464.0499999999993</v>
      </c>
      <c r="K1407" s="393" t="s">
        <v>1033</v>
      </c>
    </row>
    <row r="1408" spans="1:12" hidden="1" x14ac:dyDescent="0.3">
      <c r="A1408" s="397" t="s">
        <v>7304</v>
      </c>
      <c r="C1408" s="397" t="s">
        <v>1053</v>
      </c>
      <c r="D1408" s="397" t="s">
        <v>7303</v>
      </c>
      <c r="E1408" s="397" t="s">
        <v>7302</v>
      </c>
      <c r="F1408" s="397" t="s">
        <v>191</v>
      </c>
      <c r="G1408" s="396">
        <v>1</v>
      </c>
      <c r="H1408" s="395">
        <v>10457.377</v>
      </c>
      <c r="I1408" s="394">
        <v>73.83</v>
      </c>
      <c r="J1408" s="394">
        <v>14939.11</v>
      </c>
      <c r="K1408" s="393" t="s">
        <v>1033</v>
      </c>
    </row>
    <row r="1409" spans="1:12" hidden="1" x14ac:dyDescent="0.3">
      <c r="A1409" s="397" t="s">
        <v>7709</v>
      </c>
      <c r="C1409" s="397" t="s">
        <v>1053</v>
      </c>
      <c r="D1409" s="397" t="s">
        <v>7708</v>
      </c>
      <c r="E1409" s="397" t="s">
        <v>7700</v>
      </c>
      <c r="F1409" s="397" t="s">
        <v>191</v>
      </c>
      <c r="G1409" s="396">
        <v>2</v>
      </c>
      <c r="H1409" s="395">
        <v>5106.2830000000004</v>
      </c>
      <c r="I1409" s="394">
        <v>137.65</v>
      </c>
      <c r="J1409" s="394">
        <v>7294.6900000000005</v>
      </c>
      <c r="K1409" s="393" t="s">
        <v>1033</v>
      </c>
    </row>
    <row r="1410" spans="1:12" hidden="1" x14ac:dyDescent="0.3">
      <c r="A1410" s="397" t="s">
        <v>3367</v>
      </c>
      <c r="C1410" s="397" t="s">
        <v>1053</v>
      </c>
      <c r="D1410" s="397" t="s">
        <v>3366</v>
      </c>
      <c r="E1410" s="397" t="s">
        <v>2099</v>
      </c>
      <c r="F1410" s="397" t="s">
        <v>191</v>
      </c>
      <c r="G1410" s="396">
        <v>1</v>
      </c>
      <c r="H1410" s="395">
        <v>2463.7829999999999</v>
      </c>
      <c r="I1410" s="394">
        <v>2345.19</v>
      </c>
      <c r="J1410" s="394">
        <v>3519.69</v>
      </c>
      <c r="K1410" s="393" t="s">
        <v>1033</v>
      </c>
    </row>
    <row r="1411" spans="1:12" hidden="1" x14ac:dyDescent="0.3">
      <c r="A1411" s="397" t="s">
        <v>3349</v>
      </c>
      <c r="C1411" s="397" t="s">
        <v>1053</v>
      </c>
      <c r="D1411" s="397" t="s">
        <v>3348</v>
      </c>
      <c r="E1411" s="397" t="s">
        <v>602</v>
      </c>
      <c r="F1411" s="397" t="s">
        <v>191</v>
      </c>
      <c r="G1411" s="396">
        <v>1</v>
      </c>
      <c r="H1411" s="395">
        <v>9636.1230000000014</v>
      </c>
      <c r="I1411" s="394">
        <v>4830.96</v>
      </c>
      <c r="J1411" s="394">
        <v>13765.89</v>
      </c>
      <c r="K1411" s="393" t="s">
        <v>1033</v>
      </c>
    </row>
    <row r="1412" spans="1:12" hidden="1" x14ac:dyDescent="0.3">
      <c r="A1412" s="397" t="s">
        <v>5210</v>
      </c>
      <c r="C1412" s="397" t="s">
        <v>1053</v>
      </c>
      <c r="D1412" s="397" t="s">
        <v>5209</v>
      </c>
      <c r="E1412" s="397" t="s">
        <v>5208</v>
      </c>
      <c r="F1412" s="397" t="s">
        <v>191</v>
      </c>
      <c r="G1412" s="396">
        <v>2</v>
      </c>
      <c r="H1412" s="395">
        <v>22808.057999999997</v>
      </c>
      <c r="I1412" s="394">
        <v>362.17</v>
      </c>
      <c r="J1412" s="394">
        <v>32582.940000000002</v>
      </c>
      <c r="K1412" s="393" t="s">
        <v>1033</v>
      </c>
    </row>
    <row r="1413" spans="1:12" hidden="1" x14ac:dyDescent="0.3">
      <c r="A1413" s="397" t="s">
        <v>4623</v>
      </c>
      <c r="C1413" s="397" t="s">
        <v>1053</v>
      </c>
      <c r="D1413" s="397" t="s">
        <v>4622</v>
      </c>
      <c r="E1413" s="397" t="s">
        <v>4621</v>
      </c>
      <c r="F1413" s="397" t="s">
        <v>191</v>
      </c>
      <c r="G1413" s="396">
        <v>3</v>
      </c>
      <c r="H1413" s="395">
        <v>57467.592000000004</v>
      </c>
      <c r="I1413" s="394">
        <v>3137.7400000000002</v>
      </c>
      <c r="J1413" s="394">
        <v>82096.56</v>
      </c>
      <c r="K1413" s="393" t="s">
        <v>1033</v>
      </c>
    </row>
    <row r="1414" spans="1:12" hidden="1" x14ac:dyDescent="0.3">
      <c r="A1414" s="397" t="s">
        <v>2467</v>
      </c>
      <c r="C1414" s="397" t="s">
        <v>1053</v>
      </c>
      <c r="D1414" s="397" t="s">
        <v>2466</v>
      </c>
      <c r="E1414" s="397" t="s">
        <v>676</v>
      </c>
      <c r="F1414" s="397" t="s">
        <v>191</v>
      </c>
      <c r="G1414" s="396">
        <v>2</v>
      </c>
      <c r="H1414" s="395">
        <v>5146.5609999999997</v>
      </c>
      <c r="I1414" s="394">
        <v>37.229999999999997</v>
      </c>
      <c r="J1414" s="394">
        <v>7352.2300000000005</v>
      </c>
      <c r="K1414" s="393" t="s">
        <v>1033</v>
      </c>
    </row>
    <row r="1415" spans="1:12" hidden="1" x14ac:dyDescent="0.3">
      <c r="A1415" s="397" t="s">
        <v>3308</v>
      </c>
      <c r="C1415" s="397" t="s">
        <v>1053</v>
      </c>
      <c r="D1415" s="397" t="s">
        <v>3307</v>
      </c>
      <c r="E1415" s="397" t="s">
        <v>3306</v>
      </c>
      <c r="F1415" s="397" t="s">
        <v>191</v>
      </c>
      <c r="G1415" s="396">
        <v>2</v>
      </c>
      <c r="H1415" s="395">
        <v>2847.0329999999999</v>
      </c>
      <c r="I1415" s="394">
        <v>45.52</v>
      </c>
      <c r="J1415" s="394">
        <v>4067.19</v>
      </c>
      <c r="K1415" s="393" t="s">
        <v>1033</v>
      </c>
    </row>
    <row r="1416" spans="1:12" hidden="1" x14ac:dyDescent="0.3">
      <c r="A1416" s="397" t="s">
        <v>3242</v>
      </c>
      <c r="C1416" s="397" t="s">
        <v>1053</v>
      </c>
      <c r="D1416" s="397" t="s">
        <v>3241</v>
      </c>
      <c r="E1416" s="397" t="s">
        <v>3240</v>
      </c>
      <c r="F1416" s="397" t="s">
        <v>191</v>
      </c>
      <c r="G1416" s="396">
        <v>6</v>
      </c>
      <c r="H1416" s="395">
        <v>1368.7660000000001</v>
      </c>
      <c r="I1416" s="394">
        <v>942.84</v>
      </c>
      <c r="J1416" s="394">
        <v>1955.38</v>
      </c>
      <c r="K1416" s="393" t="s">
        <v>1033</v>
      </c>
    </row>
    <row r="1417" spans="1:12" hidden="1" x14ac:dyDescent="0.3">
      <c r="A1417" s="397" t="s">
        <v>7251</v>
      </c>
      <c r="C1417" s="397" t="s">
        <v>1053</v>
      </c>
      <c r="D1417" s="397" t="s">
        <v>7250</v>
      </c>
      <c r="E1417" s="397" t="s">
        <v>374</v>
      </c>
      <c r="F1417" s="397" t="s">
        <v>191</v>
      </c>
      <c r="G1417" s="396">
        <v>6</v>
      </c>
      <c r="H1417" s="395">
        <v>3449.2920000000004</v>
      </c>
      <c r="I1417" s="394">
        <v>3261.9500000000003</v>
      </c>
      <c r="J1417" s="394">
        <v>4927.5600000000004</v>
      </c>
      <c r="K1417" s="393" t="s">
        <v>1033</v>
      </c>
    </row>
    <row r="1418" spans="1:12" hidden="1" x14ac:dyDescent="0.3">
      <c r="A1418" s="397" t="s">
        <v>4786</v>
      </c>
      <c r="C1418" s="397" t="s">
        <v>1053</v>
      </c>
      <c r="D1418" s="397" t="s">
        <v>4785</v>
      </c>
      <c r="E1418" s="397" t="s">
        <v>4784</v>
      </c>
      <c r="F1418" s="397" t="s">
        <v>191</v>
      </c>
      <c r="G1418" s="396">
        <v>1</v>
      </c>
      <c r="H1418" s="395">
        <v>29729.623</v>
      </c>
      <c r="I1418" s="394">
        <v>489.44</v>
      </c>
      <c r="J1418" s="394">
        <v>42470.89</v>
      </c>
      <c r="K1418" s="393" t="s">
        <v>1033</v>
      </c>
    </row>
    <row r="1419" spans="1:12" hidden="1" x14ac:dyDescent="0.3">
      <c r="A1419" s="397" t="s">
        <v>3270</v>
      </c>
      <c r="C1419" s="397" t="s">
        <v>1053</v>
      </c>
      <c r="D1419" s="397" t="s">
        <v>3269</v>
      </c>
      <c r="E1419" s="397" t="s">
        <v>3268</v>
      </c>
      <c r="F1419" s="397" t="s">
        <v>191</v>
      </c>
      <c r="G1419" s="396">
        <v>4</v>
      </c>
      <c r="H1419" s="395">
        <v>2628.0309999999999</v>
      </c>
      <c r="I1419" s="394">
        <v>3.16</v>
      </c>
      <c r="J1419" s="394">
        <v>3754.33</v>
      </c>
      <c r="K1419" s="393" t="s">
        <v>1033</v>
      </c>
    </row>
    <row r="1420" spans="1:12" hidden="1" x14ac:dyDescent="0.3">
      <c r="A1420" s="397" t="s">
        <v>4056</v>
      </c>
      <c r="C1420" s="397" t="s">
        <v>1053</v>
      </c>
      <c r="D1420" s="397" t="s">
        <v>4055</v>
      </c>
      <c r="E1420" s="397" t="s">
        <v>4054</v>
      </c>
      <c r="F1420" s="397" t="s">
        <v>4053</v>
      </c>
      <c r="G1420" s="396">
        <v>8</v>
      </c>
      <c r="H1420" s="395">
        <v>36.82</v>
      </c>
      <c r="I1420" s="394">
        <v>15.1</v>
      </c>
      <c r="J1420" s="394">
        <v>52.6</v>
      </c>
      <c r="K1420" s="393" t="s">
        <v>1033</v>
      </c>
    </row>
    <row r="1421" spans="1:12" hidden="1" x14ac:dyDescent="0.3">
      <c r="A1421" s="397" t="s">
        <v>3302</v>
      </c>
      <c r="C1421" s="397" t="s">
        <v>1053</v>
      </c>
      <c r="D1421" s="397" t="s">
        <v>3301</v>
      </c>
      <c r="E1421" s="397" t="s">
        <v>676</v>
      </c>
      <c r="F1421" s="397" t="s">
        <v>191</v>
      </c>
      <c r="G1421" s="396">
        <v>1</v>
      </c>
      <c r="H1421" s="395">
        <v>2628.0309999999999</v>
      </c>
      <c r="I1421" s="394">
        <v>1720.03</v>
      </c>
      <c r="J1421" s="394">
        <v>3754.33</v>
      </c>
      <c r="K1421" s="393" t="s">
        <v>1033</v>
      </c>
    </row>
    <row r="1422" spans="1:12" hidden="1" x14ac:dyDescent="0.3">
      <c r="A1422" s="397" t="s">
        <v>3262</v>
      </c>
      <c r="C1422" s="397" t="s">
        <v>1053</v>
      </c>
      <c r="D1422" s="397" t="s">
        <v>3261</v>
      </c>
      <c r="E1422" s="397" t="s">
        <v>3257</v>
      </c>
      <c r="F1422" s="397" t="s">
        <v>191</v>
      </c>
      <c r="G1422" s="396">
        <v>6</v>
      </c>
      <c r="H1422" s="395">
        <v>1971.0250000000001</v>
      </c>
      <c r="I1422" s="394">
        <v>1643.52</v>
      </c>
      <c r="J1422" s="394">
        <v>2815.75</v>
      </c>
      <c r="K1422" s="393" t="s">
        <v>1033</v>
      </c>
    </row>
    <row r="1423" spans="1:12" hidden="1" x14ac:dyDescent="0.3">
      <c r="A1423" s="397" t="s">
        <v>2221</v>
      </c>
      <c r="C1423" s="397" t="s">
        <v>1053</v>
      </c>
      <c r="D1423" s="397" t="s">
        <v>2220</v>
      </c>
      <c r="E1423" s="397" t="s">
        <v>2209</v>
      </c>
      <c r="F1423" s="397" t="s">
        <v>191</v>
      </c>
      <c r="G1423" s="396">
        <v>1</v>
      </c>
      <c r="H1423" s="395">
        <v>87430.881999999998</v>
      </c>
      <c r="I1423" s="394">
        <v>2365.25</v>
      </c>
      <c r="J1423" s="394">
        <v>124901.26000000001</v>
      </c>
      <c r="K1423" s="393" t="s">
        <v>1033</v>
      </c>
      <c r="L1423" s="395">
        <v>1</v>
      </c>
    </row>
    <row r="1424" spans="1:12" hidden="1" x14ac:dyDescent="0.3">
      <c r="A1424" s="397" t="s">
        <v>3244</v>
      </c>
      <c r="C1424" s="397" t="s">
        <v>1053</v>
      </c>
      <c r="D1424" s="397" t="s">
        <v>3243</v>
      </c>
      <c r="E1424" s="397" t="s">
        <v>2083</v>
      </c>
      <c r="F1424" s="397" t="s">
        <v>191</v>
      </c>
      <c r="G1424" s="396">
        <v>6</v>
      </c>
      <c r="H1424" s="395">
        <v>2502.08</v>
      </c>
      <c r="I1424" s="394">
        <v>2231.35</v>
      </c>
      <c r="J1424" s="394">
        <v>3574.4</v>
      </c>
      <c r="K1424" s="393" t="s">
        <v>1033</v>
      </c>
      <c r="L1424" s="395">
        <v>4</v>
      </c>
    </row>
    <row r="1425" spans="1:12" hidden="1" x14ac:dyDescent="0.3">
      <c r="A1425" s="397" t="s">
        <v>2219</v>
      </c>
      <c r="C1425" s="397" t="s">
        <v>1053</v>
      </c>
      <c r="D1425" s="397" t="s">
        <v>2218</v>
      </c>
      <c r="E1425" s="397" t="s">
        <v>2209</v>
      </c>
      <c r="F1425" s="397" t="s">
        <v>191</v>
      </c>
      <c r="G1425" s="396">
        <v>1</v>
      </c>
      <c r="H1425" s="395">
        <v>68301.618000000002</v>
      </c>
      <c r="I1425" s="394">
        <v>1920.52</v>
      </c>
      <c r="J1425" s="394">
        <v>97573.74</v>
      </c>
      <c r="K1425" s="393" t="s">
        <v>1033</v>
      </c>
    </row>
    <row r="1426" spans="1:12" hidden="1" x14ac:dyDescent="0.3">
      <c r="A1426" s="397" t="s">
        <v>2534</v>
      </c>
      <c r="C1426" s="397" t="s">
        <v>1053</v>
      </c>
      <c r="D1426" s="397" t="s">
        <v>2533</v>
      </c>
      <c r="E1426" s="397" t="s">
        <v>2035</v>
      </c>
      <c r="F1426" s="397" t="s">
        <v>191</v>
      </c>
      <c r="G1426" s="396">
        <v>9</v>
      </c>
      <c r="H1426" s="395">
        <v>3723.0479999999998</v>
      </c>
      <c r="I1426" s="394">
        <v>2491.25</v>
      </c>
      <c r="J1426" s="394">
        <v>5318.64</v>
      </c>
      <c r="K1426" s="393" t="s">
        <v>1033</v>
      </c>
      <c r="L1426" s="395">
        <v>-1</v>
      </c>
    </row>
    <row r="1427" spans="1:12" hidden="1" x14ac:dyDescent="0.3">
      <c r="A1427" s="397" t="s">
        <v>6342</v>
      </c>
      <c r="C1427" s="397" t="s">
        <v>1053</v>
      </c>
      <c r="D1427" s="397" t="s">
        <v>6341</v>
      </c>
      <c r="E1427" s="397" t="s">
        <v>6340</v>
      </c>
      <c r="F1427" s="397" t="s">
        <v>191</v>
      </c>
      <c r="G1427" s="396">
        <v>2</v>
      </c>
      <c r="H1427" s="395">
        <v>26417.565999999995</v>
      </c>
      <c r="I1427" s="394">
        <v>21124.81</v>
      </c>
      <c r="J1427" s="394">
        <v>37739.379999999997</v>
      </c>
      <c r="K1427" s="393" t="s">
        <v>1033</v>
      </c>
    </row>
    <row r="1428" spans="1:12" hidden="1" x14ac:dyDescent="0.3">
      <c r="A1428" s="397" t="s">
        <v>7713</v>
      </c>
      <c r="C1428" s="397" t="s">
        <v>1053</v>
      </c>
      <c r="D1428" s="397" t="s">
        <v>7712</v>
      </c>
      <c r="E1428" s="397" t="s">
        <v>7700</v>
      </c>
      <c r="F1428" s="397" t="s">
        <v>191</v>
      </c>
      <c r="G1428" s="396">
        <v>6</v>
      </c>
      <c r="H1428" s="395">
        <v>3517.6610000000001</v>
      </c>
      <c r="I1428" s="394">
        <v>3455.4500000000003</v>
      </c>
      <c r="J1428" s="394">
        <v>5025.2299999999996</v>
      </c>
      <c r="K1428" s="393" t="s">
        <v>1033</v>
      </c>
    </row>
    <row r="1429" spans="1:12" hidden="1" x14ac:dyDescent="0.3">
      <c r="A1429" s="397" t="s">
        <v>2043</v>
      </c>
      <c r="C1429" s="397" t="s">
        <v>1053</v>
      </c>
      <c r="D1429" s="397" t="s">
        <v>3235</v>
      </c>
      <c r="E1429" s="397" t="s">
        <v>676</v>
      </c>
      <c r="F1429" s="397" t="s">
        <v>191</v>
      </c>
      <c r="G1429" s="396">
        <v>13</v>
      </c>
      <c r="H1429" s="395">
        <v>1702.0920000000001</v>
      </c>
      <c r="I1429" s="394">
        <v>1671.99</v>
      </c>
      <c r="J1429" s="394">
        <v>2431.56</v>
      </c>
      <c r="K1429" s="393" t="s">
        <v>1033</v>
      </c>
    </row>
    <row r="1430" spans="1:12" hidden="1" x14ac:dyDescent="0.3">
      <c r="A1430" s="397" t="s">
        <v>2043</v>
      </c>
      <c r="C1430" s="397" t="s">
        <v>1053</v>
      </c>
      <c r="D1430" s="397" t="s">
        <v>2042</v>
      </c>
      <c r="E1430" s="397" t="s">
        <v>2041</v>
      </c>
      <c r="F1430" s="397" t="s">
        <v>191</v>
      </c>
      <c r="G1430" s="396">
        <v>4</v>
      </c>
      <c r="H1430" s="395">
        <v>1971.0250000000001</v>
      </c>
      <c r="I1430" s="394">
        <v>108.67</v>
      </c>
      <c r="J1430" s="394">
        <v>2815.75</v>
      </c>
      <c r="K1430" s="393" t="s">
        <v>1033</v>
      </c>
    </row>
    <row r="1431" spans="1:12" hidden="1" x14ac:dyDescent="0.3">
      <c r="A1431" s="397" t="s">
        <v>843</v>
      </c>
      <c r="C1431" s="397" t="s">
        <v>1053</v>
      </c>
      <c r="D1431" s="397" t="s">
        <v>557</v>
      </c>
      <c r="E1431" s="397" t="s">
        <v>558</v>
      </c>
      <c r="F1431" s="397" t="s">
        <v>191</v>
      </c>
      <c r="G1431" s="396">
        <v>5</v>
      </c>
      <c r="H1431" s="395">
        <v>23141.663999999993</v>
      </c>
      <c r="I1431" s="394">
        <v>20184.64</v>
      </c>
      <c r="J1431" s="394">
        <v>33059.519999999997</v>
      </c>
      <c r="K1431" s="393" t="s">
        <v>1033</v>
      </c>
      <c r="L1431" s="395">
        <v>2</v>
      </c>
    </row>
    <row r="1432" spans="1:12" hidden="1" x14ac:dyDescent="0.3">
      <c r="A1432" s="397" t="s">
        <v>841</v>
      </c>
      <c r="C1432" s="397" t="s">
        <v>1053</v>
      </c>
      <c r="D1432" s="397" t="s">
        <v>560</v>
      </c>
      <c r="E1432" s="397" t="s">
        <v>558</v>
      </c>
      <c r="F1432" s="397" t="s">
        <v>191</v>
      </c>
      <c r="G1432" s="396">
        <v>12</v>
      </c>
      <c r="H1432" s="395">
        <v>14143.829</v>
      </c>
      <c r="I1432" s="394">
        <v>13569.37</v>
      </c>
      <c r="J1432" s="394">
        <v>20205.47</v>
      </c>
      <c r="K1432" s="393" t="s">
        <v>1033</v>
      </c>
      <c r="L1432" s="395">
        <v>4</v>
      </c>
    </row>
    <row r="1433" spans="1:12" hidden="1" x14ac:dyDescent="0.3">
      <c r="A1433" s="397" t="s">
        <v>6344</v>
      </c>
      <c r="C1433" s="397" t="s">
        <v>1053</v>
      </c>
      <c r="D1433" s="397" t="s">
        <v>6343</v>
      </c>
      <c r="E1433" s="397" t="s">
        <v>558</v>
      </c>
      <c r="F1433" s="397" t="s">
        <v>191</v>
      </c>
      <c r="G1433" s="396">
        <v>10</v>
      </c>
      <c r="H1433" s="395">
        <v>23534.847000000002</v>
      </c>
      <c r="I1433" s="394">
        <v>22070.37</v>
      </c>
      <c r="J1433" s="394">
        <v>33621.21</v>
      </c>
      <c r="K1433" s="393" t="s">
        <v>1033</v>
      </c>
    </row>
    <row r="1434" spans="1:12" hidden="1" x14ac:dyDescent="0.3">
      <c r="A1434" s="397" t="s">
        <v>6339</v>
      </c>
      <c r="C1434" s="397" t="s">
        <v>1053</v>
      </c>
      <c r="D1434" s="397" t="s">
        <v>6338</v>
      </c>
      <c r="E1434" s="397" t="s">
        <v>558</v>
      </c>
      <c r="F1434" s="397" t="s">
        <v>191</v>
      </c>
      <c r="G1434" s="396">
        <v>12</v>
      </c>
      <c r="H1434" s="395">
        <v>26581.597000000002</v>
      </c>
      <c r="I1434" s="394">
        <v>25570.97</v>
      </c>
      <c r="J1434" s="394">
        <v>37973.71</v>
      </c>
      <c r="K1434" s="393" t="s">
        <v>1033</v>
      </c>
    </row>
    <row r="1435" spans="1:12" hidden="1" x14ac:dyDescent="0.3">
      <c r="A1435" s="397" t="s">
        <v>6346</v>
      </c>
      <c r="C1435" s="397" t="s">
        <v>1053</v>
      </c>
      <c r="D1435" s="397" t="s">
        <v>6345</v>
      </c>
      <c r="E1435" s="397" t="s">
        <v>558</v>
      </c>
      <c r="F1435" s="397" t="s">
        <v>191</v>
      </c>
      <c r="G1435" s="396">
        <v>10</v>
      </c>
      <c r="H1435" s="395">
        <v>23029.327999999998</v>
      </c>
      <c r="I1435" s="394">
        <v>21628.959999999999</v>
      </c>
      <c r="J1435" s="394">
        <v>32899.040000000001</v>
      </c>
      <c r="K1435" s="393" t="s">
        <v>1033</v>
      </c>
    </row>
    <row r="1436" spans="1:12" hidden="1" x14ac:dyDescent="0.3">
      <c r="A1436" s="397" t="s">
        <v>842</v>
      </c>
      <c r="C1436" s="397" t="s">
        <v>1053</v>
      </c>
      <c r="D1436" s="397" t="s">
        <v>559</v>
      </c>
      <c r="E1436" s="397" t="s">
        <v>558</v>
      </c>
      <c r="F1436" s="397" t="s">
        <v>191</v>
      </c>
      <c r="G1436" s="396">
        <v>5</v>
      </c>
      <c r="H1436" s="395">
        <v>22924.93</v>
      </c>
      <c r="I1436" s="394">
        <v>20494.599999999999</v>
      </c>
      <c r="J1436" s="394">
        <v>32749.9</v>
      </c>
      <c r="K1436" s="393" t="s">
        <v>1033</v>
      </c>
      <c r="L1436" s="395">
        <v>2</v>
      </c>
    </row>
    <row r="1437" spans="1:12" hidden="1" x14ac:dyDescent="0.3">
      <c r="A1437" s="397" t="s">
        <v>3507</v>
      </c>
      <c r="C1437" s="397" t="s">
        <v>1053</v>
      </c>
      <c r="D1437" s="397" t="s">
        <v>3506</v>
      </c>
      <c r="E1437" s="397" t="s">
        <v>3503</v>
      </c>
      <c r="F1437" s="397" t="s">
        <v>191</v>
      </c>
      <c r="G1437" s="396">
        <v>1</v>
      </c>
      <c r="H1437" s="395">
        <v>246923.36899999998</v>
      </c>
      <c r="I1437" s="394">
        <v>2456.64</v>
      </c>
      <c r="J1437" s="394">
        <v>352747.67</v>
      </c>
      <c r="K1437" s="393" t="s">
        <v>1033</v>
      </c>
    </row>
    <row r="1438" spans="1:12" hidden="1" x14ac:dyDescent="0.3">
      <c r="A1438" s="397" t="s">
        <v>4627</v>
      </c>
      <c r="C1438" s="397" t="s">
        <v>1053</v>
      </c>
      <c r="D1438" s="397" t="s">
        <v>4626</v>
      </c>
      <c r="E1438" s="397" t="s">
        <v>2209</v>
      </c>
      <c r="F1438" s="397" t="s">
        <v>191</v>
      </c>
      <c r="G1438" s="396">
        <v>4</v>
      </c>
      <c r="H1438" s="395">
        <v>47359.340000000004</v>
      </c>
      <c r="I1438" s="394">
        <v>1620.24</v>
      </c>
      <c r="J1438" s="394">
        <v>67656.2</v>
      </c>
      <c r="K1438" s="393" t="s">
        <v>1033</v>
      </c>
    </row>
    <row r="1439" spans="1:12" hidden="1" x14ac:dyDescent="0.3">
      <c r="A1439" s="397" t="s">
        <v>3800</v>
      </c>
      <c r="C1439" s="397" t="s">
        <v>1053</v>
      </c>
      <c r="D1439" s="397" t="s">
        <v>3799</v>
      </c>
      <c r="E1439" s="397" t="s">
        <v>3796</v>
      </c>
      <c r="F1439" s="397" t="s">
        <v>191</v>
      </c>
      <c r="G1439" s="396">
        <v>1</v>
      </c>
      <c r="H1439" s="395">
        <v>117056.961</v>
      </c>
      <c r="I1439" s="394">
        <v>98376.650000000009</v>
      </c>
      <c r="J1439" s="394">
        <v>167224.23000000001</v>
      </c>
      <c r="K1439" s="393" t="s">
        <v>1033</v>
      </c>
    </row>
    <row r="1440" spans="1:12" hidden="1" x14ac:dyDescent="0.3">
      <c r="A1440" s="397" t="s">
        <v>7201</v>
      </c>
      <c r="C1440" s="397" t="s">
        <v>1053</v>
      </c>
      <c r="D1440" s="397" t="s">
        <v>7200</v>
      </c>
      <c r="E1440" s="397" t="s">
        <v>7199</v>
      </c>
      <c r="F1440" s="397" t="s">
        <v>191</v>
      </c>
      <c r="G1440" s="396">
        <v>1</v>
      </c>
      <c r="H1440" s="395">
        <v>69886.712</v>
      </c>
      <c r="I1440" s="394">
        <v>274.25</v>
      </c>
      <c r="J1440" s="394">
        <v>99838.16</v>
      </c>
      <c r="K1440" s="393" t="s">
        <v>1033</v>
      </c>
    </row>
    <row r="1441" spans="1:12" hidden="1" x14ac:dyDescent="0.3">
      <c r="A1441" s="397" t="s">
        <v>2720</v>
      </c>
      <c r="C1441" s="397" t="s">
        <v>1053</v>
      </c>
      <c r="D1441" s="397" t="s">
        <v>2719</v>
      </c>
      <c r="E1441" s="397" t="s">
        <v>2718</v>
      </c>
      <c r="F1441" s="397" t="s">
        <v>191</v>
      </c>
      <c r="G1441" s="396">
        <v>5</v>
      </c>
      <c r="H1441" s="395">
        <v>29276.015999999996</v>
      </c>
      <c r="I1441" s="394">
        <v>24412.94</v>
      </c>
      <c r="J1441" s="394">
        <v>41822.879999999997</v>
      </c>
      <c r="K1441" s="393" t="s">
        <v>1033</v>
      </c>
    </row>
    <row r="1442" spans="1:12" hidden="1" x14ac:dyDescent="0.3">
      <c r="A1442" s="397" t="s">
        <v>4612</v>
      </c>
      <c r="C1442" s="397" t="s">
        <v>1053</v>
      </c>
      <c r="D1442" s="397" t="s">
        <v>4611</v>
      </c>
      <c r="E1442" s="397" t="s">
        <v>4610</v>
      </c>
      <c r="F1442" s="397" t="s">
        <v>191</v>
      </c>
      <c r="G1442" s="396">
        <v>1</v>
      </c>
      <c r="H1442" s="395">
        <v>50808.631999999991</v>
      </c>
      <c r="I1442" s="394">
        <v>45848.31</v>
      </c>
      <c r="J1442" s="394">
        <v>72583.759999999995</v>
      </c>
      <c r="K1442" s="393" t="s">
        <v>1033</v>
      </c>
    </row>
    <row r="1443" spans="1:12" hidden="1" x14ac:dyDescent="0.3">
      <c r="A1443" s="397" t="s">
        <v>3452</v>
      </c>
      <c r="C1443" s="397" t="s">
        <v>1053</v>
      </c>
      <c r="D1443" s="397" t="s">
        <v>3451</v>
      </c>
      <c r="E1443" s="397" t="s">
        <v>3450</v>
      </c>
      <c r="F1443" s="397" t="s">
        <v>191</v>
      </c>
      <c r="G1443" s="396">
        <v>2</v>
      </c>
      <c r="H1443" s="395">
        <v>561191.65899999999</v>
      </c>
      <c r="I1443" s="394">
        <v>501417.01</v>
      </c>
      <c r="J1443" s="394">
        <v>801702.37</v>
      </c>
      <c r="K1443" s="393" t="s">
        <v>1033</v>
      </c>
    </row>
    <row r="1444" spans="1:12" hidden="1" x14ac:dyDescent="0.3">
      <c r="A1444" s="397" t="s">
        <v>6975</v>
      </c>
      <c r="C1444" s="397" t="s">
        <v>1053</v>
      </c>
      <c r="D1444" s="397" t="s">
        <v>6974</v>
      </c>
      <c r="E1444" s="397" t="s">
        <v>6973</v>
      </c>
      <c r="F1444" s="397" t="s">
        <v>191</v>
      </c>
      <c r="G1444" s="396">
        <v>1</v>
      </c>
      <c r="H1444" s="395">
        <v>123079.537</v>
      </c>
      <c r="I1444" s="394">
        <v>16822.62</v>
      </c>
      <c r="J1444" s="394">
        <v>175827.91</v>
      </c>
      <c r="K1444" s="393" t="s">
        <v>1033</v>
      </c>
    </row>
    <row r="1445" spans="1:12" hidden="1" x14ac:dyDescent="0.3">
      <c r="A1445" s="397" t="s">
        <v>4638</v>
      </c>
      <c r="C1445" s="397" t="s">
        <v>1053</v>
      </c>
      <c r="D1445" s="397" t="s">
        <v>4637</v>
      </c>
      <c r="E1445" s="397" t="s">
        <v>2209</v>
      </c>
      <c r="F1445" s="397" t="s">
        <v>191</v>
      </c>
      <c r="G1445" s="396">
        <v>2</v>
      </c>
      <c r="H1445" s="395">
        <v>53819.92</v>
      </c>
      <c r="I1445" s="394">
        <v>50101.96</v>
      </c>
      <c r="J1445" s="394">
        <v>76885.600000000006</v>
      </c>
      <c r="K1445" s="393" t="s">
        <v>1033</v>
      </c>
    </row>
    <row r="1446" spans="1:12" hidden="1" x14ac:dyDescent="0.3">
      <c r="A1446" s="397" t="s">
        <v>4812</v>
      </c>
      <c r="C1446" s="397" t="s">
        <v>1053</v>
      </c>
      <c r="D1446" s="397" t="s">
        <v>4811</v>
      </c>
      <c r="E1446" s="397" t="s">
        <v>4810</v>
      </c>
      <c r="F1446" s="397" t="s">
        <v>191</v>
      </c>
      <c r="G1446" s="396">
        <v>1</v>
      </c>
      <c r="H1446" s="395">
        <v>58528.477000000006</v>
      </c>
      <c r="I1446" s="394">
        <v>7314.62</v>
      </c>
      <c r="J1446" s="394">
        <v>83612.11</v>
      </c>
      <c r="K1446" s="393" t="s">
        <v>1033</v>
      </c>
    </row>
    <row r="1447" spans="1:12" hidden="1" x14ac:dyDescent="0.3">
      <c r="A1447" s="397" t="s">
        <v>4634</v>
      </c>
      <c r="C1447" s="397" t="s">
        <v>1053</v>
      </c>
      <c r="D1447" s="397" t="s">
        <v>4633</v>
      </c>
      <c r="E1447" s="397" t="s">
        <v>2209</v>
      </c>
      <c r="F1447" s="397" t="s">
        <v>191</v>
      </c>
      <c r="G1447" s="396">
        <v>1</v>
      </c>
      <c r="H1447" s="395">
        <v>74653.830999999991</v>
      </c>
      <c r="I1447" s="394">
        <v>2335.33</v>
      </c>
      <c r="J1447" s="394">
        <v>106648.33</v>
      </c>
      <c r="K1447" s="393" t="s">
        <v>1033</v>
      </c>
    </row>
    <row r="1448" spans="1:12" hidden="1" x14ac:dyDescent="0.3">
      <c r="A1448" s="397" t="s">
        <v>4640</v>
      </c>
      <c r="C1448" s="397" t="s">
        <v>1053</v>
      </c>
      <c r="D1448" s="397" t="s">
        <v>4639</v>
      </c>
      <c r="E1448" s="397" t="s">
        <v>2209</v>
      </c>
      <c r="F1448" s="397" t="s">
        <v>191</v>
      </c>
      <c r="G1448" s="396">
        <v>1</v>
      </c>
      <c r="H1448" s="395">
        <v>59404.492000000006</v>
      </c>
      <c r="I1448" s="394">
        <v>45153.05</v>
      </c>
      <c r="J1448" s="394">
        <v>84863.56</v>
      </c>
      <c r="K1448" s="393" t="s">
        <v>1033</v>
      </c>
    </row>
    <row r="1449" spans="1:12" hidden="1" x14ac:dyDescent="0.3">
      <c r="A1449" s="397" t="s">
        <v>4632</v>
      </c>
      <c r="C1449" s="397" t="s">
        <v>1053</v>
      </c>
      <c r="D1449" s="397" t="s">
        <v>4631</v>
      </c>
      <c r="E1449" s="397" t="s">
        <v>4628</v>
      </c>
      <c r="F1449" s="397" t="s">
        <v>191</v>
      </c>
      <c r="G1449" s="396">
        <v>3</v>
      </c>
      <c r="H1449" s="395">
        <v>68438.356</v>
      </c>
      <c r="I1449" s="394">
        <v>66545.509999999995</v>
      </c>
      <c r="J1449" s="394">
        <v>97769.08</v>
      </c>
      <c r="K1449" s="393" t="s">
        <v>1033</v>
      </c>
      <c r="L1449" s="395">
        <v>1</v>
      </c>
    </row>
    <row r="1450" spans="1:12" hidden="1" x14ac:dyDescent="0.3">
      <c r="A1450" s="397" t="s">
        <v>2311</v>
      </c>
      <c r="C1450" s="397" t="s">
        <v>1053</v>
      </c>
      <c r="D1450" s="397" t="s">
        <v>2310</v>
      </c>
      <c r="E1450" s="397" t="s">
        <v>2307</v>
      </c>
      <c r="F1450" s="397" t="s">
        <v>191</v>
      </c>
      <c r="G1450" s="396">
        <v>2</v>
      </c>
      <c r="H1450" s="395">
        <v>165954.13800000001</v>
      </c>
      <c r="I1450" s="394">
        <v>158911.69</v>
      </c>
      <c r="J1450" s="394">
        <v>237077.34</v>
      </c>
      <c r="K1450" s="393" t="s">
        <v>1033</v>
      </c>
    </row>
    <row r="1451" spans="1:12" hidden="1" x14ac:dyDescent="0.3">
      <c r="A1451" s="397" t="s">
        <v>2211</v>
      </c>
      <c r="C1451" s="397" t="s">
        <v>1053</v>
      </c>
      <c r="D1451" s="397" t="s">
        <v>2210</v>
      </c>
      <c r="E1451" s="397" t="s">
        <v>2209</v>
      </c>
      <c r="F1451" s="397" t="s">
        <v>191</v>
      </c>
      <c r="G1451" s="396">
        <v>1</v>
      </c>
      <c r="H1451" s="395">
        <v>560159.054</v>
      </c>
      <c r="I1451" s="394">
        <v>537491.55000000005</v>
      </c>
      <c r="J1451" s="394">
        <v>800227.22</v>
      </c>
      <c r="K1451" s="393" t="s">
        <v>1033</v>
      </c>
    </row>
    <row r="1452" spans="1:12" hidden="1" x14ac:dyDescent="0.3">
      <c r="A1452" s="397" t="s">
        <v>3256</v>
      </c>
      <c r="C1452" s="397" t="s">
        <v>1053</v>
      </c>
      <c r="D1452" s="397" t="s">
        <v>3255</v>
      </c>
      <c r="E1452" s="397" t="s">
        <v>602</v>
      </c>
      <c r="F1452" s="397" t="s">
        <v>191</v>
      </c>
      <c r="G1452" s="396">
        <v>1</v>
      </c>
      <c r="H1452" s="395">
        <v>5529.8180000000002</v>
      </c>
      <c r="I1452" s="394">
        <v>36.97</v>
      </c>
      <c r="J1452" s="394">
        <v>7899.74</v>
      </c>
      <c r="K1452" s="393" t="s">
        <v>1033</v>
      </c>
    </row>
    <row r="1453" spans="1:12" hidden="1" x14ac:dyDescent="0.3">
      <c r="A1453" s="397" t="s">
        <v>7578</v>
      </c>
      <c r="C1453" s="397" t="s">
        <v>1053</v>
      </c>
      <c r="D1453" s="397" t="s">
        <v>7577</v>
      </c>
      <c r="E1453" s="397" t="s">
        <v>7576</v>
      </c>
      <c r="F1453" s="397" t="s">
        <v>191</v>
      </c>
      <c r="G1453" s="396">
        <v>1</v>
      </c>
      <c r="H1453" s="395">
        <v>33485.101999999999</v>
      </c>
      <c r="I1453" s="394">
        <v>30749.38</v>
      </c>
      <c r="J1453" s="394">
        <v>47835.86</v>
      </c>
      <c r="K1453" s="393" t="s">
        <v>1033</v>
      </c>
    </row>
    <row r="1454" spans="1:12" hidden="1" x14ac:dyDescent="0.3">
      <c r="A1454" s="397" t="s">
        <v>5679</v>
      </c>
      <c r="C1454" s="397" t="s">
        <v>1053</v>
      </c>
      <c r="D1454" s="397" t="s">
        <v>5678</v>
      </c>
      <c r="E1454" s="397" t="s">
        <v>553</v>
      </c>
      <c r="F1454" s="397" t="s">
        <v>191</v>
      </c>
      <c r="G1454" s="396">
        <v>2</v>
      </c>
      <c r="H1454" s="395">
        <v>2358.8389999999999</v>
      </c>
      <c r="I1454" s="394">
        <v>12.3</v>
      </c>
      <c r="J1454" s="394">
        <v>3369.77</v>
      </c>
      <c r="K1454" s="393" t="s">
        <v>1033</v>
      </c>
    </row>
    <row r="1455" spans="1:12" hidden="1" x14ac:dyDescent="0.3">
      <c r="A1455" s="397" t="s">
        <v>3205</v>
      </c>
      <c r="C1455" s="397" t="s">
        <v>1053</v>
      </c>
      <c r="D1455" s="397" t="s">
        <v>3204</v>
      </c>
      <c r="E1455" s="397" t="s">
        <v>3203</v>
      </c>
      <c r="F1455" s="397" t="s">
        <v>191</v>
      </c>
      <c r="G1455" s="396">
        <v>4</v>
      </c>
      <c r="H1455" s="395">
        <v>1642.5220000000002</v>
      </c>
      <c r="I1455" s="394">
        <v>1351.21</v>
      </c>
      <c r="J1455" s="394">
        <v>2346.46</v>
      </c>
      <c r="K1455" s="393" t="s">
        <v>1033</v>
      </c>
    </row>
    <row r="1456" spans="1:12" hidden="1" x14ac:dyDescent="0.3">
      <c r="A1456" s="397" t="s">
        <v>3354</v>
      </c>
      <c r="C1456" s="397" t="s">
        <v>1053</v>
      </c>
      <c r="D1456" s="397" t="s">
        <v>3353</v>
      </c>
      <c r="E1456" s="397" t="s">
        <v>3352</v>
      </c>
      <c r="F1456" s="397" t="s">
        <v>191</v>
      </c>
      <c r="G1456" s="396">
        <v>2</v>
      </c>
      <c r="H1456" s="395">
        <v>2792.2859999999996</v>
      </c>
      <c r="I1456" s="394">
        <v>15.610000000000001</v>
      </c>
      <c r="J1456" s="394">
        <v>3988.98</v>
      </c>
      <c r="K1456" s="393" t="s">
        <v>1033</v>
      </c>
    </row>
    <row r="1457" spans="1:12" hidden="1" x14ac:dyDescent="0.3">
      <c r="A1457" s="397" t="s">
        <v>3365</v>
      </c>
      <c r="C1457" s="397" t="s">
        <v>1053</v>
      </c>
      <c r="D1457" s="397" t="s">
        <v>3364</v>
      </c>
      <c r="E1457" s="397" t="s">
        <v>3363</v>
      </c>
      <c r="F1457" s="397" t="s">
        <v>191</v>
      </c>
      <c r="G1457" s="396">
        <v>6</v>
      </c>
      <c r="H1457" s="395">
        <v>2042.5160000000001</v>
      </c>
      <c r="I1457" s="394">
        <v>9.56</v>
      </c>
      <c r="J1457" s="394">
        <v>2917.88</v>
      </c>
      <c r="K1457" s="393" t="s">
        <v>1033</v>
      </c>
    </row>
    <row r="1458" spans="1:12" hidden="1" x14ac:dyDescent="0.3">
      <c r="A1458" s="397" t="s">
        <v>3374</v>
      </c>
      <c r="C1458" s="397" t="s">
        <v>1053</v>
      </c>
      <c r="D1458" s="397" t="s">
        <v>3373</v>
      </c>
      <c r="E1458" s="397" t="s">
        <v>602</v>
      </c>
      <c r="F1458" s="397" t="s">
        <v>191</v>
      </c>
      <c r="G1458" s="396">
        <v>1</v>
      </c>
      <c r="H1458" s="395">
        <v>1916.2710000000002</v>
      </c>
      <c r="I1458" s="394">
        <v>11.31</v>
      </c>
      <c r="J1458" s="394">
        <v>2737.53</v>
      </c>
      <c r="K1458" s="393" t="s">
        <v>1033</v>
      </c>
    </row>
    <row r="1459" spans="1:12" hidden="1" x14ac:dyDescent="0.3">
      <c r="A1459" s="397" t="s">
        <v>3101</v>
      </c>
      <c r="C1459" s="397" t="s">
        <v>1053</v>
      </c>
      <c r="D1459" s="397" t="s">
        <v>3100</v>
      </c>
      <c r="E1459" s="397" t="s">
        <v>2041</v>
      </c>
      <c r="F1459" s="397" t="s">
        <v>191</v>
      </c>
      <c r="G1459" s="396">
        <v>2</v>
      </c>
      <c r="H1459" s="395">
        <v>1971.0250000000001</v>
      </c>
      <c r="I1459" s="394">
        <v>73.599999999999994</v>
      </c>
      <c r="J1459" s="394">
        <v>2815.75</v>
      </c>
      <c r="K1459" s="393" t="s">
        <v>1033</v>
      </c>
    </row>
    <row r="1460" spans="1:12" hidden="1" x14ac:dyDescent="0.3">
      <c r="A1460" s="397" t="s">
        <v>1247</v>
      </c>
      <c r="C1460" s="397" t="s">
        <v>1053</v>
      </c>
      <c r="D1460" s="397" t="s">
        <v>1246</v>
      </c>
      <c r="E1460" s="397" t="s">
        <v>1245</v>
      </c>
      <c r="F1460" s="397" t="s">
        <v>191</v>
      </c>
      <c r="G1460" s="396">
        <v>1</v>
      </c>
      <c r="H1460" s="395">
        <v>58019.317999999999</v>
      </c>
      <c r="I1460" s="394">
        <v>49136.53</v>
      </c>
      <c r="J1460" s="394">
        <v>82884.740000000005</v>
      </c>
      <c r="K1460" s="393" t="s">
        <v>1033</v>
      </c>
      <c r="L1460" s="395">
        <v>1</v>
      </c>
    </row>
    <row r="1461" spans="1:12" hidden="1" x14ac:dyDescent="0.3">
      <c r="A1461" s="397" t="s">
        <v>6483</v>
      </c>
      <c r="C1461" s="397" t="s">
        <v>1053</v>
      </c>
      <c r="D1461" s="397" t="s">
        <v>6482</v>
      </c>
      <c r="E1461" s="397" t="s">
        <v>6481</v>
      </c>
      <c r="F1461" s="397" t="s">
        <v>191</v>
      </c>
      <c r="G1461" s="396">
        <v>1</v>
      </c>
      <c r="H1461" s="395">
        <v>18505.732</v>
      </c>
      <c r="I1461" s="394">
        <v>18229.990000000002</v>
      </c>
      <c r="J1461" s="394">
        <v>26436.760000000002</v>
      </c>
      <c r="K1461" s="393" t="s">
        <v>1033</v>
      </c>
    </row>
    <row r="1462" spans="1:12" hidden="1" x14ac:dyDescent="0.3">
      <c r="A1462" s="397" t="s">
        <v>2355</v>
      </c>
      <c r="C1462" s="397" t="s">
        <v>1053</v>
      </c>
      <c r="D1462" s="397" t="s">
        <v>2354</v>
      </c>
      <c r="E1462" s="397" t="s">
        <v>2353</v>
      </c>
      <c r="F1462" s="397" t="s">
        <v>191</v>
      </c>
      <c r="G1462" s="396">
        <v>2</v>
      </c>
      <c r="H1462" s="395">
        <v>43034.032999999996</v>
      </c>
      <c r="I1462" s="394">
        <v>41861.78</v>
      </c>
      <c r="J1462" s="394">
        <v>61477.19</v>
      </c>
      <c r="K1462" s="393" t="s">
        <v>1033</v>
      </c>
    </row>
    <row r="1463" spans="1:12" hidden="1" x14ac:dyDescent="0.3">
      <c r="A1463" s="397" t="s">
        <v>3798</v>
      </c>
      <c r="C1463" s="397" t="s">
        <v>1053</v>
      </c>
      <c r="D1463" s="397" t="s">
        <v>3797</v>
      </c>
      <c r="E1463" s="397" t="s">
        <v>3796</v>
      </c>
      <c r="F1463" s="397" t="s">
        <v>191</v>
      </c>
      <c r="G1463" s="396">
        <v>1</v>
      </c>
      <c r="H1463" s="395">
        <v>92528.653000000006</v>
      </c>
      <c r="I1463" s="394">
        <v>2979.4900000000002</v>
      </c>
      <c r="J1463" s="394">
        <v>132183.79</v>
      </c>
      <c r="K1463" s="393" t="s">
        <v>1033</v>
      </c>
    </row>
    <row r="1464" spans="1:12" hidden="1" x14ac:dyDescent="0.3">
      <c r="A1464" s="397" t="s">
        <v>7343</v>
      </c>
      <c r="C1464" s="397" t="s">
        <v>1053</v>
      </c>
      <c r="D1464" s="397" t="s">
        <v>7342</v>
      </c>
      <c r="E1464" s="397" t="s">
        <v>7341</v>
      </c>
      <c r="F1464" s="397" t="s">
        <v>191</v>
      </c>
      <c r="G1464" s="396">
        <v>1</v>
      </c>
      <c r="H1464" s="395">
        <v>282400.42600000004</v>
      </c>
      <c r="I1464" s="394">
        <v>29029.010000000002</v>
      </c>
      <c r="J1464" s="394">
        <v>403429.18</v>
      </c>
      <c r="K1464" s="393" t="s">
        <v>1033</v>
      </c>
    </row>
    <row r="1465" spans="1:12" hidden="1" x14ac:dyDescent="0.3">
      <c r="A1465" s="397" t="s">
        <v>2437</v>
      </c>
      <c r="C1465" s="397" t="s">
        <v>1053</v>
      </c>
      <c r="D1465" s="397" t="s">
        <v>2436</v>
      </c>
      <c r="E1465" s="397" t="s">
        <v>2435</v>
      </c>
      <c r="F1465" s="397" t="s">
        <v>191</v>
      </c>
      <c r="G1465" s="396">
        <v>1</v>
      </c>
      <c r="H1465" s="395">
        <v>111472.38899999998</v>
      </c>
      <c r="I1465" s="394">
        <v>86437.86</v>
      </c>
      <c r="J1465" s="394">
        <v>159246.26999999999</v>
      </c>
      <c r="K1465" s="393" t="s">
        <v>1033</v>
      </c>
    </row>
    <row r="1466" spans="1:12" hidden="1" x14ac:dyDescent="0.3">
      <c r="A1466" s="397" t="s">
        <v>4007</v>
      </c>
      <c r="C1466" s="397" t="s">
        <v>1053</v>
      </c>
      <c r="D1466" s="397" t="s">
        <v>4006</v>
      </c>
      <c r="E1466" s="397" t="s">
        <v>645</v>
      </c>
      <c r="F1466" s="397" t="s">
        <v>191</v>
      </c>
      <c r="G1466" s="396">
        <v>1</v>
      </c>
      <c r="H1466" s="395">
        <v>212158.89100000003</v>
      </c>
      <c r="I1466" s="394">
        <v>739.94</v>
      </c>
      <c r="J1466" s="394">
        <v>303084.13</v>
      </c>
      <c r="K1466" s="393" t="s">
        <v>1033</v>
      </c>
    </row>
    <row r="1467" spans="1:12" hidden="1" x14ac:dyDescent="0.3">
      <c r="A1467" s="397" t="s">
        <v>7582</v>
      </c>
      <c r="C1467" s="397" t="s">
        <v>1053</v>
      </c>
      <c r="D1467" s="397" t="s">
        <v>7581</v>
      </c>
      <c r="E1467" s="397" t="s">
        <v>7576</v>
      </c>
      <c r="F1467" s="397" t="s">
        <v>191</v>
      </c>
      <c r="G1467" s="396">
        <v>2</v>
      </c>
      <c r="H1467" s="395">
        <v>25404.315999999995</v>
      </c>
      <c r="I1467" s="394">
        <v>24718.38</v>
      </c>
      <c r="J1467" s="394">
        <v>36291.879999999997</v>
      </c>
      <c r="K1467" s="393" t="s">
        <v>1033</v>
      </c>
    </row>
    <row r="1468" spans="1:12" hidden="1" x14ac:dyDescent="0.3">
      <c r="A1468" s="397" t="s">
        <v>7979</v>
      </c>
      <c r="C1468" s="397" t="s">
        <v>1053</v>
      </c>
      <c r="D1468" s="397" t="s">
        <v>7978</v>
      </c>
      <c r="E1468" s="397" t="s">
        <v>7977</v>
      </c>
      <c r="F1468" s="397" t="s">
        <v>191</v>
      </c>
      <c r="G1468" s="396">
        <v>1</v>
      </c>
      <c r="H1468" s="395">
        <v>42711.396000000001</v>
      </c>
      <c r="I1468" s="394">
        <v>345.06</v>
      </c>
      <c r="J1468" s="394">
        <v>61016.28</v>
      </c>
      <c r="K1468" s="393" t="s">
        <v>1033</v>
      </c>
    </row>
    <row r="1469" spans="1:12" hidden="1" x14ac:dyDescent="0.3">
      <c r="A1469" s="397" t="s">
        <v>5318</v>
      </c>
      <c r="C1469" s="397" t="s">
        <v>1053</v>
      </c>
      <c r="D1469" s="397" t="s">
        <v>5317</v>
      </c>
      <c r="E1469" s="397" t="s">
        <v>5316</v>
      </c>
      <c r="F1469" s="397" t="s">
        <v>191</v>
      </c>
      <c r="G1469" s="396">
        <v>1</v>
      </c>
      <c r="H1469" s="395">
        <v>92310.218000000008</v>
      </c>
      <c r="I1469" s="394">
        <v>177.58</v>
      </c>
      <c r="J1469" s="394">
        <v>131871.74</v>
      </c>
      <c r="K1469" s="393" t="s">
        <v>1033</v>
      </c>
    </row>
    <row r="1470" spans="1:12" hidden="1" x14ac:dyDescent="0.3">
      <c r="A1470" s="397" t="s">
        <v>5620</v>
      </c>
      <c r="C1470" s="397" t="s">
        <v>1053</v>
      </c>
      <c r="D1470" s="397" t="s">
        <v>5619</v>
      </c>
      <c r="E1470" s="397" t="s">
        <v>5604</v>
      </c>
      <c r="F1470" s="397" t="s">
        <v>191</v>
      </c>
      <c r="G1470" s="396">
        <v>1</v>
      </c>
      <c r="H1470" s="395">
        <v>25692.163</v>
      </c>
      <c r="I1470" s="394">
        <v>44.56</v>
      </c>
      <c r="J1470" s="394">
        <v>36703.089999999997</v>
      </c>
      <c r="K1470" s="393" t="s">
        <v>1033</v>
      </c>
    </row>
    <row r="1471" spans="1:12" hidden="1" x14ac:dyDescent="0.3">
      <c r="A1471" s="397" t="s">
        <v>4082</v>
      </c>
      <c r="C1471" s="397" t="s">
        <v>1053</v>
      </c>
      <c r="D1471" s="397" t="s">
        <v>4081</v>
      </c>
      <c r="E1471" s="397" t="s">
        <v>4080</v>
      </c>
      <c r="F1471" s="397" t="s">
        <v>191</v>
      </c>
      <c r="G1471" s="396">
        <v>1</v>
      </c>
      <c r="H1471" s="395">
        <v>58126.977999999988</v>
      </c>
      <c r="I1471" s="394">
        <v>105.64</v>
      </c>
      <c r="J1471" s="394">
        <v>83038.539999999994</v>
      </c>
      <c r="K1471" s="393" t="s">
        <v>1033</v>
      </c>
    </row>
    <row r="1472" spans="1:12" hidden="1" x14ac:dyDescent="0.3">
      <c r="A1472" s="397" t="s">
        <v>7204</v>
      </c>
      <c r="C1472" s="397" t="s">
        <v>1053</v>
      </c>
      <c r="D1472" s="397" t="s">
        <v>7203</v>
      </c>
      <c r="E1472" s="397" t="s">
        <v>7202</v>
      </c>
      <c r="F1472" s="397" t="s">
        <v>191</v>
      </c>
      <c r="G1472" s="396">
        <v>1</v>
      </c>
      <c r="H1472" s="395">
        <v>84160.92300000001</v>
      </c>
      <c r="I1472" s="394">
        <v>61312.800000000003</v>
      </c>
      <c r="J1472" s="394">
        <v>120229.89</v>
      </c>
      <c r="K1472" s="393" t="s">
        <v>1033</v>
      </c>
    </row>
    <row r="1473" spans="1:12" hidden="1" x14ac:dyDescent="0.3">
      <c r="A1473" s="397" t="s">
        <v>7905</v>
      </c>
      <c r="C1473" s="397" t="s">
        <v>1053</v>
      </c>
      <c r="D1473" s="397" t="s">
        <v>7904</v>
      </c>
      <c r="E1473" s="397" t="s">
        <v>7901</v>
      </c>
      <c r="F1473" s="397" t="s">
        <v>191</v>
      </c>
      <c r="G1473" s="396">
        <v>3</v>
      </c>
      <c r="H1473" s="395">
        <v>27488.811000000002</v>
      </c>
      <c r="I1473" s="394">
        <v>24928.959999999999</v>
      </c>
      <c r="J1473" s="394">
        <v>39269.730000000003</v>
      </c>
      <c r="K1473" s="393" t="s">
        <v>1033</v>
      </c>
    </row>
    <row r="1474" spans="1:12" hidden="1" x14ac:dyDescent="0.3">
      <c r="A1474" s="397" t="s">
        <v>7625</v>
      </c>
      <c r="C1474" s="397" t="s">
        <v>1053</v>
      </c>
      <c r="D1474" s="397" t="s">
        <v>7624</v>
      </c>
      <c r="E1474" s="397" t="s">
        <v>7623</v>
      </c>
      <c r="F1474" s="397" t="s">
        <v>191</v>
      </c>
      <c r="G1474" s="396">
        <v>2</v>
      </c>
      <c r="H1474" s="395">
        <v>56339.975999999995</v>
      </c>
      <c r="I1474" s="394">
        <v>395.1</v>
      </c>
      <c r="J1474" s="394">
        <v>80485.679999999993</v>
      </c>
      <c r="K1474" s="393" t="s">
        <v>1033</v>
      </c>
    </row>
    <row r="1475" spans="1:12" hidden="1" x14ac:dyDescent="0.3">
      <c r="A1475" s="397" t="s">
        <v>6636</v>
      </c>
      <c r="C1475" s="397" t="s">
        <v>1053</v>
      </c>
      <c r="D1475" s="397" t="s">
        <v>6635</v>
      </c>
      <c r="E1475" s="397" t="s">
        <v>6634</v>
      </c>
      <c r="F1475" s="397" t="s">
        <v>191</v>
      </c>
      <c r="G1475" s="396">
        <v>1</v>
      </c>
      <c r="H1475" s="395">
        <v>27354.047000000002</v>
      </c>
      <c r="I1475" s="394">
        <v>151.44999999999999</v>
      </c>
      <c r="J1475" s="394">
        <v>39077.21</v>
      </c>
      <c r="K1475" s="393" t="s">
        <v>1033</v>
      </c>
    </row>
    <row r="1476" spans="1:12" hidden="1" x14ac:dyDescent="0.3">
      <c r="A1476" s="397" t="s">
        <v>2333</v>
      </c>
      <c r="C1476" s="397" t="s">
        <v>1053</v>
      </c>
      <c r="D1476" s="397" t="s">
        <v>2332</v>
      </c>
      <c r="E1476" s="397" t="s">
        <v>1180</v>
      </c>
      <c r="F1476" s="397" t="s">
        <v>191</v>
      </c>
      <c r="G1476" s="396">
        <v>2</v>
      </c>
      <c r="H1476" s="395">
        <v>26161.813999999995</v>
      </c>
      <c r="I1476" s="394">
        <v>17241.900000000001</v>
      </c>
      <c r="J1476" s="394">
        <v>37374.019999999997</v>
      </c>
      <c r="K1476" s="393" t="s">
        <v>1033</v>
      </c>
    </row>
    <row r="1477" spans="1:12" hidden="1" x14ac:dyDescent="0.3">
      <c r="A1477" s="397" t="s">
        <v>871</v>
      </c>
      <c r="C1477" s="397" t="s">
        <v>1053</v>
      </c>
      <c r="D1477" s="397" t="s">
        <v>870</v>
      </c>
      <c r="E1477" s="397" t="s">
        <v>602</v>
      </c>
      <c r="F1477" s="397" t="s">
        <v>191</v>
      </c>
      <c r="G1477" s="396">
        <v>2</v>
      </c>
      <c r="H1477" s="395">
        <v>7938.8469999999998</v>
      </c>
      <c r="I1477" s="394">
        <v>979.76</v>
      </c>
      <c r="J1477" s="394">
        <v>11341.210000000001</v>
      </c>
      <c r="K1477" s="393" t="s">
        <v>1033</v>
      </c>
      <c r="L1477" s="395">
        <v>4</v>
      </c>
    </row>
    <row r="1478" spans="1:12" hidden="1" x14ac:dyDescent="0.3">
      <c r="A1478" s="397" t="s">
        <v>3178</v>
      </c>
      <c r="C1478" s="397" t="s">
        <v>1053</v>
      </c>
      <c r="D1478" s="397" t="s">
        <v>3177</v>
      </c>
      <c r="E1478" s="397" t="s">
        <v>602</v>
      </c>
      <c r="F1478" s="397" t="s">
        <v>191</v>
      </c>
      <c r="G1478" s="396">
        <v>3</v>
      </c>
      <c r="H1478" s="395">
        <v>2463.7829999999999</v>
      </c>
      <c r="I1478" s="394">
        <v>4.9800000000000004</v>
      </c>
      <c r="J1478" s="394">
        <v>3519.69</v>
      </c>
      <c r="K1478" s="393" t="s">
        <v>1033</v>
      </c>
    </row>
    <row r="1479" spans="1:12" hidden="1" x14ac:dyDescent="0.3">
      <c r="A1479" s="397" t="s">
        <v>7564</v>
      </c>
      <c r="C1479" s="397" t="s">
        <v>1053</v>
      </c>
      <c r="D1479" s="397" t="s">
        <v>7563</v>
      </c>
      <c r="E1479" s="397" t="s">
        <v>7562</v>
      </c>
      <c r="F1479" s="397" t="s">
        <v>191</v>
      </c>
      <c r="G1479" s="396">
        <v>1</v>
      </c>
      <c r="H1479" s="395">
        <v>2273.6770000000001</v>
      </c>
      <c r="I1479" s="394">
        <v>2111.27</v>
      </c>
      <c r="J1479" s="394">
        <v>3248.11</v>
      </c>
      <c r="K1479" s="393" t="s">
        <v>1033</v>
      </c>
    </row>
    <row r="1480" spans="1:12" hidden="1" x14ac:dyDescent="0.3">
      <c r="A1480" s="397" t="s">
        <v>7575</v>
      </c>
      <c r="C1480" s="397" t="s">
        <v>1053</v>
      </c>
      <c r="D1480" s="397" t="s">
        <v>7574</v>
      </c>
      <c r="E1480" s="397" t="s">
        <v>7573</v>
      </c>
      <c r="F1480" s="397" t="s">
        <v>191</v>
      </c>
      <c r="G1480" s="396">
        <v>1</v>
      </c>
      <c r="H1480" s="395">
        <v>25185.313999999995</v>
      </c>
      <c r="I1480" s="394">
        <v>23921.02</v>
      </c>
      <c r="J1480" s="394">
        <v>35979.019999999997</v>
      </c>
      <c r="K1480" s="393" t="s">
        <v>1033</v>
      </c>
    </row>
    <row r="1481" spans="1:12" hidden="1" x14ac:dyDescent="0.3">
      <c r="A1481" s="397" t="s">
        <v>1182</v>
      </c>
      <c r="C1481" s="397" t="s">
        <v>1053</v>
      </c>
      <c r="D1481" s="397" t="s">
        <v>6485</v>
      </c>
      <c r="E1481" s="397" t="s">
        <v>6484</v>
      </c>
      <c r="F1481" s="397" t="s">
        <v>191</v>
      </c>
      <c r="G1481" s="396">
        <v>1</v>
      </c>
      <c r="H1481" s="395">
        <v>9191.3080000000009</v>
      </c>
      <c r="I1481" s="394">
        <v>8730.6299999999992</v>
      </c>
      <c r="J1481" s="394">
        <v>13130.44</v>
      </c>
      <c r="K1481" s="393" t="s">
        <v>1033</v>
      </c>
    </row>
    <row r="1482" spans="1:12" hidden="1" x14ac:dyDescent="0.3">
      <c r="A1482" s="397" t="s">
        <v>1182</v>
      </c>
      <c r="C1482" s="397" t="s">
        <v>1053</v>
      </c>
      <c r="D1482" s="397" t="s">
        <v>1181</v>
      </c>
      <c r="E1482" s="397" t="s">
        <v>1180</v>
      </c>
      <c r="F1482" s="397" t="s">
        <v>191</v>
      </c>
      <c r="G1482" s="396">
        <v>4</v>
      </c>
      <c r="H1482" s="395">
        <v>114.91200000000001</v>
      </c>
      <c r="I1482" s="394">
        <v>67.78</v>
      </c>
      <c r="J1482" s="394">
        <v>164.16</v>
      </c>
      <c r="K1482" s="393" t="s">
        <v>1033</v>
      </c>
    </row>
    <row r="1483" spans="1:12" hidden="1" x14ac:dyDescent="0.3">
      <c r="A1483" s="397" t="s">
        <v>8249</v>
      </c>
      <c r="C1483" s="397" t="s">
        <v>1053</v>
      </c>
      <c r="D1483" s="397" t="s">
        <v>8248</v>
      </c>
      <c r="E1483" s="397" t="s">
        <v>8247</v>
      </c>
      <c r="F1483" s="397" t="s">
        <v>191</v>
      </c>
      <c r="G1483" s="396">
        <v>1</v>
      </c>
      <c r="H1483" s="395">
        <v>46042.269000000008</v>
      </c>
      <c r="I1483" s="394">
        <v>904</v>
      </c>
      <c r="J1483" s="394">
        <v>65774.67</v>
      </c>
      <c r="K1483" s="393" t="s">
        <v>1033</v>
      </c>
    </row>
    <row r="1484" spans="1:12" hidden="1" x14ac:dyDescent="0.3">
      <c r="A1484" s="397" t="s">
        <v>7363</v>
      </c>
      <c r="C1484" s="397" t="s">
        <v>1053</v>
      </c>
      <c r="D1484" s="397" t="s">
        <v>7362</v>
      </c>
      <c r="E1484" s="397" t="s">
        <v>7361</v>
      </c>
      <c r="F1484" s="397" t="s">
        <v>191</v>
      </c>
      <c r="G1484" s="396">
        <v>16</v>
      </c>
      <c r="H1484" s="395">
        <v>42664.244000000006</v>
      </c>
      <c r="I1484" s="394">
        <v>41874.25</v>
      </c>
      <c r="J1484" s="394">
        <v>60948.92</v>
      </c>
      <c r="K1484" s="393" t="s">
        <v>1033</v>
      </c>
    </row>
    <row r="1485" spans="1:12" hidden="1" x14ac:dyDescent="0.3">
      <c r="A1485" s="397" t="s">
        <v>2318</v>
      </c>
      <c r="C1485" s="397" t="s">
        <v>1053</v>
      </c>
      <c r="D1485" s="397" t="s">
        <v>2317</v>
      </c>
      <c r="E1485" s="397" t="s">
        <v>1180</v>
      </c>
      <c r="F1485" s="397" t="s">
        <v>191</v>
      </c>
      <c r="G1485" s="396">
        <v>16</v>
      </c>
      <c r="H1485" s="395">
        <v>31961.538</v>
      </c>
      <c r="I1485" s="394">
        <v>31396.400000000001</v>
      </c>
      <c r="J1485" s="394">
        <v>45659.340000000004</v>
      </c>
      <c r="K1485" s="393" t="s">
        <v>1033</v>
      </c>
    </row>
    <row r="1486" spans="1:12" hidden="1" x14ac:dyDescent="0.3">
      <c r="A1486" s="397" t="s">
        <v>7580</v>
      </c>
      <c r="C1486" s="397" t="s">
        <v>1053</v>
      </c>
      <c r="D1486" s="397" t="s">
        <v>7579</v>
      </c>
      <c r="E1486" s="397" t="s">
        <v>7576</v>
      </c>
      <c r="F1486" s="397" t="s">
        <v>191</v>
      </c>
      <c r="G1486" s="396">
        <v>1</v>
      </c>
      <c r="H1486" s="395">
        <v>42357.279999999999</v>
      </c>
      <c r="I1486" s="394">
        <v>192.31</v>
      </c>
      <c r="J1486" s="394">
        <v>60510.400000000001</v>
      </c>
      <c r="K1486" s="393" t="s">
        <v>1033</v>
      </c>
    </row>
    <row r="1487" spans="1:12" hidden="1" x14ac:dyDescent="0.3">
      <c r="A1487" s="397" t="s">
        <v>7903</v>
      </c>
      <c r="C1487" s="397" t="s">
        <v>1053</v>
      </c>
      <c r="D1487" s="397" t="s">
        <v>7902</v>
      </c>
      <c r="E1487" s="397" t="s">
        <v>7901</v>
      </c>
      <c r="F1487" s="397" t="s">
        <v>191</v>
      </c>
      <c r="G1487" s="396">
        <v>1</v>
      </c>
      <c r="H1487" s="395">
        <v>25349.569</v>
      </c>
      <c r="I1487" s="394">
        <v>17711.27</v>
      </c>
      <c r="J1487" s="394">
        <v>36213.67</v>
      </c>
      <c r="K1487" s="393" t="s">
        <v>1033</v>
      </c>
    </row>
    <row r="1488" spans="1:12" hidden="1" x14ac:dyDescent="0.3">
      <c r="A1488" s="397" t="s">
        <v>7358</v>
      </c>
      <c r="C1488" s="397" t="s">
        <v>1053</v>
      </c>
      <c r="D1488" s="397" t="s">
        <v>7357</v>
      </c>
      <c r="E1488" s="397" t="s">
        <v>7356</v>
      </c>
      <c r="F1488" s="397" t="s">
        <v>191</v>
      </c>
      <c r="G1488" s="396">
        <v>4</v>
      </c>
      <c r="H1488" s="395">
        <v>55061.16</v>
      </c>
      <c r="I1488" s="394">
        <v>846.35</v>
      </c>
      <c r="J1488" s="394">
        <v>78658.8</v>
      </c>
      <c r="K1488" s="393" t="s">
        <v>1033</v>
      </c>
    </row>
    <row r="1489" spans="1:12" hidden="1" x14ac:dyDescent="0.3">
      <c r="A1489" s="397" t="s">
        <v>2320</v>
      </c>
      <c r="C1489" s="397" t="s">
        <v>1053</v>
      </c>
      <c r="D1489" s="397" t="s">
        <v>2319</v>
      </c>
      <c r="E1489" s="397" t="s">
        <v>1180</v>
      </c>
      <c r="F1489" s="397" t="s">
        <v>191</v>
      </c>
      <c r="G1489" s="396">
        <v>4</v>
      </c>
      <c r="H1489" s="395">
        <v>27021.687000000002</v>
      </c>
      <c r="I1489" s="394">
        <v>18810.28</v>
      </c>
      <c r="J1489" s="394">
        <v>38602.410000000003</v>
      </c>
      <c r="K1489" s="393" t="s">
        <v>1033</v>
      </c>
    </row>
    <row r="1490" spans="1:12" hidden="1" x14ac:dyDescent="0.3">
      <c r="A1490" s="397" t="s">
        <v>2316</v>
      </c>
      <c r="C1490" s="397" t="s">
        <v>1053</v>
      </c>
      <c r="D1490" s="397" t="s">
        <v>2315</v>
      </c>
      <c r="E1490" s="397" t="s">
        <v>1180</v>
      </c>
      <c r="F1490" s="397" t="s">
        <v>191</v>
      </c>
      <c r="G1490" s="396">
        <v>24</v>
      </c>
      <c r="H1490" s="395">
        <v>31239.726000000002</v>
      </c>
      <c r="I1490" s="394">
        <v>28492.760000000002</v>
      </c>
      <c r="J1490" s="394">
        <v>44628.18</v>
      </c>
      <c r="K1490" s="393" t="s">
        <v>1033</v>
      </c>
    </row>
    <row r="1491" spans="1:12" hidden="1" x14ac:dyDescent="0.3">
      <c r="A1491" s="397" t="s">
        <v>2322</v>
      </c>
      <c r="C1491" s="397" t="s">
        <v>1053</v>
      </c>
      <c r="D1491" s="397" t="s">
        <v>2321</v>
      </c>
      <c r="E1491" s="397" t="s">
        <v>1180</v>
      </c>
      <c r="F1491" s="397" t="s">
        <v>191</v>
      </c>
      <c r="G1491" s="396">
        <v>10</v>
      </c>
      <c r="H1491" s="395">
        <v>23258.795000000002</v>
      </c>
      <c r="I1491" s="394">
        <v>17542.7</v>
      </c>
      <c r="J1491" s="394">
        <v>33226.85</v>
      </c>
      <c r="K1491" s="393" t="s">
        <v>1033</v>
      </c>
    </row>
    <row r="1492" spans="1:12" hidden="1" x14ac:dyDescent="0.3">
      <c r="A1492" s="397" t="s">
        <v>2373</v>
      </c>
      <c r="C1492" s="397" t="s">
        <v>1053</v>
      </c>
      <c r="D1492" s="397" t="s">
        <v>2372</v>
      </c>
      <c r="E1492" s="397" t="s">
        <v>2368</v>
      </c>
      <c r="F1492" s="397" t="s">
        <v>191</v>
      </c>
      <c r="G1492" s="396">
        <v>4</v>
      </c>
      <c r="H1492" s="395">
        <v>55522.852000000006</v>
      </c>
      <c r="I1492" s="394">
        <v>54541.1</v>
      </c>
      <c r="J1492" s="394">
        <v>79318.36</v>
      </c>
      <c r="K1492" s="393" t="s">
        <v>1033</v>
      </c>
      <c r="L1492" s="395">
        <v>1</v>
      </c>
    </row>
    <row r="1493" spans="1:12" hidden="1" x14ac:dyDescent="0.3">
      <c r="A1493" s="397" t="s">
        <v>2339</v>
      </c>
      <c r="C1493" s="397" t="s">
        <v>1053</v>
      </c>
      <c r="D1493" s="397" t="s">
        <v>2371</v>
      </c>
      <c r="E1493" s="397" t="s">
        <v>2368</v>
      </c>
      <c r="F1493" s="397" t="s">
        <v>191</v>
      </c>
      <c r="G1493" s="396">
        <v>1</v>
      </c>
      <c r="H1493" s="395">
        <v>56104.244000000006</v>
      </c>
      <c r="I1493" s="394">
        <v>53808.37</v>
      </c>
      <c r="J1493" s="394">
        <v>80148.92</v>
      </c>
      <c r="K1493" s="393" t="s">
        <v>1033</v>
      </c>
    </row>
    <row r="1494" spans="1:12" hidden="1" x14ac:dyDescent="0.3">
      <c r="A1494" s="397" t="s">
        <v>2339</v>
      </c>
      <c r="C1494" s="397" t="s">
        <v>1053</v>
      </c>
      <c r="D1494" s="397" t="s">
        <v>2338</v>
      </c>
      <c r="E1494" s="397" t="s">
        <v>1180</v>
      </c>
      <c r="F1494" s="397" t="s">
        <v>191</v>
      </c>
      <c r="G1494" s="396">
        <v>6</v>
      </c>
      <c r="H1494" s="395">
        <v>20015.359</v>
      </c>
      <c r="I1494" s="394">
        <v>18803.04</v>
      </c>
      <c r="J1494" s="394">
        <v>28593.37</v>
      </c>
      <c r="K1494" s="393" t="s">
        <v>1033</v>
      </c>
    </row>
    <row r="1495" spans="1:12" hidden="1" x14ac:dyDescent="0.3">
      <c r="A1495" s="397" t="s">
        <v>2370</v>
      </c>
      <c r="C1495" s="397" t="s">
        <v>1053</v>
      </c>
      <c r="D1495" s="397" t="s">
        <v>2369</v>
      </c>
      <c r="E1495" s="397" t="s">
        <v>2368</v>
      </c>
      <c r="F1495" s="397" t="s">
        <v>191</v>
      </c>
      <c r="G1495" s="396">
        <v>1</v>
      </c>
      <c r="H1495" s="395">
        <v>56104.244000000006</v>
      </c>
      <c r="I1495" s="394">
        <v>48526.03</v>
      </c>
      <c r="J1495" s="394">
        <v>80148.92</v>
      </c>
      <c r="K1495" s="393" t="s">
        <v>1033</v>
      </c>
    </row>
    <row r="1496" spans="1:12" hidden="1" x14ac:dyDescent="0.3">
      <c r="A1496" s="397" t="s">
        <v>7619</v>
      </c>
      <c r="C1496" s="397" t="s">
        <v>1053</v>
      </c>
      <c r="D1496" s="397" t="s">
        <v>7618</v>
      </c>
      <c r="E1496" s="397" t="s">
        <v>2368</v>
      </c>
      <c r="F1496" s="397" t="s">
        <v>191</v>
      </c>
      <c r="G1496" s="396">
        <v>2</v>
      </c>
      <c r="H1496" s="395">
        <v>61526.080000000002</v>
      </c>
      <c r="I1496" s="394">
        <v>47355.79</v>
      </c>
      <c r="J1496" s="394">
        <v>87894.400000000009</v>
      </c>
      <c r="K1496" s="393" t="s">
        <v>1033</v>
      </c>
      <c r="L1496" s="395">
        <v>1</v>
      </c>
    </row>
    <row r="1497" spans="1:12" hidden="1" x14ac:dyDescent="0.3">
      <c r="A1497" s="397" t="s">
        <v>2327</v>
      </c>
      <c r="C1497" s="397" t="s">
        <v>1053</v>
      </c>
      <c r="D1497" s="397" t="s">
        <v>2326</v>
      </c>
      <c r="E1497" s="397" t="s">
        <v>1180</v>
      </c>
      <c r="F1497" s="397" t="s">
        <v>191</v>
      </c>
      <c r="G1497" s="396">
        <v>6</v>
      </c>
      <c r="H1497" s="395">
        <v>30754.941000000003</v>
      </c>
      <c r="I1497" s="394">
        <v>308.32</v>
      </c>
      <c r="J1497" s="394">
        <v>43935.63</v>
      </c>
      <c r="K1497" s="393" t="s">
        <v>1033</v>
      </c>
    </row>
    <row r="1498" spans="1:12" hidden="1" x14ac:dyDescent="0.3">
      <c r="A1498" s="397" t="s">
        <v>2304</v>
      </c>
      <c r="C1498" s="397" t="s">
        <v>1053</v>
      </c>
      <c r="D1498" s="397" t="s">
        <v>2303</v>
      </c>
      <c r="E1498" s="397" t="s">
        <v>1180</v>
      </c>
      <c r="F1498" s="397" t="s">
        <v>191</v>
      </c>
      <c r="G1498" s="396">
        <v>4</v>
      </c>
      <c r="H1498" s="395">
        <v>12835.368</v>
      </c>
      <c r="I1498" s="394">
        <v>373.94</v>
      </c>
      <c r="J1498" s="394">
        <v>18336.240000000002</v>
      </c>
      <c r="K1498" s="393" t="s">
        <v>1033</v>
      </c>
    </row>
    <row r="1499" spans="1:12" hidden="1" x14ac:dyDescent="0.3">
      <c r="A1499" s="397" t="s">
        <v>2306</v>
      </c>
      <c r="C1499" s="397" t="s">
        <v>1053</v>
      </c>
      <c r="D1499" s="397" t="s">
        <v>2305</v>
      </c>
      <c r="E1499" s="397" t="s">
        <v>1180</v>
      </c>
      <c r="F1499" s="397" t="s">
        <v>191</v>
      </c>
      <c r="G1499" s="396">
        <v>2</v>
      </c>
      <c r="H1499" s="395">
        <v>2210.67</v>
      </c>
      <c r="I1499" s="394">
        <v>327.48</v>
      </c>
      <c r="J1499" s="394">
        <v>3158.1</v>
      </c>
      <c r="K1499" s="393" t="s">
        <v>1033</v>
      </c>
    </row>
    <row r="1500" spans="1:12" hidden="1" x14ac:dyDescent="0.3">
      <c r="A1500" s="397" t="s">
        <v>7622</v>
      </c>
      <c r="C1500" s="397" t="s">
        <v>1053</v>
      </c>
      <c r="D1500" s="397" t="s">
        <v>7621</v>
      </c>
      <c r="E1500" s="397" t="s">
        <v>7620</v>
      </c>
      <c r="F1500" s="397" t="s">
        <v>191</v>
      </c>
      <c r="G1500" s="396">
        <v>2</v>
      </c>
      <c r="H1500" s="395">
        <v>59932.137999999999</v>
      </c>
      <c r="I1500" s="394">
        <v>55794.270000000004</v>
      </c>
      <c r="J1500" s="394">
        <v>85617.34</v>
      </c>
      <c r="K1500" s="393" t="s">
        <v>1033</v>
      </c>
    </row>
    <row r="1501" spans="1:12" hidden="1" x14ac:dyDescent="0.3">
      <c r="A1501" s="397" t="s">
        <v>3394</v>
      </c>
      <c r="C1501" s="397" t="s">
        <v>1053</v>
      </c>
      <c r="D1501" s="397" t="s">
        <v>3393</v>
      </c>
      <c r="E1501" s="397" t="s">
        <v>1180</v>
      </c>
      <c r="F1501" s="397" t="s">
        <v>191</v>
      </c>
      <c r="G1501" s="396">
        <v>17</v>
      </c>
      <c r="H1501" s="395">
        <v>12292.28</v>
      </c>
      <c r="I1501" s="394">
        <v>186.51</v>
      </c>
      <c r="J1501" s="394">
        <v>17560.400000000001</v>
      </c>
      <c r="K1501" s="393" t="s">
        <v>1033</v>
      </c>
    </row>
    <row r="1502" spans="1:12" hidden="1" x14ac:dyDescent="0.3">
      <c r="A1502" s="397" t="s">
        <v>2352</v>
      </c>
      <c r="C1502" s="397" t="s">
        <v>1053</v>
      </c>
      <c r="D1502" s="397" t="s">
        <v>2351</v>
      </c>
      <c r="E1502" s="397" t="s">
        <v>1180</v>
      </c>
      <c r="F1502" s="397" t="s">
        <v>191</v>
      </c>
      <c r="G1502" s="396">
        <v>3</v>
      </c>
      <c r="H1502" s="395">
        <v>23.561999999999998</v>
      </c>
      <c r="I1502" s="394">
        <v>9.58</v>
      </c>
      <c r="J1502" s="394">
        <v>33.659999999999997</v>
      </c>
      <c r="K1502" s="393" t="s">
        <v>1033</v>
      </c>
    </row>
    <row r="1503" spans="1:12" hidden="1" x14ac:dyDescent="0.3">
      <c r="A1503" s="397" t="s">
        <v>2329</v>
      </c>
      <c r="C1503" s="397" t="s">
        <v>1053</v>
      </c>
      <c r="D1503" s="397" t="s">
        <v>2328</v>
      </c>
      <c r="E1503" s="397" t="s">
        <v>1180</v>
      </c>
      <c r="F1503" s="397" t="s">
        <v>191</v>
      </c>
      <c r="G1503" s="396">
        <v>6</v>
      </c>
      <c r="H1503" s="395">
        <v>28084.546000000002</v>
      </c>
      <c r="I1503" s="394">
        <v>87.56</v>
      </c>
      <c r="J1503" s="394">
        <v>40120.78</v>
      </c>
      <c r="K1503" s="393" t="s">
        <v>1033</v>
      </c>
    </row>
    <row r="1504" spans="1:12" hidden="1" x14ac:dyDescent="0.3">
      <c r="A1504" s="397" t="s">
        <v>2337</v>
      </c>
      <c r="C1504" s="397" t="s">
        <v>1053</v>
      </c>
      <c r="D1504" s="397" t="s">
        <v>2336</v>
      </c>
      <c r="E1504" s="397" t="s">
        <v>1180</v>
      </c>
      <c r="F1504" s="397" t="s">
        <v>191</v>
      </c>
      <c r="G1504" s="396">
        <v>18</v>
      </c>
      <c r="H1504" s="395">
        <v>25115.342000000004</v>
      </c>
      <c r="I1504" s="394">
        <v>21890.34</v>
      </c>
      <c r="J1504" s="394">
        <v>35879.06</v>
      </c>
      <c r="K1504" s="393" t="s">
        <v>1033</v>
      </c>
    </row>
    <row r="1505" spans="1:12" hidden="1" x14ac:dyDescent="0.3">
      <c r="A1505" s="397" t="s">
        <v>2335</v>
      </c>
      <c r="C1505" s="397" t="s">
        <v>1053</v>
      </c>
      <c r="D1505" s="397" t="s">
        <v>2334</v>
      </c>
      <c r="E1505" s="397" t="s">
        <v>1180</v>
      </c>
      <c r="F1505" s="397" t="s">
        <v>191</v>
      </c>
      <c r="G1505" s="396">
        <v>12</v>
      </c>
      <c r="H1505" s="395">
        <v>6776.8539999999994</v>
      </c>
      <c r="I1505" s="394">
        <v>6040.66</v>
      </c>
      <c r="J1505" s="394">
        <v>9681.2199999999993</v>
      </c>
      <c r="K1505" s="393" t="s">
        <v>1033</v>
      </c>
    </row>
    <row r="1506" spans="1:12" hidden="1" x14ac:dyDescent="0.3">
      <c r="A1506" s="397" t="s">
        <v>2348</v>
      </c>
      <c r="C1506" s="397" t="s">
        <v>1053</v>
      </c>
      <c r="D1506" s="397" t="s">
        <v>2347</v>
      </c>
      <c r="E1506" s="397" t="s">
        <v>2344</v>
      </c>
      <c r="F1506" s="397" t="s">
        <v>191</v>
      </c>
      <c r="G1506" s="396">
        <v>48</v>
      </c>
      <c r="H1506" s="395">
        <v>5263.8810000000003</v>
      </c>
      <c r="I1506" s="394">
        <v>5170.8</v>
      </c>
      <c r="J1506" s="394">
        <v>7519.83</v>
      </c>
      <c r="K1506" s="393" t="s">
        <v>1033</v>
      </c>
    </row>
    <row r="1507" spans="1:12" hidden="1" x14ac:dyDescent="0.3">
      <c r="A1507" s="397" t="s">
        <v>2350</v>
      </c>
      <c r="C1507" s="397" t="s">
        <v>1053</v>
      </c>
      <c r="D1507" s="397" t="s">
        <v>2349</v>
      </c>
      <c r="E1507" s="397" t="s">
        <v>1180</v>
      </c>
      <c r="F1507" s="397" t="s">
        <v>191</v>
      </c>
      <c r="G1507" s="396">
        <v>4</v>
      </c>
      <c r="H1507" s="395">
        <v>4444.3559999999998</v>
      </c>
      <c r="I1507" s="394">
        <v>229.37</v>
      </c>
      <c r="J1507" s="394">
        <v>6349.08</v>
      </c>
      <c r="K1507" s="393" t="s">
        <v>1033</v>
      </c>
    </row>
    <row r="1508" spans="1:12" hidden="1" x14ac:dyDescent="0.3">
      <c r="A1508" s="397" t="s">
        <v>7131</v>
      </c>
      <c r="C1508" s="397" t="s">
        <v>1053</v>
      </c>
      <c r="D1508" s="397" t="s">
        <v>7130</v>
      </c>
      <c r="E1508" s="397" t="s">
        <v>7129</v>
      </c>
      <c r="F1508" s="397" t="s">
        <v>191</v>
      </c>
      <c r="G1508" s="396">
        <v>2</v>
      </c>
      <c r="H1508" s="395">
        <v>19491.241000000002</v>
      </c>
      <c r="I1508" s="394">
        <v>19450.900000000001</v>
      </c>
      <c r="J1508" s="394">
        <v>27844.63</v>
      </c>
      <c r="K1508" s="393" t="s">
        <v>1033</v>
      </c>
    </row>
    <row r="1509" spans="1:12" hidden="1" x14ac:dyDescent="0.3">
      <c r="A1509" s="397" t="s">
        <v>2343</v>
      </c>
      <c r="C1509" s="397" t="s">
        <v>1053</v>
      </c>
      <c r="D1509" s="397" t="s">
        <v>2342</v>
      </c>
      <c r="E1509" s="397" t="s">
        <v>1180</v>
      </c>
      <c r="F1509" s="397" t="s">
        <v>191</v>
      </c>
      <c r="G1509" s="396">
        <v>4</v>
      </c>
      <c r="H1509" s="395">
        <v>5263.8810000000003</v>
      </c>
      <c r="I1509" s="394">
        <v>261.22000000000003</v>
      </c>
      <c r="J1509" s="394">
        <v>7519.83</v>
      </c>
      <c r="K1509" s="393" t="s">
        <v>1033</v>
      </c>
      <c r="L1509" s="395">
        <v>10</v>
      </c>
    </row>
    <row r="1510" spans="1:12" hidden="1" x14ac:dyDescent="0.3">
      <c r="A1510" s="397" t="s">
        <v>2346</v>
      </c>
      <c r="C1510" s="397" t="s">
        <v>1053</v>
      </c>
      <c r="D1510" s="397" t="s">
        <v>2345</v>
      </c>
      <c r="E1510" s="397" t="s">
        <v>2344</v>
      </c>
      <c r="F1510" s="397" t="s">
        <v>191</v>
      </c>
      <c r="G1510" s="396">
        <v>10</v>
      </c>
      <c r="H1510" s="395">
        <v>5263.8810000000003</v>
      </c>
      <c r="I1510" s="394">
        <v>4945.05</v>
      </c>
      <c r="J1510" s="394">
        <v>7519.83</v>
      </c>
      <c r="K1510" s="393" t="s">
        <v>1033</v>
      </c>
    </row>
    <row r="1511" spans="1:12" hidden="1" x14ac:dyDescent="0.3">
      <c r="A1511" s="397" t="s">
        <v>7360</v>
      </c>
      <c r="C1511" s="397" t="s">
        <v>1053</v>
      </c>
      <c r="D1511" s="397" t="s">
        <v>7359</v>
      </c>
      <c r="E1511" s="397" t="s">
        <v>7356</v>
      </c>
      <c r="F1511" s="397" t="s">
        <v>191</v>
      </c>
      <c r="G1511" s="396">
        <v>4</v>
      </c>
      <c r="H1511" s="395">
        <v>55061.16</v>
      </c>
      <c r="I1511" s="394">
        <v>51692.07</v>
      </c>
      <c r="J1511" s="394">
        <v>78658.8</v>
      </c>
      <c r="K1511" s="393" t="s">
        <v>1033</v>
      </c>
    </row>
    <row r="1512" spans="1:12" hidden="1" x14ac:dyDescent="0.3">
      <c r="A1512" s="397" t="s">
        <v>2341</v>
      </c>
      <c r="C1512" s="397" t="s">
        <v>1053</v>
      </c>
      <c r="D1512" s="397" t="s">
        <v>2340</v>
      </c>
      <c r="E1512" s="397" t="s">
        <v>1180</v>
      </c>
      <c r="F1512" s="397" t="s">
        <v>191</v>
      </c>
      <c r="G1512" s="396">
        <v>12</v>
      </c>
      <c r="H1512" s="395">
        <v>20929.447</v>
      </c>
      <c r="I1512" s="394">
        <v>17187.810000000001</v>
      </c>
      <c r="J1512" s="394">
        <v>29899.21</v>
      </c>
      <c r="K1512" s="393" t="s">
        <v>1033</v>
      </c>
    </row>
    <row r="1513" spans="1:12" hidden="1" x14ac:dyDescent="0.3">
      <c r="A1513" s="397" t="s">
        <v>2325</v>
      </c>
      <c r="C1513" s="397" t="s">
        <v>1053</v>
      </c>
      <c r="D1513" s="397" t="s">
        <v>2324</v>
      </c>
      <c r="E1513" s="397" t="s">
        <v>2323</v>
      </c>
      <c r="F1513" s="397" t="s">
        <v>191</v>
      </c>
      <c r="G1513" s="396">
        <v>58</v>
      </c>
      <c r="H1513" s="395">
        <v>20938.903999999999</v>
      </c>
      <c r="I1513" s="394">
        <v>20568.66</v>
      </c>
      <c r="J1513" s="394">
        <v>29912.720000000001</v>
      </c>
      <c r="K1513" s="393" t="s">
        <v>1033</v>
      </c>
    </row>
    <row r="1514" spans="1:12" hidden="1" x14ac:dyDescent="0.3">
      <c r="A1514" s="397" t="s">
        <v>2331</v>
      </c>
      <c r="C1514" s="397" t="s">
        <v>1053</v>
      </c>
      <c r="D1514" s="397" t="s">
        <v>2330</v>
      </c>
      <c r="E1514" s="397" t="s">
        <v>1180</v>
      </c>
      <c r="F1514" s="397" t="s">
        <v>191</v>
      </c>
      <c r="G1514" s="396">
        <v>1</v>
      </c>
      <c r="H1514" s="395">
        <v>959.07</v>
      </c>
      <c r="I1514" s="394">
        <v>959.07</v>
      </c>
      <c r="J1514" s="394">
        <v>1370.1000000000001</v>
      </c>
      <c r="K1514" s="393" t="s">
        <v>1033</v>
      </c>
      <c r="L1514" s="395">
        <v>12</v>
      </c>
    </row>
    <row r="1515" spans="1:12" hidden="1" x14ac:dyDescent="0.3">
      <c r="A1515" s="397" t="s">
        <v>2439</v>
      </c>
      <c r="C1515" s="397" t="s">
        <v>1053</v>
      </c>
      <c r="D1515" s="397" t="s">
        <v>2438</v>
      </c>
      <c r="E1515" s="397" t="s">
        <v>676</v>
      </c>
      <c r="F1515" s="397" t="s">
        <v>191</v>
      </c>
      <c r="G1515" s="396">
        <v>1</v>
      </c>
      <c r="H1515" s="395">
        <v>14235.179</v>
      </c>
      <c r="I1515" s="394">
        <v>14001.95</v>
      </c>
      <c r="J1515" s="394">
        <v>20335.97</v>
      </c>
      <c r="K1515" s="393" t="s">
        <v>1033</v>
      </c>
    </row>
    <row r="1516" spans="1:12" hidden="1" x14ac:dyDescent="0.3">
      <c r="A1516" s="397" t="s">
        <v>2089</v>
      </c>
      <c r="C1516" s="397" t="s">
        <v>1053</v>
      </c>
      <c r="D1516" s="397" t="s">
        <v>2088</v>
      </c>
      <c r="E1516" s="397" t="s">
        <v>676</v>
      </c>
      <c r="F1516" s="397" t="s">
        <v>191</v>
      </c>
      <c r="G1516" s="396">
        <v>9</v>
      </c>
      <c r="H1516" s="395">
        <v>1478.2670000000001</v>
      </c>
      <c r="I1516" s="394">
        <v>1287.49</v>
      </c>
      <c r="J1516" s="394">
        <v>2111.81</v>
      </c>
      <c r="K1516" s="393" t="s">
        <v>1033</v>
      </c>
    </row>
    <row r="1517" spans="1:12" hidden="1" x14ac:dyDescent="0.3">
      <c r="A1517" s="397" t="s">
        <v>2078</v>
      </c>
      <c r="C1517" s="397" t="s">
        <v>1053</v>
      </c>
      <c r="D1517" s="397" t="s">
        <v>2077</v>
      </c>
      <c r="E1517" s="397" t="s">
        <v>676</v>
      </c>
      <c r="F1517" s="397" t="s">
        <v>191</v>
      </c>
      <c r="G1517" s="396">
        <v>4</v>
      </c>
      <c r="H1517" s="395">
        <v>1642.5220000000002</v>
      </c>
      <c r="I1517" s="394">
        <v>371.33</v>
      </c>
      <c r="J1517" s="394">
        <v>2346.46</v>
      </c>
      <c r="K1517" s="393" t="s">
        <v>1033</v>
      </c>
    </row>
    <row r="1518" spans="1:12" hidden="1" x14ac:dyDescent="0.3">
      <c r="A1518" s="397" t="s">
        <v>5994</v>
      </c>
      <c r="C1518" s="397" t="s">
        <v>1053</v>
      </c>
      <c r="D1518" s="397" t="s">
        <v>5993</v>
      </c>
      <c r="E1518" s="397" t="s">
        <v>5992</v>
      </c>
      <c r="F1518" s="397" t="s">
        <v>191</v>
      </c>
      <c r="G1518" s="396">
        <v>1</v>
      </c>
      <c r="H1518" s="395">
        <v>22774.017000000003</v>
      </c>
      <c r="I1518" s="394">
        <v>20.09</v>
      </c>
      <c r="J1518" s="394">
        <v>32534.31</v>
      </c>
      <c r="K1518" s="393" t="s">
        <v>1033</v>
      </c>
    </row>
    <row r="1519" spans="1:12" hidden="1" x14ac:dyDescent="0.3">
      <c r="A1519" s="397" t="s">
        <v>4824</v>
      </c>
      <c r="C1519" s="397" t="s">
        <v>1053</v>
      </c>
      <c r="D1519" s="397" t="s">
        <v>4823</v>
      </c>
      <c r="E1519" s="397" t="s">
        <v>4820</v>
      </c>
      <c r="F1519" s="397" t="s">
        <v>191</v>
      </c>
      <c r="G1519" s="396">
        <v>1</v>
      </c>
      <c r="H1519" s="395">
        <v>120068.24900000001</v>
      </c>
      <c r="I1519" s="394">
        <v>12557.02</v>
      </c>
      <c r="J1519" s="394">
        <v>171526.07</v>
      </c>
      <c r="K1519" s="393" t="s">
        <v>1033</v>
      </c>
      <c r="L1519" s="395">
        <v>1</v>
      </c>
    </row>
    <row r="1520" spans="1:12" hidden="1" x14ac:dyDescent="0.3">
      <c r="A1520" s="397" t="s">
        <v>6982</v>
      </c>
      <c r="C1520" s="397" t="s">
        <v>1053</v>
      </c>
      <c r="D1520" s="397" t="s">
        <v>6981</v>
      </c>
      <c r="E1520" s="397" t="s">
        <v>6927</v>
      </c>
      <c r="F1520" s="397" t="s">
        <v>191</v>
      </c>
      <c r="G1520" s="396">
        <v>1</v>
      </c>
      <c r="H1520" s="395">
        <v>150619.12599999999</v>
      </c>
      <c r="I1520" s="394">
        <v>16146.1</v>
      </c>
      <c r="J1520" s="394">
        <v>215170.18</v>
      </c>
      <c r="K1520" s="393" t="s">
        <v>1033</v>
      </c>
    </row>
    <row r="1521" spans="1:12" hidden="1" x14ac:dyDescent="0.3">
      <c r="A1521" s="397" t="s">
        <v>2291</v>
      </c>
      <c r="C1521" s="397" t="s">
        <v>1053</v>
      </c>
      <c r="D1521" s="397" t="s">
        <v>2290</v>
      </c>
      <c r="E1521" s="397" t="s">
        <v>2041</v>
      </c>
      <c r="F1521" s="397" t="s">
        <v>191</v>
      </c>
      <c r="G1521" s="396">
        <v>9</v>
      </c>
      <c r="H1521" s="395">
        <v>5911.5559999999996</v>
      </c>
      <c r="I1521" s="394">
        <v>1353.17</v>
      </c>
      <c r="J1521" s="394">
        <v>8445.08</v>
      </c>
      <c r="K1521" s="393" t="s">
        <v>1033</v>
      </c>
    </row>
    <row r="1522" spans="1:12" hidden="1" x14ac:dyDescent="0.3">
      <c r="A1522" s="397" t="s">
        <v>3358</v>
      </c>
      <c r="C1522" s="397" t="s">
        <v>1053</v>
      </c>
      <c r="D1522" s="397" t="s">
        <v>3357</v>
      </c>
      <c r="E1522" s="397" t="s">
        <v>676</v>
      </c>
      <c r="F1522" s="397" t="s">
        <v>191</v>
      </c>
      <c r="G1522" s="396">
        <v>1</v>
      </c>
      <c r="H1522" s="395">
        <v>2463.7829999999999</v>
      </c>
      <c r="I1522" s="394">
        <v>550.13</v>
      </c>
      <c r="J1522" s="394">
        <v>3519.69</v>
      </c>
      <c r="K1522" s="393" t="s">
        <v>1033</v>
      </c>
    </row>
    <row r="1523" spans="1:12" hidden="1" x14ac:dyDescent="0.3">
      <c r="A1523" s="397" t="s">
        <v>3278</v>
      </c>
      <c r="C1523" s="397" t="s">
        <v>1053</v>
      </c>
      <c r="D1523" s="397" t="s">
        <v>3277</v>
      </c>
      <c r="E1523" s="397" t="s">
        <v>2083</v>
      </c>
      <c r="F1523" s="397" t="s">
        <v>191</v>
      </c>
      <c r="G1523" s="396">
        <v>4</v>
      </c>
      <c r="H1523" s="395">
        <v>1134.7280000000001</v>
      </c>
      <c r="I1523" s="394">
        <v>52.29</v>
      </c>
      <c r="J1523" s="394">
        <v>1621.04</v>
      </c>
      <c r="K1523" s="393" t="s">
        <v>1033</v>
      </c>
    </row>
    <row r="1524" spans="1:12" hidden="1" x14ac:dyDescent="0.3">
      <c r="A1524" s="397" t="s">
        <v>3378</v>
      </c>
      <c r="C1524" s="397" t="s">
        <v>1053</v>
      </c>
      <c r="D1524" s="397" t="s">
        <v>3377</v>
      </c>
      <c r="E1524" s="397" t="s">
        <v>676</v>
      </c>
      <c r="F1524" s="397" t="s">
        <v>191</v>
      </c>
      <c r="G1524" s="396">
        <v>5</v>
      </c>
      <c r="H1524" s="395">
        <v>1134.7280000000001</v>
      </c>
      <c r="I1524" s="394">
        <v>52.29</v>
      </c>
      <c r="J1524" s="394">
        <v>1621.04</v>
      </c>
      <c r="K1524" s="393" t="s">
        <v>1033</v>
      </c>
    </row>
    <row r="1525" spans="1:12" hidden="1" x14ac:dyDescent="0.3">
      <c r="A1525" s="397" t="s">
        <v>5087</v>
      </c>
      <c r="C1525" s="397" t="s">
        <v>1053</v>
      </c>
      <c r="D1525" s="397" t="s">
        <v>5086</v>
      </c>
      <c r="E1525" s="397" t="s">
        <v>5085</v>
      </c>
      <c r="F1525" s="397" t="s">
        <v>191</v>
      </c>
      <c r="G1525" s="396">
        <v>1</v>
      </c>
      <c r="H1525" s="395">
        <v>11716.648999999999</v>
      </c>
      <c r="I1525" s="394">
        <v>8856.94</v>
      </c>
      <c r="J1525" s="394">
        <v>16738.07</v>
      </c>
      <c r="K1525" s="393" t="s">
        <v>1033</v>
      </c>
    </row>
    <row r="1526" spans="1:12" hidden="1" x14ac:dyDescent="0.3">
      <c r="A1526" s="397" t="s">
        <v>3137</v>
      </c>
      <c r="C1526" s="397" t="s">
        <v>1053</v>
      </c>
      <c r="D1526" s="397" t="s">
        <v>3136</v>
      </c>
      <c r="E1526" s="397" t="s">
        <v>2041</v>
      </c>
      <c r="F1526" s="397" t="s">
        <v>191</v>
      </c>
      <c r="G1526" s="396">
        <v>6</v>
      </c>
      <c r="H1526" s="395">
        <v>1971.0250000000001</v>
      </c>
      <c r="I1526" s="394">
        <v>1950.66</v>
      </c>
      <c r="J1526" s="394">
        <v>2815.75</v>
      </c>
      <c r="K1526" s="393" t="s">
        <v>1033</v>
      </c>
    </row>
    <row r="1527" spans="1:12" hidden="1" x14ac:dyDescent="0.3">
      <c r="A1527" s="397" t="s">
        <v>3202</v>
      </c>
      <c r="C1527" s="397" t="s">
        <v>1053</v>
      </c>
      <c r="D1527" s="397" t="s">
        <v>3239</v>
      </c>
      <c r="E1527" s="397" t="s">
        <v>3237</v>
      </c>
      <c r="F1527" s="397" t="s">
        <v>191</v>
      </c>
      <c r="G1527" s="396">
        <v>5</v>
      </c>
      <c r="H1527" s="395">
        <v>1516.5640000000001</v>
      </c>
      <c r="I1527" s="394">
        <v>1434.57</v>
      </c>
      <c r="J1527" s="394">
        <v>2166.52</v>
      </c>
      <c r="K1527" s="393" t="s">
        <v>1033</v>
      </c>
    </row>
    <row r="1528" spans="1:12" hidden="1" x14ac:dyDescent="0.3">
      <c r="A1528" s="397" t="s">
        <v>3202</v>
      </c>
      <c r="C1528" s="397" t="s">
        <v>1053</v>
      </c>
      <c r="D1528" s="397" t="s">
        <v>3201</v>
      </c>
      <c r="E1528" s="397" t="s">
        <v>3200</v>
      </c>
      <c r="F1528" s="397" t="s">
        <v>191</v>
      </c>
      <c r="G1528" s="396">
        <v>13</v>
      </c>
      <c r="H1528" s="395">
        <v>1540.9590000000001</v>
      </c>
      <c r="I1528" s="394">
        <v>1459.65</v>
      </c>
      <c r="J1528" s="394">
        <v>2201.37</v>
      </c>
      <c r="K1528" s="393" t="s">
        <v>1033</v>
      </c>
    </row>
    <row r="1529" spans="1:12" hidden="1" x14ac:dyDescent="0.3">
      <c r="A1529" s="397" t="s">
        <v>2055</v>
      </c>
      <c r="C1529" s="397" t="s">
        <v>1053</v>
      </c>
      <c r="D1529" s="397" t="s">
        <v>2054</v>
      </c>
      <c r="E1529" s="397" t="s">
        <v>2041</v>
      </c>
      <c r="F1529" s="397" t="s">
        <v>191</v>
      </c>
      <c r="G1529" s="396">
        <v>8</v>
      </c>
      <c r="H1529" s="395">
        <v>1423.52</v>
      </c>
      <c r="I1529" s="394">
        <v>958.17000000000007</v>
      </c>
      <c r="J1529" s="394">
        <v>2033.6000000000001</v>
      </c>
      <c r="K1529" s="393" t="s">
        <v>1033</v>
      </c>
    </row>
    <row r="1530" spans="1:12" hidden="1" x14ac:dyDescent="0.3">
      <c r="A1530" s="397" t="s">
        <v>4865</v>
      </c>
      <c r="C1530" s="397" t="s">
        <v>1053</v>
      </c>
      <c r="D1530" s="397" t="s">
        <v>4864</v>
      </c>
      <c r="E1530" s="397" t="s">
        <v>4857</v>
      </c>
      <c r="F1530" s="397" t="s">
        <v>191</v>
      </c>
      <c r="G1530" s="396">
        <v>1</v>
      </c>
      <c r="H1530" s="395">
        <v>67562.341</v>
      </c>
      <c r="I1530" s="394">
        <v>65728.429999999993</v>
      </c>
      <c r="J1530" s="394">
        <v>96517.63</v>
      </c>
      <c r="K1530" s="393" t="s">
        <v>1033</v>
      </c>
    </row>
    <row r="1531" spans="1:12" hidden="1" x14ac:dyDescent="0.3">
      <c r="A1531" s="397" t="s">
        <v>818</v>
      </c>
      <c r="C1531" s="397" t="s">
        <v>1053</v>
      </c>
      <c r="D1531" s="397" t="s">
        <v>613</v>
      </c>
      <c r="E1531" s="397" t="s">
        <v>614</v>
      </c>
      <c r="F1531" s="397" t="s">
        <v>191</v>
      </c>
      <c r="G1531" s="396">
        <v>2</v>
      </c>
      <c r="H1531" s="395">
        <v>52943.912000000004</v>
      </c>
      <c r="I1531" s="394">
        <v>50736.480000000003</v>
      </c>
      <c r="J1531" s="394">
        <v>75634.16</v>
      </c>
      <c r="K1531" s="393" t="s">
        <v>1033</v>
      </c>
      <c r="L1531" s="395">
        <v>2</v>
      </c>
    </row>
    <row r="1532" spans="1:12" hidden="1" x14ac:dyDescent="0.3">
      <c r="A1532" s="397" t="s">
        <v>817</v>
      </c>
      <c r="C1532" s="397" t="s">
        <v>1053</v>
      </c>
      <c r="D1532" s="397" t="s">
        <v>615</v>
      </c>
      <c r="E1532" s="397" t="s">
        <v>614</v>
      </c>
      <c r="F1532" s="397" t="s">
        <v>191</v>
      </c>
      <c r="G1532" s="396">
        <v>2</v>
      </c>
      <c r="H1532" s="395">
        <v>52943.912000000004</v>
      </c>
      <c r="I1532" s="394">
        <v>50736.480000000003</v>
      </c>
      <c r="J1532" s="394">
        <v>75634.16</v>
      </c>
      <c r="K1532" s="393" t="s">
        <v>1033</v>
      </c>
      <c r="L1532" s="395">
        <v>2</v>
      </c>
    </row>
    <row r="1533" spans="1:12" hidden="1" x14ac:dyDescent="0.3">
      <c r="A1533" s="397" t="s">
        <v>3324</v>
      </c>
      <c r="C1533" s="397" t="s">
        <v>1053</v>
      </c>
      <c r="D1533" s="397" t="s">
        <v>3323</v>
      </c>
      <c r="E1533" s="397" t="s">
        <v>2041</v>
      </c>
      <c r="F1533" s="397" t="s">
        <v>191</v>
      </c>
      <c r="G1533" s="396">
        <v>7</v>
      </c>
      <c r="H1533" s="395">
        <v>1368.7660000000001</v>
      </c>
      <c r="I1533" s="394">
        <v>56.31</v>
      </c>
      <c r="J1533" s="394">
        <v>1955.38</v>
      </c>
      <c r="K1533" s="393" t="s">
        <v>1033</v>
      </c>
    </row>
    <row r="1534" spans="1:12" hidden="1" x14ac:dyDescent="0.3">
      <c r="A1534" s="397" t="s">
        <v>5853</v>
      </c>
      <c r="C1534" s="397" t="s">
        <v>1053</v>
      </c>
      <c r="D1534" s="397" t="s">
        <v>5852</v>
      </c>
      <c r="E1534" s="397" t="s">
        <v>5785</v>
      </c>
      <c r="F1534" s="397" t="s">
        <v>191</v>
      </c>
      <c r="G1534" s="396">
        <v>2</v>
      </c>
      <c r="H1534" s="395">
        <v>31819.27</v>
      </c>
      <c r="I1534" s="394">
        <v>25.91</v>
      </c>
      <c r="J1534" s="394">
        <v>45456.1</v>
      </c>
      <c r="K1534" s="393" t="s">
        <v>1033</v>
      </c>
    </row>
    <row r="1535" spans="1:12" hidden="1" x14ac:dyDescent="0.3">
      <c r="A1535" s="397" t="s">
        <v>3099</v>
      </c>
      <c r="C1535" s="397" t="s">
        <v>1053</v>
      </c>
      <c r="D1535" s="397" t="s">
        <v>3098</v>
      </c>
      <c r="E1535" s="397" t="s">
        <v>2041</v>
      </c>
      <c r="F1535" s="397" t="s">
        <v>191</v>
      </c>
      <c r="G1535" s="396">
        <v>2</v>
      </c>
      <c r="H1535" s="395">
        <v>1971.0250000000001</v>
      </c>
      <c r="I1535" s="394">
        <v>1507.89</v>
      </c>
      <c r="J1535" s="394">
        <v>2815.75</v>
      </c>
      <c r="K1535" s="393" t="s">
        <v>1033</v>
      </c>
    </row>
    <row r="1536" spans="1:12" hidden="1" x14ac:dyDescent="0.3">
      <c r="A1536" s="397" t="s">
        <v>3154</v>
      </c>
      <c r="C1536" s="397" t="s">
        <v>1053</v>
      </c>
      <c r="D1536" s="397" t="s">
        <v>3153</v>
      </c>
      <c r="E1536" s="397" t="s">
        <v>2041</v>
      </c>
      <c r="F1536" s="397" t="s">
        <v>191</v>
      </c>
      <c r="G1536" s="396">
        <v>21</v>
      </c>
      <c r="H1536" s="395">
        <v>2628.0309999999999</v>
      </c>
      <c r="I1536" s="394">
        <v>200.28</v>
      </c>
      <c r="J1536" s="394">
        <v>3754.33</v>
      </c>
      <c r="K1536" s="393" t="s">
        <v>1033</v>
      </c>
    </row>
    <row r="1537" spans="1:11" hidden="1" x14ac:dyDescent="0.3">
      <c r="A1537" s="397" t="s">
        <v>2040</v>
      </c>
      <c r="C1537" s="397" t="s">
        <v>1053</v>
      </c>
      <c r="D1537" s="397" t="s">
        <v>2039</v>
      </c>
      <c r="E1537" s="397" t="s">
        <v>2038</v>
      </c>
      <c r="F1537" s="397" t="s">
        <v>191</v>
      </c>
      <c r="G1537" s="396">
        <v>10</v>
      </c>
      <c r="H1537" s="395">
        <v>2135.2800000000002</v>
      </c>
      <c r="I1537" s="394">
        <v>2065.9</v>
      </c>
      <c r="J1537" s="394">
        <v>3050.4</v>
      </c>
      <c r="K1537" s="393" t="s">
        <v>1033</v>
      </c>
    </row>
    <row r="1538" spans="1:11" hidden="1" x14ac:dyDescent="0.3">
      <c r="A1538" s="397" t="s">
        <v>3114</v>
      </c>
      <c r="C1538" s="397" t="s">
        <v>1053</v>
      </c>
      <c r="D1538" s="397" t="s">
        <v>3113</v>
      </c>
      <c r="E1538" s="397" t="s">
        <v>2041</v>
      </c>
      <c r="F1538" s="397" t="s">
        <v>191</v>
      </c>
      <c r="G1538" s="396">
        <v>8</v>
      </c>
      <c r="H1538" s="395">
        <v>2792.2859999999996</v>
      </c>
      <c r="I1538" s="394">
        <v>254.65</v>
      </c>
      <c r="J1538" s="394">
        <v>3988.98</v>
      </c>
      <c r="K1538" s="393" t="s">
        <v>1033</v>
      </c>
    </row>
    <row r="1539" spans="1:11" hidden="1" x14ac:dyDescent="0.3">
      <c r="A1539" s="397" t="s">
        <v>4847</v>
      </c>
      <c r="C1539" s="397" t="s">
        <v>1053</v>
      </c>
      <c r="D1539" s="397" t="s">
        <v>4846</v>
      </c>
      <c r="E1539" s="397" t="s">
        <v>553</v>
      </c>
      <c r="F1539" s="397" t="s">
        <v>191</v>
      </c>
      <c r="G1539" s="396">
        <v>2</v>
      </c>
      <c r="H1539" s="395">
        <v>4215.8059999999996</v>
      </c>
      <c r="I1539" s="394">
        <v>2742.08</v>
      </c>
      <c r="J1539" s="394">
        <v>6022.58</v>
      </c>
      <c r="K1539" s="393" t="s">
        <v>1033</v>
      </c>
    </row>
    <row r="1540" spans="1:11" hidden="1" x14ac:dyDescent="0.3">
      <c r="A1540" s="397" t="s">
        <v>3312</v>
      </c>
      <c r="C1540" s="397" t="s">
        <v>1053</v>
      </c>
      <c r="D1540" s="397" t="s">
        <v>3311</v>
      </c>
      <c r="E1540" s="397" t="s">
        <v>676</v>
      </c>
      <c r="F1540" s="397" t="s">
        <v>191</v>
      </c>
      <c r="G1540" s="396">
        <v>3</v>
      </c>
      <c r="H1540" s="395">
        <v>7489.2160000000003</v>
      </c>
      <c r="I1540" s="394">
        <v>4091.5</v>
      </c>
      <c r="J1540" s="394">
        <v>10698.880000000001</v>
      </c>
      <c r="K1540" s="393" t="s">
        <v>1033</v>
      </c>
    </row>
    <row r="1541" spans="1:11" hidden="1" x14ac:dyDescent="0.3">
      <c r="A1541" s="397" t="s">
        <v>6544</v>
      </c>
      <c r="C1541" s="397" t="s">
        <v>1053</v>
      </c>
      <c r="D1541" s="397" t="s">
        <v>6543</v>
      </c>
      <c r="E1541" s="397" t="s">
        <v>6542</v>
      </c>
      <c r="F1541" s="397" t="s">
        <v>191</v>
      </c>
      <c r="G1541" s="396">
        <v>1</v>
      </c>
      <c r="H1541" s="395">
        <v>5639.3190000000004</v>
      </c>
      <c r="I1541" s="394">
        <v>5629.05</v>
      </c>
      <c r="J1541" s="394">
        <v>8056.17</v>
      </c>
      <c r="K1541" s="393" t="s">
        <v>1033</v>
      </c>
    </row>
    <row r="1542" spans="1:11" hidden="1" x14ac:dyDescent="0.3">
      <c r="A1542" s="397" t="s">
        <v>5756</v>
      </c>
      <c r="C1542" s="397" t="s">
        <v>1053</v>
      </c>
      <c r="D1542" s="397" t="s">
        <v>5755</v>
      </c>
      <c r="E1542" s="397" t="s">
        <v>471</v>
      </c>
      <c r="F1542" s="397" t="s">
        <v>191</v>
      </c>
      <c r="G1542" s="396">
        <v>3</v>
      </c>
      <c r="H1542" s="395">
        <v>28869.876</v>
      </c>
      <c r="I1542" s="394">
        <v>176.9</v>
      </c>
      <c r="J1542" s="394">
        <v>41242.68</v>
      </c>
      <c r="K1542" s="393" t="s">
        <v>1033</v>
      </c>
    </row>
    <row r="1543" spans="1:11" hidden="1" x14ac:dyDescent="0.3">
      <c r="A1543" s="397" t="s">
        <v>6965</v>
      </c>
      <c r="C1543" s="397" t="s">
        <v>1053</v>
      </c>
      <c r="D1543" s="397" t="s">
        <v>6964</v>
      </c>
      <c r="E1543" s="397" t="s">
        <v>491</v>
      </c>
      <c r="F1543" s="397" t="s">
        <v>191</v>
      </c>
      <c r="G1543" s="396">
        <v>10</v>
      </c>
      <c r="H1543" s="395">
        <v>8376.8510000000006</v>
      </c>
      <c r="I1543" s="394">
        <v>5850.33</v>
      </c>
      <c r="J1543" s="394">
        <v>11966.93</v>
      </c>
      <c r="K1543" s="393" t="s">
        <v>1033</v>
      </c>
    </row>
    <row r="1544" spans="1:11" hidden="1" x14ac:dyDescent="0.3">
      <c r="A1544" s="397" t="s">
        <v>3176</v>
      </c>
      <c r="C1544" s="397" t="s">
        <v>1053</v>
      </c>
      <c r="D1544" s="397" t="s">
        <v>3175</v>
      </c>
      <c r="E1544" s="397" t="s">
        <v>2629</v>
      </c>
      <c r="F1544" s="397" t="s">
        <v>191</v>
      </c>
      <c r="G1544" s="396">
        <v>6</v>
      </c>
      <c r="H1544" s="395">
        <v>1368.7660000000001</v>
      </c>
      <c r="I1544" s="394">
        <v>124.49000000000001</v>
      </c>
      <c r="J1544" s="394">
        <v>1955.38</v>
      </c>
      <c r="K1544" s="393" t="s">
        <v>1033</v>
      </c>
    </row>
    <row r="1545" spans="1:11" hidden="1" x14ac:dyDescent="0.3">
      <c r="A1545" s="397" t="s">
        <v>6352</v>
      </c>
      <c r="C1545" s="397" t="s">
        <v>1053</v>
      </c>
      <c r="D1545" s="397" t="s">
        <v>6351</v>
      </c>
      <c r="E1545" s="397" t="s">
        <v>6350</v>
      </c>
      <c r="F1545" s="397" t="s">
        <v>191</v>
      </c>
      <c r="G1545" s="396">
        <v>1</v>
      </c>
      <c r="H1545" s="395">
        <v>18724.734</v>
      </c>
      <c r="I1545" s="394">
        <v>1663.18</v>
      </c>
      <c r="J1545" s="394">
        <v>26749.62</v>
      </c>
      <c r="K1545" s="393" t="s">
        <v>1033</v>
      </c>
    </row>
    <row r="1546" spans="1:11" hidden="1" x14ac:dyDescent="0.3">
      <c r="A1546" s="397" t="s">
        <v>3039</v>
      </c>
      <c r="C1546" s="397" t="s">
        <v>1053</v>
      </c>
      <c r="D1546" s="397" t="s">
        <v>3038</v>
      </c>
      <c r="E1546" s="397" t="s">
        <v>3037</v>
      </c>
      <c r="F1546" s="397" t="s">
        <v>191</v>
      </c>
      <c r="G1546" s="396">
        <v>12</v>
      </c>
      <c r="H1546" s="395">
        <v>2628.0309999999999</v>
      </c>
      <c r="I1546" s="394">
        <v>1397.1000000000001</v>
      </c>
      <c r="J1546" s="394">
        <v>3754.33</v>
      </c>
      <c r="K1546" s="393" t="s">
        <v>1033</v>
      </c>
    </row>
    <row r="1547" spans="1:11" hidden="1" x14ac:dyDescent="0.3">
      <c r="A1547" s="397" t="s">
        <v>3266</v>
      </c>
      <c r="C1547" s="397" t="s">
        <v>1053</v>
      </c>
      <c r="D1547" s="397" t="s">
        <v>3265</v>
      </c>
      <c r="E1547" s="397" t="s">
        <v>3237</v>
      </c>
      <c r="F1547" s="397" t="s">
        <v>191</v>
      </c>
      <c r="G1547" s="396">
        <v>7</v>
      </c>
      <c r="H1547" s="395">
        <v>2463.7829999999999</v>
      </c>
      <c r="I1547" s="394">
        <v>1689.26</v>
      </c>
      <c r="J1547" s="394">
        <v>3519.69</v>
      </c>
      <c r="K1547" s="393" t="s">
        <v>1033</v>
      </c>
    </row>
    <row r="1548" spans="1:11" hidden="1" x14ac:dyDescent="0.3">
      <c r="A1548" s="397" t="s">
        <v>2068</v>
      </c>
      <c r="C1548" s="397" t="s">
        <v>1053</v>
      </c>
      <c r="D1548" s="397" t="s">
        <v>2067</v>
      </c>
      <c r="E1548" s="397" t="s">
        <v>2066</v>
      </c>
      <c r="F1548" s="397" t="s">
        <v>191</v>
      </c>
      <c r="G1548" s="396">
        <v>5</v>
      </c>
      <c r="H1548" s="395">
        <v>2244.7809999999999</v>
      </c>
      <c r="I1548" s="394">
        <v>359.03000000000003</v>
      </c>
      <c r="J1548" s="394">
        <v>3206.83</v>
      </c>
      <c r="K1548" s="393" t="s">
        <v>1033</v>
      </c>
    </row>
    <row r="1549" spans="1:11" hidden="1" x14ac:dyDescent="0.3">
      <c r="A1549" s="397" t="s">
        <v>4392</v>
      </c>
      <c r="C1549" s="397" t="s">
        <v>1053</v>
      </c>
      <c r="D1549" s="397" t="s">
        <v>4391</v>
      </c>
      <c r="E1549" s="397" t="s">
        <v>2099</v>
      </c>
      <c r="F1549" s="397" t="s">
        <v>191</v>
      </c>
      <c r="G1549" s="396">
        <v>1</v>
      </c>
      <c r="H1549" s="395">
        <v>8510.4670000000006</v>
      </c>
      <c r="I1549" s="394">
        <v>7973.67</v>
      </c>
      <c r="J1549" s="394">
        <v>12157.81</v>
      </c>
      <c r="K1549" s="393" t="s">
        <v>1033</v>
      </c>
    </row>
    <row r="1550" spans="1:11" hidden="1" x14ac:dyDescent="0.3">
      <c r="A1550" s="397" t="s">
        <v>3088</v>
      </c>
      <c r="C1550" s="397" t="s">
        <v>1053</v>
      </c>
      <c r="D1550" s="397" t="s">
        <v>3087</v>
      </c>
      <c r="E1550" s="397" t="s">
        <v>3086</v>
      </c>
      <c r="F1550" s="397" t="s">
        <v>191</v>
      </c>
      <c r="G1550" s="396">
        <v>10</v>
      </c>
      <c r="H1550" s="395">
        <v>1095.0170000000001</v>
      </c>
      <c r="I1550" s="394">
        <v>1058.93</v>
      </c>
      <c r="J1550" s="394">
        <v>1564.31</v>
      </c>
      <c r="K1550" s="393" t="s">
        <v>1033</v>
      </c>
    </row>
    <row r="1551" spans="1:11" hidden="1" x14ac:dyDescent="0.3">
      <c r="A1551" s="397" t="s">
        <v>3326</v>
      </c>
      <c r="C1551" s="397" t="s">
        <v>1053</v>
      </c>
      <c r="D1551" s="397" t="s">
        <v>3325</v>
      </c>
      <c r="E1551" s="397" t="s">
        <v>676</v>
      </c>
      <c r="F1551" s="397" t="s">
        <v>191</v>
      </c>
      <c r="G1551" s="396">
        <v>4</v>
      </c>
      <c r="H1551" s="395">
        <v>1423.52</v>
      </c>
      <c r="I1551" s="394">
        <v>1332.49</v>
      </c>
      <c r="J1551" s="394">
        <v>2033.6000000000001</v>
      </c>
      <c r="K1551" s="393" t="s">
        <v>1033</v>
      </c>
    </row>
    <row r="1552" spans="1:11" hidden="1" x14ac:dyDescent="0.3">
      <c r="A1552" s="397" t="s">
        <v>3305</v>
      </c>
      <c r="C1552" s="397" t="s">
        <v>1053</v>
      </c>
      <c r="D1552" s="397" t="s">
        <v>3304</v>
      </c>
      <c r="E1552" s="397" t="s">
        <v>3303</v>
      </c>
      <c r="F1552" s="397" t="s">
        <v>191</v>
      </c>
      <c r="G1552" s="396">
        <v>2</v>
      </c>
      <c r="H1552" s="395">
        <v>3230.29</v>
      </c>
      <c r="I1552" s="394">
        <v>592.1</v>
      </c>
      <c r="J1552" s="394">
        <v>4614.7</v>
      </c>
      <c r="K1552" s="393" t="s">
        <v>1033</v>
      </c>
    </row>
    <row r="1553" spans="1:11" hidden="1" x14ac:dyDescent="0.3">
      <c r="A1553" s="397" t="s">
        <v>2508</v>
      </c>
      <c r="C1553" s="397" t="s">
        <v>1053</v>
      </c>
      <c r="D1553" s="397" t="s">
        <v>2507</v>
      </c>
      <c r="E1553" s="397" t="s">
        <v>2500</v>
      </c>
      <c r="F1553" s="397" t="s">
        <v>191</v>
      </c>
      <c r="G1553" s="396">
        <v>5</v>
      </c>
      <c r="H1553" s="395">
        <v>3777.7950000000001</v>
      </c>
      <c r="I1553" s="394">
        <v>163.22</v>
      </c>
      <c r="J1553" s="394">
        <v>5396.85</v>
      </c>
      <c r="K1553" s="393" t="s">
        <v>1033</v>
      </c>
    </row>
    <row r="1554" spans="1:11" hidden="1" x14ac:dyDescent="0.3">
      <c r="A1554" s="397" t="s">
        <v>7995</v>
      </c>
      <c r="C1554" s="397" t="s">
        <v>1053</v>
      </c>
      <c r="D1554" s="397" t="s">
        <v>7994</v>
      </c>
      <c r="E1554" s="397" t="s">
        <v>7993</v>
      </c>
      <c r="F1554" s="397" t="s">
        <v>191</v>
      </c>
      <c r="G1554" s="396">
        <v>1</v>
      </c>
      <c r="H1554" s="395">
        <v>12714.429</v>
      </c>
      <c r="I1554" s="394">
        <v>1661.9</v>
      </c>
      <c r="J1554" s="394">
        <v>18163.47</v>
      </c>
      <c r="K1554" s="393" t="s">
        <v>1033</v>
      </c>
    </row>
    <row r="1555" spans="1:11" hidden="1" x14ac:dyDescent="0.3">
      <c r="A1555" s="397" t="s">
        <v>2283</v>
      </c>
      <c r="C1555" s="397" t="s">
        <v>1053</v>
      </c>
      <c r="D1555" s="397" t="s">
        <v>2282</v>
      </c>
      <c r="E1555" s="397" t="s">
        <v>2273</v>
      </c>
      <c r="F1555" s="397" t="s">
        <v>191</v>
      </c>
      <c r="G1555" s="396">
        <v>18</v>
      </c>
      <c r="H1555" s="395">
        <v>4967.1019999999999</v>
      </c>
      <c r="I1555" s="394">
        <v>3595.73</v>
      </c>
      <c r="J1555" s="394">
        <v>7095.8600000000006</v>
      </c>
      <c r="K1555" s="393" t="s">
        <v>1033</v>
      </c>
    </row>
    <row r="1556" spans="1:11" hidden="1" x14ac:dyDescent="0.3">
      <c r="A1556" s="397" t="s">
        <v>2071</v>
      </c>
      <c r="C1556" s="397" t="s">
        <v>1053</v>
      </c>
      <c r="D1556" s="397" t="s">
        <v>2070</v>
      </c>
      <c r="E1556" s="397" t="s">
        <v>2069</v>
      </c>
      <c r="F1556" s="397" t="s">
        <v>191</v>
      </c>
      <c r="G1556" s="396">
        <v>16</v>
      </c>
      <c r="H1556" s="395">
        <v>2409.029</v>
      </c>
      <c r="I1556" s="394">
        <v>1956.92</v>
      </c>
      <c r="J1556" s="394">
        <v>3441.4700000000003</v>
      </c>
      <c r="K1556" s="393" t="s">
        <v>1033</v>
      </c>
    </row>
    <row r="1557" spans="1:11" hidden="1" x14ac:dyDescent="0.3">
      <c r="A1557" s="397" t="s">
        <v>2434</v>
      </c>
      <c r="C1557" s="397" t="s">
        <v>1053</v>
      </c>
      <c r="D1557" s="397" t="s">
        <v>2433</v>
      </c>
      <c r="E1557" s="397" t="s">
        <v>2432</v>
      </c>
      <c r="F1557" s="397" t="s">
        <v>191</v>
      </c>
      <c r="G1557" s="396">
        <v>10</v>
      </c>
      <c r="H1557" s="395">
        <v>3858.078</v>
      </c>
      <c r="I1557" s="394">
        <v>16.559999999999999</v>
      </c>
      <c r="J1557" s="394">
        <v>5511.54</v>
      </c>
      <c r="K1557" s="393" t="s">
        <v>1033</v>
      </c>
    </row>
    <row r="1558" spans="1:11" hidden="1" x14ac:dyDescent="0.3">
      <c r="A1558" s="397" t="s">
        <v>3230</v>
      </c>
      <c r="C1558" s="397" t="s">
        <v>1053</v>
      </c>
      <c r="D1558" s="397" t="s">
        <v>3229</v>
      </c>
      <c r="E1558" s="397" t="s">
        <v>3228</v>
      </c>
      <c r="F1558" s="397" t="s">
        <v>191</v>
      </c>
      <c r="G1558" s="396">
        <v>4</v>
      </c>
      <c r="H1558" s="395">
        <v>1418.41</v>
      </c>
      <c r="I1558" s="394">
        <v>942.84</v>
      </c>
      <c r="J1558" s="394">
        <v>2026.3</v>
      </c>
      <c r="K1558" s="393" t="s">
        <v>1033</v>
      </c>
    </row>
    <row r="1559" spans="1:11" hidden="1" x14ac:dyDescent="0.3">
      <c r="A1559" s="397" t="s">
        <v>2101</v>
      </c>
      <c r="C1559" s="397" t="s">
        <v>1053</v>
      </c>
      <c r="D1559" s="397" t="s">
        <v>2100</v>
      </c>
      <c r="E1559" s="397" t="s">
        <v>2099</v>
      </c>
      <c r="F1559" s="397" t="s">
        <v>191</v>
      </c>
      <c r="G1559" s="396">
        <v>2</v>
      </c>
      <c r="H1559" s="395">
        <v>1642.5220000000002</v>
      </c>
      <c r="I1559" s="394">
        <v>1616.26</v>
      </c>
      <c r="J1559" s="394">
        <v>2346.46</v>
      </c>
      <c r="K1559" s="393" t="s">
        <v>1033</v>
      </c>
    </row>
    <row r="1560" spans="1:11" hidden="1" x14ac:dyDescent="0.3">
      <c r="A1560" s="397" t="s">
        <v>3283</v>
      </c>
      <c r="C1560" s="397" t="s">
        <v>1053</v>
      </c>
      <c r="D1560" s="397" t="s">
        <v>3282</v>
      </c>
      <c r="E1560" s="397" t="s">
        <v>3237</v>
      </c>
      <c r="F1560" s="397" t="s">
        <v>191</v>
      </c>
      <c r="G1560" s="396">
        <v>24</v>
      </c>
      <c r="H1560" s="395">
        <v>1423.52</v>
      </c>
      <c r="I1560" s="394">
        <v>1359.14</v>
      </c>
      <c r="J1560" s="394">
        <v>2033.6000000000001</v>
      </c>
      <c r="K1560" s="393" t="s">
        <v>1033</v>
      </c>
    </row>
    <row r="1561" spans="1:11" hidden="1" x14ac:dyDescent="0.3">
      <c r="A1561" s="397" t="s">
        <v>3420</v>
      </c>
      <c r="C1561" s="397" t="s">
        <v>1053</v>
      </c>
      <c r="D1561" s="397" t="s">
        <v>3419</v>
      </c>
      <c r="E1561" s="397" t="s">
        <v>3023</v>
      </c>
      <c r="F1561" s="397" t="s">
        <v>191</v>
      </c>
      <c r="G1561" s="396">
        <v>5</v>
      </c>
      <c r="H1561" s="395">
        <v>2893.5620000000004</v>
      </c>
      <c r="I1561" s="394">
        <v>2786.66</v>
      </c>
      <c r="J1561" s="394">
        <v>4133.66</v>
      </c>
      <c r="K1561" s="393" t="s">
        <v>1033</v>
      </c>
    </row>
    <row r="1562" spans="1:11" hidden="1" x14ac:dyDescent="0.3">
      <c r="A1562" s="397" t="s">
        <v>2281</v>
      </c>
      <c r="C1562" s="397" t="s">
        <v>1053</v>
      </c>
      <c r="D1562" s="397" t="s">
        <v>2280</v>
      </c>
      <c r="E1562" s="397" t="s">
        <v>2273</v>
      </c>
      <c r="F1562" s="397" t="s">
        <v>191</v>
      </c>
      <c r="G1562" s="396">
        <v>1</v>
      </c>
      <c r="H1562" s="395">
        <v>248.87099999999998</v>
      </c>
      <c r="I1562" s="394">
        <v>194.95000000000002</v>
      </c>
      <c r="J1562" s="394">
        <v>355.53000000000003</v>
      </c>
      <c r="K1562" s="393" t="s">
        <v>1033</v>
      </c>
    </row>
    <row r="1563" spans="1:11" hidden="1" x14ac:dyDescent="0.3">
      <c r="A1563" s="397" t="s">
        <v>8290</v>
      </c>
      <c r="C1563" s="397" t="s">
        <v>1053</v>
      </c>
      <c r="D1563" s="397" t="s">
        <v>8289</v>
      </c>
      <c r="E1563" s="397" t="s">
        <v>8288</v>
      </c>
      <c r="F1563" s="397" t="s">
        <v>191</v>
      </c>
      <c r="G1563" s="396">
        <v>21</v>
      </c>
      <c r="H1563" s="395">
        <v>3810.8</v>
      </c>
      <c r="I1563" s="394">
        <v>32.020000000000003</v>
      </c>
      <c r="J1563" s="394">
        <v>5444</v>
      </c>
      <c r="K1563" s="393" t="s">
        <v>1033</v>
      </c>
    </row>
    <row r="1564" spans="1:11" hidden="1" x14ac:dyDescent="0.3">
      <c r="A1564" s="397" t="s">
        <v>3320</v>
      </c>
      <c r="C1564" s="397" t="s">
        <v>1053</v>
      </c>
      <c r="D1564" s="397" t="s">
        <v>3319</v>
      </c>
      <c r="E1564" s="397" t="s">
        <v>676</v>
      </c>
      <c r="F1564" s="397" t="s">
        <v>191</v>
      </c>
      <c r="G1564" s="396">
        <v>8</v>
      </c>
      <c r="H1564" s="395">
        <v>1587.768</v>
      </c>
      <c r="I1564" s="394">
        <v>925.07</v>
      </c>
      <c r="J1564" s="394">
        <v>2268.2399999999998</v>
      </c>
      <c r="K1564" s="393" t="s">
        <v>1033</v>
      </c>
    </row>
    <row r="1565" spans="1:11" hidden="1" x14ac:dyDescent="0.3">
      <c r="A1565" s="397" t="s">
        <v>2293</v>
      </c>
      <c r="C1565" s="397" t="s">
        <v>1053</v>
      </c>
      <c r="D1565" s="397" t="s">
        <v>2292</v>
      </c>
      <c r="E1565" s="397" t="s">
        <v>2041</v>
      </c>
      <c r="F1565" s="397" t="s">
        <v>191</v>
      </c>
      <c r="G1565" s="396">
        <v>1</v>
      </c>
      <c r="H1565" s="395">
        <v>7030.898000000001</v>
      </c>
      <c r="I1565" s="394">
        <v>95.42</v>
      </c>
      <c r="J1565" s="394">
        <v>10044.14</v>
      </c>
      <c r="K1565" s="393" t="s">
        <v>1033</v>
      </c>
    </row>
    <row r="1566" spans="1:11" hidden="1" x14ac:dyDescent="0.3">
      <c r="A1566" s="397" t="s">
        <v>3219</v>
      </c>
      <c r="C1566" s="397" t="s">
        <v>1053</v>
      </c>
      <c r="D1566" s="397" t="s">
        <v>3218</v>
      </c>
      <c r="E1566" s="397" t="s">
        <v>602</v>
      </c>
      <c r="F1566" s="397" t="s">
        <v>191</v>
      </c>
      <c r="G1566" s="396">
        <v>2</v>
      </c>
      <c r="H1566" s="395">
        <v>1540.9590000000001</v>
      </c>
      <c r="I1566" s="394">
        <v>967.18000000000006</v>
      </c>
      <c r="J1566" s="394">
        <v>2201.37</v>
      </c>
      <c r="K1566" s="393" t="s">
        <v>1033</v>
      </c>
    </row>
    <row r="1567" spans="1:11" hidden="1" x14ac:dyDescent="0.3">
      <c r="A1567" s="397" t="s">
        <v>3103</v>
      </c>
      <c r="C1567" s="397" t="s">
        <v>1053</v>
      </c>
      <c r="D1567" s="397" t="s">
        <v>3102</v>
      </c>
      <c r="E1567" s="397" t="s">
        <v>2041</v>
      </c>
      <c r="F1567" s="397" t="s">
        <v>191</v>
      </c>
      <c r="G1567" s="396">
        <v>2</v>
      </c>
      <c r="H1567" s="395">
        <v>5639.3190000000004</v>
      </c>
      <c r="I1567" s="394">
        <v>502.69</v>
      </c>
      <c r="J1567" s="394">
        <v>8056.17</v>
      </c>
      <c r="K1567" s="393" t="s">
        <v>1033</v>
      </c>
    </row>
    <row r="1568" spans="1:11" hidden="1" x14ac:dyDescent="0.3">
      <c r="A1568" s="397" t="s">
        <v>3185</v>
      </c>
      <c r="C1568" s="397" t="s">
        <v>1053</v>
      </c>
      <c r="D1568" s="397" t="s">
        <v>3184</v>
      </c>
      <c r="E1568" s="397" t="s">
        <v>3183</v>
      </c>
      <c r="F1568" s="397" t="s">
        <v>191</v>
      </c>
      <c r="G1568" s="396">
        <v>9</v>
      </c>
      <c r="H1568" s="395">
        <v>1021.258</v>
      </c>
      <c r="I1568" s="394">
        <v>947.46</v>
      </c>
      <c r="J1568" s="394">
        <v>1458.94</v>
      </c>
      <c r="K1568" s="393" t="s">
        <v>1033</v>
      </c>
    </row>
    <row r="1569" spans="1:12" hidden="1" x14ac:dyDescent="0.3">
      <c r="A1569" s="397" t="s">
        <v>3182</v>
      </c>
      <c r="C1569" s="397" t="s">
        <v>1053</v>
      </c>
      <c r="D1569" s="397" t="s">
        <v>3181</v>
      </c>
      <c r="E1569" s="397" t="s">
        <v>602</v>
      </c>
      <c r="F1569" s="397" t="s">
        <v>191</v>
      </c>
      <c r="G1569" s="396">
        <v>15</v>
      </c>
      <c r="H1569" s="395">
        <v>1095.0170000000001</v>
      </c>
      <c r="I1569" s="394">
        <v>977.25</v>
      </c>
      <c r="J1569" s="394">
        <v>1564.31</v>
      </c>
      <c r="K1569" s="393" t="s">
        <v>1033</v>
      </c>
    </row>
    <row r="1570" spans="1:12" hidden="1" x14ac:dyDescent="0.3">
      <c r="A1570" s="397" t="s">
        <v>3213</v>
      </c>
      <c r="C1570" s="397" t="s">
        <v>1053</v>
      </c>
      <c r="D1570" s="397" t="s">
        <v>3212</v>
      </c>
      <c r="E1570" s="397" t="s">
        <v>602</v>
      </c>
      <c r="F1570" s="397" t="s">
        <v>191</v>
      </c>
      <c r="G1570" s="396">
        <v>6</v>
      </c>
      <c r="H1570" s="395">
        <v>1697.269</v>
      </c>
      <c r="I1570" s="394">
        <v>17.399999999999999</v>
      </c>
      <c r="J1570" s="394">
        <v>2424.67</v>
      </c>
      <c r="K1570" s="393" t="s">
        <v>1033</v>
      </c>
    </row>
    <row r="1571" spans="1:12" hidden="1" x14ac:dyDescent="0.3">
      <c r="A1571" s="397" t="s">
        <v>3215</v>
      </c>
      <c r="C1571" s="397" t="s">
        <v>1053</v>
      </c>
      <c r="D1571" s="397" t="s">
        <v>3214</v>
      </c>
      <c r="E1571" s="397" t="s">
        <v>602</v>
      </c>
      <c r="F1571" s="397" t="s">
        <v>191</v>
      </c>
      <c r="G1571" s="396">
        <v>36</v>
      </c>
      <c r="H1571" s="395">
        <v>3247.0269999999996</v>
      </c>
      <c r="I1571" s="394">
        <v>3135.55</v>
      </c>
      <c r="J1571" s="394">
        <v>4638.6099999999997</v>
      </c>
      <c r="K1571" s="393" t="s">
        <v>1033</v>
      </c>
    </row>
    <row r="1572" spans="1:12" hidden="1" x14ac:dyDescent="0.3">
      <c r="A1572" s="397" t="s">
        <v>3272</v>
      </c>
      <c r="C1572" s="397" t="s">
        <v>1053</v>
      </c>
      <c r="D1572" s="397" t="s">
        <v>3271</v>
      </c>
      <c r="E1572" s="397" t="s">
        <v>2099</v>
      </c>
      <c r="F1572" s="397" t="s">
        <v>191</v>
      </c>
      <c r="G1572" s="396">
        <v>3</v>
      </c>
      <c r="H1572" s="395">
        <v>1697.269</v>
      </c>
      <c r="I1572" s="394">
        <v>1250.69</v>
      </c>
      <c r="J1572" s="394">
        <v>2424.67</v>
      </c>
      <c r="K1572" s="393" t="s">
        <v>1033</v>
      </c>
      <c r="L1572" s="395">
        <v>2</v>
      </c>
    </row>
    <row r="1573" spans="1:12" hidden="1" x14ac:dyDescent="0.3">
      <c r="A1573" s="397" t="s">
        <v>3211</v>
      </c>
      <c r="C1573" s="397" t="s">
        <v>1053</v>
      </c>
      <c r="D1573" s="397" t="s">
        <v>3210</v>
      </c>
      <c r="E1573" s="397" t="s">
        <v>676</v>
      </c>
      <c r="F1573" s="397" t="s">
        <v>191</v>
      </c>
      <c r="G1573" s="396">
        <v>8</v>
      </c>
      <c r="H1573" s="395">
        <v>1697.269</v>
      </c>
      <c r="I1573" s="394">
        <v>1598.99</v>
      </c>
      <c r="J1573" s="394">
        <v>2424.67</v>
      </c>
      <c r="K1573" s="393" t="s">
        <v>1033</v>
      </c>
    </row>
    <row r="1574" spans="1:12" hidden="1" x14ac:dyDescent="0.3">
      <c r="A1574" s="397" t="s">
        <v>3095</v>
      </c>
      <c r="C1574" s="397" t="s">
        <v>1053</v>
      </c>
      <c r="D1574" s="397" t="s">
        <v>3094</v>
      </c>
      <c r="E1574" s="397" t="s">
        <v>2041</v>
      </c>
      <c r="F1574" s="397" t="s">
        <v>191</v>
      </c>
      <c r="G1574" s="396">
        <v>6</v>
      </c>
      <c r="H1574" s="395">
        <v>2792.2859999999996</v>
      </c>
      <c r="I1574" s="394">
        <v>23.68</v>
      </c>
      <c r="J1574" s="394">
        <v>3988.98</v>
      </c>
      <c r="K1574" s="393" t="s">
        <v>1033</v>
      </c>
    </row>
    <row r="1575" spans="1:12" hidden="1" x14ac:dyDescent="0.3">
      <c r="A1575" s="397" t="s">
        <v>2082</v>
      </c>
      <c r="C1575" s="397" t="s">
        <v>1053</v>
      </c>
      <c r="D1575" s="397" t="s">
        <v>2081</v>
      </c>
      <c r="E1575" s="397" t="s">
        <v>676</v>
      </c>
      <c r="F1575" s="397" t="s">
        <v>191</v>
      </c>
      <c r="G1575" s="396">
        <v>2</v>
      </c>
      <c r="H1575" s="395">
        <v>1423.52</v>
      </c>
      <c r="I1575" s="394">
        <v>232.88</v>
      </c>
      <c r="J1575" s="394">
        <v>2033.6000000000001</v>
      </c>
      <c r="K1575" s="393" t="s">
        <v>1033</v>
      </c>
    </row>
    <row r="1576" spans="1:12" hidden="1" x14ac:dyDescent="0.3">
      <c r="A1576" s="397" t="s">
        <v>5767</v>
      </c>
      <c r="C1576" s="397" t="s">
        <v>1053</v>
      </c>
      <c r="D1576" s="397" t="s">
        <v>5766</v>
      </c>
      <c r="E1576" s="397" t="s">
        <v>5765</v>
      </c>
      <c r="F1576" s="397" t="s">
        <v>191</v>
      </c>
      <c r="G1576" s="396">
        <v>18</v>
      </c>
      <c r="H1576" s="395">
        <v>2816.2540000000004</v>
      </c>
      <c r="I1576" s="394">
        <v>2638.34</v>
      </c>
      <c r="J1576" s="394">
        <v>4023.2200000000003</v>
      </c>
      <c r="K1576" s="393" t="s">
        <v>1033</v>
      </c>
    </row>
    <row r="1577" spans="1:12" hidden="1" x14ac:dyDescent="0.3">
      <c r="A1577" s="397" t="s">
        <v>3139</v>
      </c>
      <c r="C1577" s="397" t="s">
        <v>1053</v>
      </c>
      <c r="D1577" s="397" t="s">
        <v>3138</v>
      </c>
      <c r="E1577" s="397" t="s">
        <v>2041</v>
      </c>
      <c r="F1577" s="397" t="s">
        <v>191</v>
      </c>
      <c r="G1577" s="396">
        <v>4</v>
      </c>
      <c r="H1577" s="395">
        <v>5037.0600000000004</v>
      </c>
      <c r="I1577" s="394">
        <v>5015.99</v>
      </c>
      <c r="J1577" s="394">
        <v>7195.8</v>
      </c>
      <c r="K1577" s="393" t="s">
        <v>1033</v>
      </c>
    </row>
    <row r="1578" spans="1:12" hidden="1" x14ac:dyDescent="0.3">
      <c r="A1578" s="397" t="s">
        <v>4190</v>
      </c>
      <c r="C1578" s="397" t="s">
        <v>1053</v>
      </c>
      <c r="D1578" s="397" t="s">
        <v>4189</v>
      </c>
      <c r="E1578" s="397" t="s">
        <v>602</v>
      </c>
      <c r="F1578" s="397" t="s">
        <v>191</v>
      </c>
      <c r="G1578" s="396">
        <v>2</v>
      </c>
      <c r="H1578" s="395">
        <v>1815.569</v>
      </c>
      <c r="I1578" s="394">
        <v>5.94</v>
      </c>
      <c r="J1578" s="394">
        <v>2593.67</v>
      </c>
      <c r="K1578" s="393" t="s">
        <v>1033</v>
      </c>
    </row>
    <row r="1579" spans="1:12" hidden="1" x14ac:dyDescent="0.3">
      <c r="A1579" s="397" t="s">
        <v>2074</v>
      </c>
      <c r="C1579" s="397" t="s">
        <v>1053</v>
      </c>
      <c r="D1579" s="397" t="s">
        <v>2073</v>
      </c>
      <c r="E1579" s="397" t="s">
        <v>2072</v>
      </c>
      <c r="F1579" s="397" t="s">
        <v>191</v>
      </c>
      <c r="G1579" s="396">
        <v>1</v>
      </c>
      <c r="H1579" s="395">
        <v>1418.41</v>
      </c>
      <c r="I1579" s="394">
        <v>180.01</v>
      </c>
      <c r="J1579" s="394">
        <v>2026.3</v>
      </c>
      <c r="K1579" s="393" t="s">
        <v>1033</v>
      </c>
    </row>
    <row r="1580" spans="1:12" hidden="1" x14ac:dyDescent="0.3">
      <c r="A1580" s="397" t="s">
        <v>6081</v>
      </c>
      <c r="C1580" s="397" t="s">
        <v>1053</v>
      </c>
      <c r="D1580" s="397" t="s">
        <v>6080</v>
      </c>
      <c r="E1580" s="397" t="s">
        <v>6079</v>
      </c>
      <c r="F1580" s="397" t="s">
        <v>191</v>
      </c>
      <c r="G1580" s="396">
        <v>6</v>
      </c>
      <c r="H1580" s="395">
        <v>8849.8410000000003</v>
      </c>
      <c r="I1580" s="394">
        <v>8830.6200000000008</v>
      </c>
      <c r="J1580" s="394">
        <v>12642.630000000001</v>
      </c>
      <c r="K1580" s="393" t="s">
        <v>1033</v>
      </c>
    </row>
    <row r="1581" spans="1:12" hidden="1" x14ac:dyDescent="0.3">
      <c r="A1581" s="397" t="s">
        <v>2093</v>
      </c>
      <c r="C1581" s="397" t="s">
        <v>1053</v>
      </c>
      <c r="D1581" s="397" t="s">
        <v>2092</v>
      </c>
      <c r="E1581" s="397" t="s">
        <v>676</v>
      </c>
      <c r="F1581" s="397" t="s">
        <v>191</v>
      </c>
      <c r="G1581" s="396">
        <v>8</v>
      </c>
      <c r="H1581" s="395">
        <v>3347.4490000000005</v>
      </c>
      <c r="I1581" s="394">
        <v>371.55</v>
      </c>
      <c r="J1581" s="394">
        <v>4782.07</v>
      </c>
      <c r="K1581" s="393" t="s">
        <v>1033</v>
      </c>
    </row>
    <row r="1582" spans="1:12" hidden="1" x14ac:dyDescent="0.3">
      <c r="A1582" s="397" t="s">
        <v>3187</v>
      </c>
      <c r="C1582" s="397" t="s">
        <v>1053</v>
      </c>
      <c r="D1582" s="397" t="s">
        <v>3186</v>
      </c>
      <c r="E1582" s="397" t="s">
        <v>602</v>
      </c>
      <c r="F1582" s="397" t="s">
        <v>191</v>
      </c>
      <c r="G1582" s="396">
        <v>23</v>
      </c>
      <c r="H1582" s="395">
        <v>1423.52</v>
      </c>
      <c r="I1582" s="394">
        <v>1097.3900000000001</v>
      </c>
      <c r="J1582" s="394">
        <v>2033.6000000000001</v>
      </c>
      <c r="K1582" s="393" t="s">
        <v>1033</v>
      </c>
    </row>
    <row r="1583" spans="1:12" hidden="1" x14ac:dyDescent="0.3">
      <c r="A1583" s="397" t="s">
        <v>3122</v>
      </c>
      <c r="C1583" s="397" t="s">
        <v>1053</v>
      </c>
      <c r="D1583" s="397" t="s">
        <v>3121</v>
      </c>
      <c r="E1583" s="397" t="s">
        <v>2041</v>
      </c>
      <c r="F1583" s="397" t="s">
        <v>191</v>
      </c>
      <c r="G1583" s="396">
        <v>6</v>
      </c>
      <c r="H1583" s="395">
        <v>1697.269</v>
      </c>
      <c r="I1583" s="394">
        <v>1302.49</v>
      </c>
      <c r="J1583" s="394">
        <v>2424.67</v>
      </c>
      <c r="K1583" s="393" t="s">
        <v>1033</v>
      </c>
    </row>
    <row r="1584" spans="1:12" hidden="1" x14ac:dyDescent="0.3">
      <c r="A1584" s="397" t="s">
        <v>3189</v>
      </c>
      <c r="C1584" s="397" t="s">
        <v>1053</v>
      </c>
      <c r="D1584" s="397" t="s">
        <v>3188</v>
      </c>
      <c r="E1584" s="397" t="s">
        <v>602</v>
      </c>
      <c r="F1584" s="397" t="s">
        <v>191</v>
      </c>
      <c r="G1584" s="396">
        <v>7</v>
      </c>
      <c r="H1584" s="395">
        <v>1423.52</v>
      </c>
      <c r="I1584" s="394">
        <v>1279.2</v>
      </c>
      <c r="J1584" s="394">
        <v>2033.6000000000001</v>
      </c>
      <c r="K1584" s="393" t="s">
        <v>1033</v>
      </c>
      <c r="L1584" s="395">
        <v>4</v>
      </c>
    </row>
    <row r="1585" spans="1:12" hidden="1" x14ac:dyDescent="0.3">
      <c r="A1585" s="397" t="s">
        <v>2724</v>
      </c>
      <c r="C1585" s="397" t="s">
        <v>1053</v>
      </c>
      <c r="D1585" s="397" t="s">
        <v>2723</v>
      </c>
      <c r="E1585" s="397" t="s">
        <v>2718</v>
      </c>
      <c r="F1585" s="397" t="s">
        <v>191</v>
      </c>
      <c r="G1585" s="396">
        <v>6</v>
      </c>
      <c r="H1585" s="395">
        <v>5256.0690000000004</v>
      </c>
      <c r="I1585" s="394">
        <v>1196.53</v>
      </c>
      <c r="J1585" s="394">
        <v>7508.67</v>
      </c>
      <c r="K1585" s="393" t="s">
        <v>1033</v>
      </c>
      <c r="L1585" s="395">
        <v>2</v>
      </c>
    </row>
    <row r="1586" spans="1:12" hidden="1" x14ac:dyDescent="0.3">
      <c r="A1586" s="397" t="s">
        <v>3217</v>
      </c>
      <c r="C1586" s="397" t="s">
        <v>1053</v>
      </c>
      <c r="D1586" s="397" t="s">
        <v>3216</v>
      </c>
      <c r="E1586" s="397" t="s">
        <v>3183</v>
      </c>
      <c r="F1586" s="397" t="s">
        <v>191</v>
      </c>
      <c r="G1586" s="396">
        <v>9</v>
      </c>
      <c r="H1586" s="395">
        <v>1368.7660000000001</v>
      </c>
      <c r="I1586" s="394">
        <v>117.65</v>
      </c>
      <c r="J1586" s="394">
        <v>1955.38</v>
      </c>
      <c r="K1586" s="393" t="s">
        <v>1033</v>
      </c>
    </row>
    <row r="1587" spans="1:12" hidden="1" x14ac:dyDescent="0.3">
      <c r="A1587" s="397" t="s">
        <v>3224</v>
      </c>
      <c r="C1587" s="397" t="s">
        <v>1053</v>
      </c>
      <c r="D1587" s="397" t="s">
        <v>3223</v>
      </c>
      <c r="E1587" s="397" t="s">
        <v>3222</v>
      </c>
      <c r="F1587" s="397" t="s">
        <v>191</v>
      </c>
      <c r="G1587" s="396">
        <v>1</v>
      </c>
      <c r="H1587" s="395">
        <v>2135.2800000000002</v>
      </c>
      <c r="I1587" s="394">
        <v>1542.51</v>
      </c>
      <c r="J1587" s="394">
        <v>3050.4</v>
      </c>
      <c r="K1587" s="393" t="s">
        <v>1033</v>
      </c>
    </row>
    <row r="1588" spans="1:12" hidden="1" x14ac:dyDescent="0.3">
      <c r="A1588" s="397" t="s">
        <v>2728</v>
      </c>
      <c r="C1588" s="397" t="s">
        <v>1053</v>
      </c>
      <c r="D1588" s="397" t="s">
        <v>2727</v>
      </c>
      <c r="E1588" s="397" t="s">
        <v>2718</v>
      </c>
      <c r="F1588" s="397" t="s">
        <v>191</v>
      </c>
      <c r="G1588" s="396">
        <v>3</v>
      </c>
      <c r="H1588" s="395">
        <v>3832.5490000000004</v>
      </c>
      <c r="I1588" s="394">
        <v>3845.59</v>
      </c>
      <c r="J1588" s="394">
        <v>5475.07</v>
      </c>
      <c r="K1588" s="393" t="s">
        <v>1033</v>
      </c>
    </row>
    <row r="1589" spans="1:12" hidden="1" x14ac:dyDescent="0.3">
      <c r="A1589" s="397" t="s">
        <v>3197</v>
      </c>
      <c r="C1589" s="397" t="s">
        <v>1053</v>
      </c>
      <c r="D1589" s="397" t="s">
        <v>3196</v>
      </c>
      <c r="E1589" s="397" t="s">
        <v>602</v>
      </c>
      <c r="F1589" s="397" t="s">
        <v>191</v>
      </c>
      <c r="G1589" s="396">
        <v>41</v>
      </c>
      <c r="H1589" s="395">
        <v>1423.52</v>
      </c>
      <c r="I1589" s="394">
        <v>1372.74</v>
      </c>
      <c r="J1589" s="394">
        <v>2033.6000000000001</v>
      </c>
      <c r="K1589" s="393" t="s">
        <v>1033</v>
      </c>
    </row>
    <row r="1590" spans="1:12" hidden="1" x14ac:dyDescent="0.3">
      <c r="A1590" s="397" t="s">
        <v>2085</v>
      </c>
      <c r="C1590" s="397" t="s">
        <v>1053</v>
      </c>
      <c r="D1590" s="397" t="s">
        <v>3199</v>
      </c>
      <c r="E1590" s="397" t="s">
        <v>3198</v>
      </c>
      <c r="F1590" s="397" t="s">
        <v>191</v>
      </c>
      <c r="G1590" s="396">
        <v>12</v>
      </c>
      <c r="H1590" s="395">
        <v>1540.9590000000001</v>
      </c>
      <c r="I1590" s="394">
        <v>1459.65</v>
      </c>
      <c r="J1590" s="394">
        <v>2201.37</v>
      </c>
      <c r="K1590" s="393" t="s">
        <v>1033</v>
      </c>
    </row>
    <row r="1591" spans="1:12" hidden="1" x14ac:dyDescent="0.3">
      <c r="A1591" s="397" t="s">
        <v>2085</v>
      </c>
      <c r="C1591" s="397" t="s">
        <v>1053</v>
      </c>
      <c r="D1591" s="397" t="s">
        <v>2084</v>
      </c>
      <c r="E1591" s="397" t="s">
        <v>2083</v>
      </c>
      <c r="F1591" s="397" t="s">
        <v>191</v>
      </c>
      <c r="G1591" s="396">
        <v>8</v>
      </c>
      <c r="H1591" s="395">
        <v>1645.3570000000002</v>
      </c>
      <c r="I1591" s="394">
        <v>1616.26</v>
      </c>
      <c r="J1591" s="394">
        <v>2350.5100000000002</v>
      </c>
      <c r="K1591" s="393" t="s">
        <v>1033</v>
      </c>
    </row>
    <row r="1592" spans="1:12" hidden="1" x14ac:dyDescent="0.3">
      <c r="A1592" s="397" t="s">
        <v>3294</v>
      </c>
      <c r="C1592" s="397" t="s">
        <v>1053</v>
      </c>
      <c r="D1592" s="397" t="s">
        <v>3293</v>
      </c>
      <c r="E1592" s="397" t="s">
        <v>3292</v>
      </c>
      <c r="F1592" s="397" t="s">
        <v>191</v>
      </c>
      <c r="G1592" s="396">
        <v>10</v>
      </c>
      <c r="H1592" s="395">
        <v>3347.4490000000005</v>
      </c>
      <c r="I1592" s="394">
        <v>176.6</v>
      </c>
      <c r="J1592" s="394">
        <v>4782.07</v>
      </c>
      <c r="K1592" s="393" t="s">
        <v>1033</v>
      </c>
    </row>
    <row r="1593" spans="1:12" hidden="1" x14ac:dyDescent="0.3">
      <c r="A1593" s="397" t="s">
        <v>3209</v>
      </c>
      <c r="C1593" s="397" t="s">
        <v>1053</v>
      </c>
      <c r="D1593" s="397" t="s">
        <v>3208</v>
      </c>
      <c r="E1593" s="397" t="s">
        <v>602</v>
      </c>
      <c r="F1593" s="397" t="s">
        <v>191</v>
      </c>
      <c r="G1593" s="396">
        <v>2</v>
      </c>
      <c r="H1593" s="395">
        <v>1702.0920000000001</v>
      </c>
      <c r="I1593" s="394">
        <v>11.52</v>
      </c>
      <c r="J1593" s="394">
        <v>2431.56</v>
      </c>
      <c r="K1593" s="393" t="s">
        <v>1033</v>
      </c>
    </row>
    <row r="1594" spans="1:12" hidden="1" x14ac:dyDescent="0.3">
      <c r="A1594" s="397" t="s">
        <v>2668</v>
      </c>
      <c r="C1594" s="397" t="s">
        <v>1053</v>
      </c>
      <c r="D1594" s="397" t="s">
        <v>2667</v>
      </c>
      <c r="E1594" s="397" t="s">
        <v>596</v>
      </c>
      <c r="F1594" s="397" t="s">
        <v>191</v>
      </c>
      <c r="G1594" s="396">
        <v>3</v>
      </c>
      <c r="H1594" s="395">
        <v>1929.039</v>
      </c>
      <c r="I1594" s="394">
        <v>14.18</v>
      </c>
      <c r="J1594" s="394">
        <v>2755.77</v>
      </c>
      <c r="K1594" s="393" t="s">
        <v>1033</v>
      </c>
    </row>
    <row r="1595" spans="1:12" hidden="1" x14ac:dyDescent="0.3">
      <c r="A1595" s="397" t="s">
        <v>3332</v>
      </c>
      <c r="C1595" s="397" t="s">
        <v>1053</v>
      </c>
      <c r="D1595" s="397" t="s">
        <v>3331</v>
      </c>
      <c r="E1595" s="397" t="s">
        <v>676</v>
      </c>
      <c r="F1595" s="397" t="s">
        <v>191</v>
      </c>
      <c r="G1595" s="396">
        <v>3</v>
      </c>
      <c r="H1595" s="395">
        <v>2042.5160000000001</v>
      </c>
      <c r="I1595" s="394">
        <v>1130.98</v>
      </c>
      <c r="J1595" s="394">
        <v>2917.88</v>
      </c>
      <c r="K1595" s="393" t="s">
        <v>1033</v>
      </c>
    </row>
    <row r="1596" spans="1:12" hidden="1" x14ac:dyDescent="0.3">
      <c r="A1596" s="397" t="s">
        <v>3162</v>
      </c>
      <c r="C1596" s="397" t="s">
        <v>1053</v>
      </c>
      <c r="D1596" s="397" t="s">
        <v>3161</v>
      </c>
      <c r="E1596" s="397" t="s">
        <v>3160</v>
      </c>
      <c r="F1596" s="397" t="s">
        <v>191</v>
      </c>
      <c r="G1596" s="396">
        <v>2</v>
      </c>
      <c r="H1596" s="395">
        <v>1423.52</v>
      </c>
      <c r="I1596" s="394">
        <v>1372.74</v>
      </c>
      <c r="J1596" s="394">
        <v>2033.6000000000001</v>
      </c>
      <c r="K1596" s="393" t="s">
        <v>1033</v>
      </c>
    </row>
    <row r="1597" spans="1:12" hidden="1" x14ac:dyDescent="0.3">
      <c r="A1597" s="397" t="s">
        <v>3232</v>
      </c>
      <c r="C1597" s="397" t="s">
        <v>1053</v>
      </c>
      <c r="D1597" s="397" t="s">
        <v>3231</v>
      </c>
      <c r="E1597" s="397" t="s">
        <v>602</v>
      </c>
      <c r="F1597" s="397" t="s">
        <v>191</v>
      </c>
      <c r="G1597" s="396">
        <v>6</v>
      </c>
      <c r="H1597" s="395">
        <v>1095.0170000000001</v>
      </c>
      <c r="I1597" s="394">
        <v>3.2600000000000002</v>
      </c>
      <c r="J1597" s="394">
        <v>1564.31</v>
      </c>
      <c r="K1597" s="393" t="s">
        <v>1033</v>
      </c>
    </row>
    <row r="1598" spans="1:12" hidden="1" x14ac:dyDescent="0.3">
      <c r="A1598" s="397" t="s">
        <v>3192</v>
      </c>
      <c r="C1598" s="397" t="s">
        <v>1053</v>
      </c>
      <c r="D1598" s="397" t="s">
        <v>3191</v>
      </c>
      <c r="E1598" s="397" t="s">
        <v>3190</v>
      </c>
      <c r="F1598" s="397" t="s">
        <v>191</v>
      </c>
      <c r="G1598" s="396">
        <v>1</v>
      </c>
      <c r="H1598" s="395">
        <v>1872.3040000000001</v>
      </c>
      <c r="I1598" s="394">
        <v>3.37</v>
      </c>
      <c r="J1598" s="394">
        <v>2674.7200000000003</v>
      </c>
      <c r="K1598" s="393" t="s">
        <v>1033</v>
      </c>
    </row>
    <row r="1599" spans="1:12" hidden="1" x14ac:dyDescent="0.3">
      <c r="A1599" s="397" t="s">
        <v>3254</v>
      </c>
      <c r="C1599" s="397" t="s">
        <v>1053</v>
      </c>
      <c r="D1599" s="397" t="s">
        <v>3253</v>
      </c>
      <c r="E1599" s="397" t="s">
        <v>3252</v>
      </c>
      <c r="F1599" s="397" t="s">
        <v>191</v>
      </c>
      <c r="G1599" s="396">
        <v>2</v>
      </c>
      <c r="H1599" s="395">
        <v>7092.0569999999998</v>
      </c>
      <c r="I1599" s="394">
        <v>1412.49</v>
      </c>
      <c r="J1599" s="394">
        <v>10131.51</v>
      </c>
      <c r="K1599" s="393" t="s">
        <v>1033</v>
      </c>
    </row>
    <row r="1600" spans="1:12" hidden="1" x14ac:dyDescent="0.3">
      <c r="A1600" s="397" t="s">
        <v>4845</v>
      </c>
      <c r="C1600" s="397" t="s">
        <v>1053</v>
      </c>
      <c r="D1600" s="397" t="s">
        <v>4844</v>
      </c>
      <c r="E1600" s="397" t="s">
        <v>4843</v>
      </c>
      <c r="F1600" s="397" t="s">
        <v>191</v>
      </c>
      <c r="G1600" s="396">
        <v>8</v>
      </c>
      <c r="H1600" s="395">
        <v>5520.6969999999992</v>
      </c>
      <c r="I1600" s="394">
        <v>4902.3999999999996</v>
      </c>
      <c r="J1600" s="394">
        <v>7886.71</v>
      </c>
      <c r="K1600" s="393" t="s">
        <v>1033</v>
      </c>
    </row>
    <row r="1601" spans="1:12" hidden="1" x14ac:dyDescent="0.3">
      <c r="A1601" s="397" t="s">
        <v>3221</v>
      </c>
      <c r="C1601" s="397" t="s">
        <v>1053</v>
      </c>
      <c r="D1601" s="397" t="s">
        <v>3220</v>
      </c>
      <c r="E1601" s="397" t="s">
        <v>676</v>
      </c>
      <c r="F1601" s="397" t="s">
        <v>191</v>
      </c>
      <c r="G1601" s="396">
        <v>5</v>
      </c>
      <c r="H1601" s="395">
        <v>1533.0210000000002</v>
      </c>
      <c r="I1601" s="394">
        <v>10.82</v>
      </c>
      <c r="J1601" s="394">
        <v>2190.0300000000002</v>
      </c>
      <c r="K1601" s="393" t="s">
        <v>1033</v>
      </c>
    </row>
    <row r="1602" spans="1:12" hidden="1" x14ac:dyDescent="0.3">
      <c r="A1602" s="397" t="s">
        <v>3207</v>
      </c>
      <c r="C1602" s="397" t="s">
        <v>1053</v>
      </c>
      <c r="D1602" s="397" t="s">
        <v>3206</v>
      </c>
      <c r="E1602" s="397" t="s">
        <v>3198</v>
      </c>
      <c r="F1602" s="397" t="s">
        <v>191</v>
      </c>
      <c r="G1602" s="396">
        <v>1</v>
      </c>
      <c r="H1602" s="395">
        <v>2190.027</v>
      </c>
      <c r="I1602" s="394">
        <v>7.19</v>
      </c>
      <c r="J1602" s="394">
        <v>3128.61</v>
      </c>
      <c r="K1602" s="393" t="s">
        <v>1033</v>
      </c>
    </row>
    <row r="1603" spans="1:12" hidden="1" x14ac:dyDescent="0.3">
      <c r="A1603" s="397" t="s">
        <v>3174</v>
      </c>
      <c r="C1603" s="397" t="s">
        <v>1053</v>
      </c>
      <c r="D1603" s="397" t="s">
        <v>3173</v>
      </c>
      <c r="E1603" s="397" t="s">
        <v>602</v>
      </c>
      <c r="F1603" s="397" t="s">
        <v>191</v>
      </c>
      <c r="G1603" s="396">
        <v>12</v>
      </c>
      <c r="H1603" s="395">
        <v>1334.4449999999999</v>
      </c>
      <c r="I1603" s="394">
        <v>308.08999999999997</v>
      </c>
      <c r="J1603" s="394">
        <v>1906.3500000000001</v>
      </c>
      <c r="K1603" s="393" t="s">
        <v>1033</v>
      </c>
    </row>
    <row r="1604" spans="1:12" hidden="1" x14ac:dyDescent="0.3">
      <c r="A1604" s="397" t="s">
        <v>2278</v>
      </c>
      <c r="C1604" s="397" t="s">
        <v>1053</v>
      </c>
      <c r="D1604" s="397" t="s">
        <v>2277</v>
      </c>
      <c r="E1604" s="397" t="s">
        <v>2276</v>
      </c>
      <c r="F1604" s="397" t="s">
        <v>191</v>
      </c>
      <c r="G1604" s="396">
        <v>5</v>
      </c>
      <c r="H1604" s="395">
        <v>4929.7709999999997</v>
      </c>
      <c r="I1604" s="394">
        <v>185.68</v>
      </c>
      <c r="J1604" s="394">
        <v>7042.53</v>
      </c>
      <c r="K1604" s="393" t="s">
        <v>1033</v>
      </c>
    </row>
    <row r="1605" spans="1:12" hidden="1" x14ac:dyDescent="0.3">
      <c r="A1605" s="397" t="s">
        <v>2735</v>
      </c>
      <c r="C1605" s="397" t="s">
        <v>1053</v>
      </c>
      <c r="D1605" s="397" t="s">
        <v>2734</v>
      </c>
      <c r="E1605" s="397" t="s">
        <v>2718</v>
      </c>
      <c r="F1605" s="397" t="s">
        <v>191</v>
      </c>
      <c r="G1605" s="396">
        <v>5</v>
      </c>
      <c r="H1605" s="395">
        <v>2847.0329999999999</v>
      </c>
      <c r="I1605" s="394">
        <v>2800.39</v>
      </c>
      <c r="J1605" s="394">
        <v>4067.19</v>
      </c>
      <c r="K1605" s="393" t="s">
        <v>1033</v>
      </c>
    </row>
    <row r="1606" spans="1:12" hidden="1" x14ac:dyDescent="0.3">
      <c r="A1606" s="397" t="s">
        <v>2300</v>
      </c>
      <c r="C1606" s="397" t="s">
        <v>1053</v>
      </c>
      <c r="D1606" s="397" t="s">
        <v>2299</v>
      </c>
      <c r="E1606" s="397" t="s">
        <v>2041</v>
      </c>
      <c r="F1606" s="397" t="s">
        <v>191</v>
      </c>
      <c r="G1606" s="396">
        <v>7</v>
      </c>
      <c r="H1606" s="395">
        <v>2833.348</v>
      </c>
      <c r="I1606" s="394">
        <v>2181.7600000000002</v>
      </c>
      <c r="J1606" s="394">
        <v>4047.64</v>
      </c>
      <c r="K1606" s="393" t="s">
        <v>1033</v>
      </c>
    </row>
    <row r="1607" spans="1:12" hidden="1" x14ac:dyDescent="0.3">
      <c r="A1607" s="397" t="s">
        <v>3034</v>
      </c>
      <c r="C1607" s="397" t="s">
        <v>1053</v>
      </c>
      <c r="D1607" s="397" t="s">
        <v>3033</v>
      </c>
      <c r="E1607" s="397" t="s">
        <v>2035</v>
      </c>
      <c r="F1607" s="397" t="s">
        <v>191</v>
      </c>
      <c r="G1607" s="396">
        <v>4</v>
      </c>
      <c r="H1607" s="395">
        <v>1985.7739999999999</v>
      </c>
      <c r="I1607" s="394">
        <v>1950.66</v>
      </c>
      <c r="J1607" s="394">
        <v>2836.82</v>
      </c>
      <c r="K1607" s="393" t="s">
        <v>1033</v>
      </c>
    </row>
    <row r="1608" spans="1:12" hidden="1" x14ac:dyDescent="0.3">
      <c r="A1608" s="397" t="s">
        <v>5731</v>
      </c>
      <c r="C1608" s="397" t="s">
        <v>1053</v>
      </c>
      <c r="D1608" s="397" t="s">
        <v>5730</v>
      </c>
      <c r="E1608" s="397" t="s">
        <v>5729</v>
      </c>
      <c r="F1608" s="397" t="s">
        <v>191</v>
      </c>
      <c r="G1608" s="396">
        <v>4</v>
      </c>
      <c r="H1608" s="395">
        <v>6865.1100000000006</v>
      </c>
      <c r="I1608" s="394">
        <v>19.78</v>
      </c>
      <c r="J1608" s="394">
        <v>9807.2999999999993</v>
      </c>
      <c r="K1608" s="393" t="s">
        <v>1033</v>
      </c>
    </row>
    <row r="1609" spans="1:12" hidden="1" x14ac:dyDescent="0.3">
      <c r="A1609" s="397" t="s">
        <v>3310</v>
      </c>
      <c r="C1609" s="397" t="s">
        <v>1053</v>
      </c>
      <c r="D1609" s="397" t="s">
        <v>3309</v>
      </c>
      <c r="E1609" s="397" t="s">
        <v>676</v>
      </c>
      <c r="F1609" s="397" t="s">
        <v>191</v>
      </c>
      <c r="G1609" s="396">
        <v>2</v>
      </c>
      <c r="H1609" s="395">
        <v>2496.4029999999998</v>
      </c>
      <c r="I1609" s="394">
        <v>1406.1100000000001</v>
      </c>
      <c r="J1609" s="394">
        <v>3566.29</v>
      </c>
      <c r="K1609" s="393" t="s">
        <v>1033</v>
      </c>
    </row>
    <row r="1610" spans="1:12" hidden="1" x14ac:dyDescent="0.3">
      <c r="A1610" s="397" t="s">
        <v>2272</v>
      </c>
      <c r="C1610" s="397" t="s">
        <v>1053</v>
      </c>
      <c r="D1610" s="397" t="s">
        <v>2271</v>
      </c>
      <c r="E1610" s="397" t="s">
        <v>676</v>
      </c>
      <c r="F1610" s="397" t="s">
        <v>191</v>
      </c>
      <c r="G1610" s="396">
        <v>24</v>
      </c>
      <c r="H1610" s="395">
        <v>3358.04</v>
      </c>
      <c r="I1610" s="394">
        <v>3240.27</v>
      </c>
      <c r="J1610" s="394">
        <v>4797.2</v>
      </c>
      <c r="K1610" s="393" t="s">
        <v>1033</v>
      </c>
      <c r="L1610" s="395">
        <v>8</v>
      </c>
    </row>
    <row r="1611" spans="1:12" hidden="1" x14ac:dyDescent="0.3">
      <c r="A1611" s="397" t="s">
        <v>3118</v>
      </c>
      <c r="C1611" s="397" t="s">
        <v>1053</v>
      </c>
      <c r="D1611" s="397" t="s">
        <v>3117</v>
      </c>
      <c r="E1611" s="397" t="s">
        <v>2041</v>
      </c>
      <c r="F1611" s="397" t="s">
        <v>191</v>
      </c>
      <c r="G1611" s="396">
        <v>7</v>
      </c>
      <c r="H1611" s="395">
        <v>2080.5260000000003</v>
      </c>
      <c r="I1611" s="394">
        <v>1646.0900000000001</v>
      </c>
      <c r="J1611" s="394">
        <v>2972.18</v>
      </c>
      <c r="K1611" s="393" t="s">
        <v>1033</v>
      </c>
    </row>
    <row r="1612" spans="1:12" hidden="1" x14ac:dyDescent="0.3">
      <c r="A1612" s="397" t="s">
        <v>3012</v>
      </c>
      <c r="C1612" s="397" t="s">
        <v>1053</v>
      </c>
      <c r="D1612" s="397" t="s">
        <v>3011</v>
      </c>
      <c r="E1612" s="397" t="s">
        <v>2002</v>
      </c>
      <c r="F1612" s="397" t="s">
        <v>191</v>
      </c>
      <c r="G1612" s="396">
        <v>1</v>
      </c>
      <c r="H1612" s="395">
        <v>4708.5569999999998</v>
      </c>
      <c r="I1612" s="394">
        <v>19.079999999999998</v>
      </c>
      <c r="J1612" s="394">
        <v>6726.51</v>
      </c>
      <c r="K1612" s="393" t="s">
        <v>1033</v>
      </c>
    </row>
    <row r="1613" spans="1:12" hidden="1" x14ac:dyDescent="0.3">
      <c r="A1613" s="397" t="s">
        <v>2730</v>
      </c>
      <c r="C1613" s="397" t="s">
        <v>1053</v>
      </c>
      <c r="D1613" s="397" t="s">
        <v>2729</v>
      </c>
      <c r="E1613" s="397" t="s">
        <v>2718</v>
      </c>
      <c r="F1613" s="397" t="s">
        <v>191</v>
      </c>
      <c r="G1613" s="396">
        <v>2</v>
      </c>
      <c r="H1613" s="395">
        <v>4872.8119999999999</v>
      </c>
      <c r="I1613" s="394">
        <v>18.21</v>
      </c>
      <c r="J1613" s="394">
        <v>6961.16</v>
      </c>
      <c r="K1613" s="393" t="s">
        <v>1033</v>
      </c>
    </row>
    <row r="1614" spans="1:12" hidden="1" x14ac:dyDescent="0.3">
      <c r="A1614" s="397" t="s">
        <v>6803</v>
      </c>
      <c r="C1614" s="397" t="s">
        <v>1053</v>
      </c>
      <c r="D1614" s="397" t="s">
        <v>6802</v>
      </c>
      <c r="E1614" s="397" t="s">
        <v>510</v>
      </c>
      <c r="F1614" s="397" t="s">
        <v>191</v>
      </c>
      <c r="G1614" s="396">
        <v>4</v>
      </c>
      <c r="H1614" s="395">
        <v>15286.089</v>
      </c>
      <c r="I1614" s="394">
        <v>595.72</v>
      </c>
      <c r="J1614" s="394">
        <v>21837.27</v>
      </c>
      <c r="K1614" s="393" t="s">
        <v>1033</v>
      </c>
    </row>
    <row r="1615" spans="1:12" hidden="1" x14ac:dyDescent="0.3">
      <c r="A1615" s="397" t="s">
        <v>3168</v>
      </c>
      <c r="C1615" s="397" t="s">
        <v>1053</v>
      </c>
      <c r="D1615" s="397" t="s">
        <v>3167</v>
      </c>
      <c r="E1615" s="397" t="s">
        <v>602</v>
      </c>
      <c r="F1615" s="397" t="s">
        <v>191</v>
      </c>
      <c r="G1615" s="396">
        <v>10</v>
      </c>
      <c r="H1615" s="395">
        <v>1423.52</v>
      </c>
      <c r="I1615" s="394">
        <v>275.06</v>
      </c>
      <c r="J1615" s="394">
        <v>2033.6000000000001</v>
      </c>
      <c r="K1615" s="393" t="s">
        <v>1033</v>
      </c>
    </row>
    <row r="1616" spans="1:12" hidden="1" x14ac:dyDescent="0.3">
      <c r="A1616" s="397" t="s">
        <v>7105</v>
      </c>
      <c r="C1616" s="397" t="s">
        <v>1053</v>
      </c>
      <c r="D1616" s="397" t="s">
        <v>7104</v>
      </c>
      <c r="E1616" s="397" t="s">
        <v>7103</v>
      </c>
      <c r="F1616" s="397" t="s">
        <v>191</v>
      </c>
      <c r="G1616" s="396">
        <v>1</v>
      </c>
      <c r="H1616" s="395">
        <v>2628.0309999999999</v>
      </c>
      <c r="I1616" s="394">
        <v>1003.9300000000001</v>
      </c>
      <c r="J1616" s="394">
        <v>3754.33</v>
      </c>
      <c r="K1616" s="393" t="s">
        <v>1033</v>
      </c>
    </row>
    <row r="1617" spans="1:12" hidden="1" x14ac:dyDescent="0.3">
      <c r="A1617" s="397" t="s">
        <v>3281</v>
      </c>
      <c r="C1617" s="397" t="s">
        <v>1053</v>
      </c>
      <c r="D1617" s="397" t="s">
        <v>3280</v>
      </c>
      <c r="E1617" s="397" t="s">
        <v>676</v>
      </c>
      <c r="F1617" s="397" t="s">
        <v>191</v>
      </c>
      <c r="G1617" s="396">
        <v>2</v>
      </c>
      <c r="H1617" s="395">
        <v>1423.52</v>
      </c>
      <c r="I1617" s="394">
        <v>1108.74</v>
      </c>
      <c r="J1617" s="394">
        <v>2033.6000000000001</v>
      </c>
      <c r="K1617" s="393" t="s">
        <v>1033</v>
      </c>
    </row>
    <row r="1618" spans="1:12" hidden="1" x14ac:dyDescent="0.3">
      <c r="A1618" s="397" t="s">
        <v>7108</v>
      </c>
      <c r="C1618" s="397" t="s">
        <v>1053</v>
      </c>
      <c r="D1618" s="397" t="s">
        <v>7107</v>
      </c>
      <c r="E1618" s="397" t="s">
        <v>7106</v>
      </c>
      <c r="F1618" s="397" t="s">
        <v>191</v>
      </c>
      <c r="G1618" s="396">
        <v>4</v>
      </c>
      <c r="H1618" s="395">
        <v>6624.835</v>
      </c>
      <c r="I1618" s="394">
        <v>6576.52</v>
      </c>
      <c r="J1618" s="394">
        <v>9464.0499999999993</v>
      </c>
      <c r="K1618" s="393" t="s">
        <v>1033</v>
      </c>
    </row>
    <row r="1619" spans="1:12" hidden="1" x14ac:dyDescent="0.3">
      <c r="A1619" s="397" t="s">
        <v>2737</v>
      </c>
      <c r="C1619" s="397" t="s">
        <v>1053</v>
      </c>
      <c r="D1619" s="397" t="s">
        <v>2736</v>
      </c>
      <c r="E1619" s="397" t="s">
        <v>2718</v>
      </c>
      <c r="F1619" s="397" t="s">
        <v>191</v>
      </c>
      <c r="G1619" s="396">
        <v>1</v>
      </c>
      <c r="H1619" s="395">
        <v>10074.127</v>
      </c>
      <c r="I1619" s="394">
        <v>7337.37</v>
      </c>
      <c r="J1619" s="394">
        <v>14391.61</v>
      </c>
      <c r="K1619" s="393" t="s">
        <v>1033</v>
      </c>
    </row>
    <row r="1620" spans="1:12" hidden="1" x14ac:dyDescent="0.3">
      <c r="A1620" s="397" t="s">
        <v>3128</v>
      </c>
      <c r="C1620" s="397" t="s">
        <v>1053</v>
      </c>
      <c r="D1620" s="397" t="s">
        <v>3127</v>
      </c>
      <c r="E1620" s="397" t="s">
        <v>2041</v>
      </c>
      <c r="F1620" s="397" t="s">
        <v>191</v>
      </c>
      <c r="G1620" s="396">
        <v>10</v>
      </c>
      <c r="H1620" s="395">
        <v>1985.7739999999999</v>
      </c>
      <c r="I1620" s="394">
        <v>108.67</v>
      </c>
      <c r="J1620" s="394">
        <v>2836.82</v>
      </c>
      <c r="K1620" s="393" t="s">
        <v>1033</v>
      </c>
    </row>
    <row r="1621" spans="1:12" hidden="1" x14ac:dyDescent="0.3">
      <c r="A1621" s="397" t="s">
        <v>3286</v>
      </c>
      <c r="C1621" s="397" t="s">
        <v>1053</v>
      </c>
      <c r="D1621" s="397" t="s">
        <v>680</v>
      </c>
      <c r="E1621" s="397" t="s">
        <v>676</v>
      </c>
      <c r="F1621" s="397" t="s">
        <v>191</v>
      </c>
      <c r="G1621" s="396">
        <v>1</v>
      </c>
      <c r="H1621" s="395">
        <v>1423.52</v>
      </c>
      <c r="I1621" s="394">
        <v>2.99</v>
      </c>
      <c r="J1621" s="394">
        <v>2033.6000000000001</v>
      </c>
      <c r="K1621" s="393" t="s">
        <v>1033</v>
      </c>
    </row>
    <row r="1622" spans="1:12" hidden="1" x14ac:dyDescent="0.3">
      <c r="A1622" s="397" t="s">
        <v>4511</v>
      </c>
      <c r="C1622" s="397" t="s">
        <v>1053</v>
      </c>
      <c r="D1622" s="397" t="s">
        <v>4510</v>
      </c>
      <c r="E1622" s="397" t="s">
        <v>622</v>
      </c>
      <c r="F1622" s="397" t="s">
        <v>191</v>
      </c>
      <c r="G1622" s="396">
        <v>1</v>
      </c>
      <c r="H1622" s="395">
        <v>43403.387999999999</v>
      </c>
      <c r="I1622" s="394">
        <v>69.89</v>
      </c>
      <c r="J1622" s="394">
        <v>62004.840000000004</v>
      </c>
      <c r="K1622" s="393" t="s">
        <v>1033</v>
      </c>
    </row>
    <row r="1623" spans="1:12" hidden="1" x14ac:dyDescent="0.3">
      <c r="A1623" s="397" t="s">
        <v>4501</v>
      </c>
      <c r="C1623" s="397" t="s">
        <v>1053</v>
      </c>
      <c r="D1623" s="397" t="s">
        <v>4500</v>
      </c>
      <c r="E1623" s="397" t="s">
        <v>622</v>
      </c>
      <c r="F1623" s="397" t="s">
        <v>191</v>
      </c>
      <c r="G1623" s="396">
        <v>1</v>
      </c>
      <c r="H1623" s="395">
        <v>31148.312999999998</v>
      </c>
      <c r="I1623" s="394">
        <v>84.11</v>
      </c>
      <c r="J1623" s="394">
        <v>44497.590000000004</v>
      </c>
      <c r="K1623" s="393" t="s">
        <v>1033</v>
      </c>
    </row>
    <row r="1624" spans="1:12" hidden="1" x14ac:dyDescent="0.3">
      <c r="A1624" s="397" t="s">
        <v>4499</v>
      </c>
      <c r="C1624" s="397" t="s">
        <v>1053</v>
      </c>
      <c r="D1624" s="397" t="s">
        <v>4498</v>
      </c>
      <c r="E1624" s="397" t="s">
        <v>622</v>
      </c>
      <c r="F1624" s="397" t="s">
        <v>191</v>
      </c>
      <c r="G1624" s="396">
        <v>1</v>
      </c>
      <c r="H1624" s="395">
        <v>14091.56</v>
      </c>
      <c r="I1624" s="394">
        <v>58.67</v>
      </c>
      <c r="J1624" s="394">
        <v>20130.8</v>
      </c>
      <c r="K1624" s="393" t="s">
        <v>1033</v>
      </c>
    </row>
    <row r="1625" spans="1:12" hidden="1" x14ac:dyDescent="0.3">
      <c r="A1625" s="397" t="s">
        <v>8309</v>
      </c>
      <c r="C1625" s="397" t="s">
        <v>1053</v>
      </c>
      <c r="D1625" s="397" t="s">
        <v>8308</v>
      </c>
      <c r="E1625" s="397" t="s">
        <v>8307</v>
      </c>
      <c r="F1625" s="397" t="s">
        <v>191</v>
      </c>
      <c r="G1625" s="396">
        <v>1</v>
      </c>
      <c r="H1625" s="395">
        <v>5084.5410000000002</v>
      </c>
      <c r="I1625" s="394">
        <v>57.61</v>
      </c>
      <c r="J1625" s="394">
        <v>7263.63</v>
      </c>
      <c r="K1625" s="393" t="s">
        <v>1033</v>
      </c>
    </row>
    <row r="1626" spans="1:12" hidden="1" x14ac:dyDescent="0.3">
      <c r="A1626" s="397" t="s">
        <v>4506</v>
      </c>
      <c r="C1626" s="397" t="s">
        <v>1053</v>
      </c>
      <c r="D1626" s="397" t="s">
        <v>4505</v>
      </c>
      <c r="E1626" s="397" t="s">
        <v>622</v>
      </c>
      <c r="F1626" s="397" t="s">
        <v>191</v>
      </c>
      <c r="G1626" s="396">
        <v>1</v>
      </c>
      <c r="H1626" s="395">
        <v>37219.118999999999</v>
      </c>
      <c r="I1626" s="394">
        <v>58.39</v>
      </c>
      <c r="J1626" s="394">
        <v>53170.17</v>
      </c>
      <c r="K1626" s="393" t="s">
        <v>1033</v>
      </c>
    </row>
    <row r="1627" spans="1:12" hidden="1" x14ac:dyDescent="0.3">
      <c r="A1627" s="397" t="s">
        <v>3351</v>
      </c>
      <c r="C1627" s="397" t="s">
        <v>1053</v>
      </c>
      <c r="D1627" s="397" t="s">
        <v>3350</v>
      </c>
      <c r="E1627" s="397" t="s">
        <v>676</v>
      </c>
      <c r="F1627" s="397" t="s">
        <v>191</v>
      </c>
      <c r="G1627" s="396">
        <v>9</v>
      </c>
      <c r="H1627" s="395">
        <v>2190.027</v>
      </c>
      <c r="I1627" s="394">
        <v>349.32</v>
      </c>
      <c r="J1627" s="394">
        <v>3128.61</v>
      </c>
      <c r="K1627" s="393" t="s">
        <v>1033</v>
      </c>
    </row>
    <row r="1628" spans="1:12" hidden="1" x14ac:dyDescent="0.3">
      <c r="A1628" s="397" t="s">
        <v>3149</v>
      </c>
      <c r="C1628" s="397" t="s">
        <v>1053</v>
      </c>
      <c r="D1628" s="397" t="s">
        <v>3148</v>
      </c>
      <c r="E1628" s="397" t="s">
        <v>2041</v>
      </c>
      <c r="F1628" s="397" t="s">
        <v>191</v>
      </c>
      <c r="G1628" s="396">
        <v>2</v>
      </c>
      <c r="H1628" s="395">
        <v>6132.0769999999993</v>
      </c>
      <c r="I1628" s="394">
        <v>5447.1</v>
      </c>
      <c r="J1628" s="394">
        <v>8760.11</v>
      </c>
      <c r="K1628" s="393" t="s">
        <v>1033</v>
      </c>
    </row>
    <row r="1629" spans="1:12" hidden="1" x14ac:dyDescent="0.3">
      <c r="A1629" s="397" t="s">
        <v>3249</v>
      </c>
      <c r="C1629" s="397" t="s">
        <v>1053</v>
      </c>
      <c r="D1629" s="397" t="s">
        <v>3248</v>
      </c>
      <c r="E1629" s="397" t="s">
        <v>2099</v>
      </c>
      <c r="F1629" s="397" t="s">
        <v>191</v>
      </c>
      <c r="G1629" s="396">
        <v>2</v>
      </c>
      <c r="H1629" s="395">
        <v>3180.0790000000002</v>
      </c>
      <c r="I1629" s="394">
        <v>2936.82</v>
      </c>
      <c r="J1629" s="394">
        <v>4542.97</v>
      </c>
      <c r="K1629" s="393" t="s">
        <v>1033</v>
      </c>
      <c r="L1629" s="395">
        <v>2</v>
      </c>
    </row>
    <row r="1630" spans="1:12" hidden="1" x14ac:dyDescent="0.3">
      <c r="A1630" s="397" t="s">
        <v>3036</v>
      </c>
      <c r="C1630" s="397" t="s">
        <v>1053</v>
      </c>
      <c r="D1630" s="397" t="s">
        <v>3035</v>
      </c>
      <c r="E1630" s="397" t="s">
        <v>2035</v>
      </c>
      <c r="F1630" s="397" t="s">
        <v>191</v>
      </c>
      <c r="G1630" s="396">
        <v>1</v>
      </c>
      <c r="H1630" s="395">
        <v>3832.5490000000004</v>
      </c>
      <c r="I1630" s="394">
        <v>7.41</v>
      </c>
      <c r="J1630" s="394">
        <v>5475.07</v>
      </c>
      <c r="K1630" s="393" t="s">
        <v>1033</v>
      </c>
    </row>
    <row r="1631" spans="1:12" hidden="1" x14ac:dyDescent="0.3">
      <c r="A1631" s="397" t="s">
        <v>2518</v>
      </c>
      <c r="C1631" s="397" t="s">
        <v>1053</v>
      </c>
      <c r="D1631" s="397" t="s">
        <v>2517</v>
      </c>
      <c r="E1631" s="397" t="s">
        <v>2516</v>
      </c>
      <c r="F1631" s="397" t="s">
        <v>191</v>
      </c>
      <c r="G1631" s="396">
        <v>9</v>
      </c>
      <c r="H1631" s="395">
        <v>4822.6009999999997</v>
      </c>
      <c r="I1631" s="394">
        <v>493.74</v>
      </c>
      <c r="J1631" s="394">
        <v>6889.43</v>
      </c>
      <c r="K1631" s="393" t="s">
        <v>1033</v>
      </c>
    </row>
    <row r="1632" spans="1:12" hidden="1" x14ac:dyDescent="0.3">
      <c r="A1632" s="397" t="s">
        <v>2912</v>
      </c>
      <c r="C1632" s="397" t="s">
        <v>1053</v>
      </c>
      <c r="D1632" s="397" t="s">
        <v>2911</v>
      </c>
      <c r="E1632" s="397" t="s">
        <v>683</v>
      </c>
      <c r="F1632" s="397" t="s">
        <v>191</v>
      </c>
      <c r="G1632" s="396">
        <v>1</v>
      </c>
      <c r="H1632" s="395">
        <v>35006.398000000001</v>
      </c>
      <c r="I1632" s="394">
        <v>37.950000000000003</v>
      </c>
      <c r="J1632" s="394">
        <v>50009.14</v>
      </c>
      <c r="K1632" s="393" t="s">
        <v>1033</v>
      </c>
    </row>
    <row r="1633" spans="1:12" hidden="1" x14ac:dyDescent="0.3">
      <c r="A1633" s="397" t="s">
        <v>2924</v>
      </c>
      <c r="C1633" s="397" t="s">
        <v>1053</v>
      </c>
      <c r="D1633" s="397" t="s">
        <v>2923</v>
      </c>
      <c r="E1633" s="397" t="s">
        <v>2922</v>
      </c>
      <c r="F1633" s="397" t="s">
        <v>191</v>
      </c>
      <c r="G1633" s="396">
        <v>1</v>
      </c>
      <c r="H1633" s="395">
        <v>30398.262999999999</v>
      </c>
      <c r="I1633" s="394">
        <v>22996.28</v>
      </c>
      <c r="J1633" s="394">
        <v>43426.090000000004</v>
      </c>
      <c r="K1633" s="393" t="s">
        <v>1033</v>
      </c>
    </row>
    <row r="1634" spans="1:12" hidden="1" x14ac:dyDescent="0.3">
      <c r="A1634" s="397" t="s">
        <v>2966</v>
      </c>
      <c r="C1634" s="397" t="s">
        <v>1053</v>
      </c>
      <c r="D1634" s="397" t="s">
        <v>2965</v>
      </c>
      <c r="E1634" s="397" t="s">
        <v>608</v>
      </c>
      <c r="F1634" s="397" t="s">
        <v>191</v>
      </c>
      <c r="G1634" s="396">
        <v>1</v>
      </c>
      <c r="H1634" s="395">
        <v>14454.181</v>
      </c>
      <c r="I1634" s="394">
        <v>13.47</v>
      </c>
      <c r="J1634" s="394">
        <v>20648.830000000002</v>
      </c>
      <c r="K1634" s="393" t="s">
        <v>1033</v>
      </c>
    </row>
    <row r="1635" spans="1:12" hidden="1" x14ac:dyDescent="0.3">
      <c r="A1635" s="397" t="s">
        <v>2886</v>
      </c>
      <c r="C1635" s="397" t="s">
        <v>1053</v>
      </c>
      <c r="D1635" s="397" t="s">
        <v>2885</v>
      </c>
      <c r="E1635" s="397" t="s">
        <v>608</v>
      </c>
      <c r="F1635" s="397" t="s">
        <v>191</v>
      </c>
      <c r="G1635" s="396">
        <v>1</v>
      </c>
      <c r="H1635" s="395">
        <v>30988.887999999999</v>
      </c>
      <c r="I1635" s="394">
        <v>46.85</v>
      </c>
      <c r="J1635" s="394">
        <v>44269.840000000004</v>
      </c>
      <c r="K1635" s="393" t="s">
        <v>1033</v>
      </c>
    </row>
    <row r="1636" spans="1:12" hidden="1" x14ac:dyDescent="0.3">
      <c r="A1636" s="397" t="s">
        <v>2958</v>
      </c>
      <c r="C1636" s="397" t="s">
        <v>1053</v>
      </c>
      <c r="D1636" s="397" t="s">
        <v>2957</v>
      </c>
      <c r="E1636" s="397" t="s">
        <v>608</v>
      </c>
      <c r="F1636" s="397" t="s">
        <v>191</v>
      </c>
      <c r="G1636" s="396">
        <v>19</v>
      </c>
      <c r="H1636" s="395">
        <v>17809.575000000001</v>
      </c>
      <c r="I1636" s="394">
        <v>16409.98</v>
      </c>
      <c r="J1636" s="394">
        <v>25442.25</v>
      </c>
      <c r="K1636" s="393" t="s">
        <v>1033</v>
      </c>
    </row>
    <row r="1637" spans="1:12" hidden="1" x14ac:dyDescent="0.3">
      <c r="A1637" s="397" t="s">
        <v>2896</v>
      </c>
      <c r="C1637" s="397" t="s">
        <v>1053</v>
      </c>
      <c r="D1637" s="397" t="s">
        <v>2895</v>
      </c>
      <c r="E1637" s="397" t="s">
        <v>608</v>
      </c>
      <c r="F1637" s="397" t="s">
        <v>191</v>
      </c>
      <c r="G1637" s="396">
        <v>1</v>
      </c>
      <c r="H1637" s="395">
        <v>30331.875</v>
      </c>
      <c r="I1637" s="394">
        <v>924</v>
      </c>
      <c r="J1637" s="394">
        <v>43331.25</v>
      </c>
      <c r="K1637" s="393" t="s">
        <v>1033</v>
      </c>
    </row>
    <row r="1638" spans="1:12" hidden="1" x14ac:dyDescent="0.3">
      <c r="A1638" s="397" t="s">
        <v>2932</v>
      </c>
      <c r="C1638" s="397" t="s">
        <v>1053</v>
      </c>
      <c r="D1638" s="397" t="s">
        <v>2931</v>
      </c>
      <c r="E1638" s="397" t="s">
        <v>2930</v>
      </c>
      <c r="F1638" s="397" t="s">
        <v>191</v>
      </c>
      <c r="G1638" s="396">
        <v>1</v>
      </c>
      <c r="H1638" s="395">
        <v>20257.755000000001</v>
      </c>
      <c r="I1638" s="394">
        <v>16186.54</v>
      </c>
      <c r="J1638" s="394">
        <v>28939.65</v>
      </c>
      <c r="K1638" s="393" t="s">
        <v>1033</v>
      </c>
      <c r="L1638" s="395">
        <v>1</v>
      </c>
    </row>
    <row r="1639" spans="1:12" hidden="1" x14ac:dyDescent="0.3">
      <c r="A1639" s="397" t="s">
        <v>2960</v>
      </c>
      <c r="C1639" s="397" t="s">
        <v>1053</v>
      </c>
      <c r="D1639" s="397" t="s">
        <v>2959</v>
      </c>
      <c r="E1639" s="397" t="s">
        <v>608</v>
      </c>
      <c r="F1639" s="397" t="s">
        <v>191</v>
      </c>
      <c r="G1639" s="396">
        <v>1</v>
      </c>
      <c r="H1639" s="395">
        <v>17191.713</v>
      </c>
      <c r="I1639" s="394">
        <v>164.07</v>
      </c>
      <c r="J1639" s="394">
        <v>24559.59</v>
      </c>
      <c r="K1639" s="393" t="s">
        <v>1033</v>
      </c>
    </row>
    <row r="1640" spans="1:12" hidden="1" x14ac:dyDescent="0.3">
      <c r="A1640" s="397" t="s">
        <v>2978</v>
      </c>
      <c r="C1640" s="397" t="s">
        <v>1053</v>
      </c>
      <c r="D1640" s="397" t="s">
        <v>2977</v>
      </c>
      <c r="E1640" s="397" t="s">
        <v>2976</v>
      </c>
      <c r="F1640" s="397" t="s">
        <v>191</v>
      </c>
      <c r="G1640" s="396">
        <v>1</v>
      </c>
      <c r="H1640" s="395">
        <v>49530.929000000004</v>
      </c>
      <c r="I1640" s="394">
        <v>52.050000000000004</v>
      </c>
      <c r="J1640" s="394">
        <v>70758.47</v>
      </c>
      <c r="K1640" s="393" t="s">
        <v>1033</v>
      </c>
    </row>
    <row r="1641" spans="1:12" hidden="1" x14ac:dyDescent="0.3">
      <c r="A1641" s="397" t="s">
        <v>2510</v>
      </c>
      <c r="C1641" s="397" t="s">
        <v>1053</v>
      </c>
      <c r="D1641" s="397" t="s">
        <v>2509</v>
      </c>
      <c r="E1641" s="397" t="s">
        <v>2500</v>
      </c>
      <c r="F1641" s="397" t="s">
        <v>191</v>
      </c>
      <c r="G1641" s="396">
        <v>3</v>
      </c>
      <c r="H1641" s="395">
        <v>3777.7950000000001</v>
      </c>
      <c r="I1641" s="394">
        <v>560.84</v>
      </c>
      <c r="J1641" s="394">
        <v>5396.85</v>
      </c>
      <c r="K1641" s="393" t="s">
        <v>1033</v>
      </c>
    </row>
    <row r="1642" spans="1:12" hidden="1" x14ac:dyDescent="0.3">
      <c r="A1642" s="397" t="s">
        <v>6896</v>
      </c>
      <c r="C1642" s="397" t="s">
        <v>1053</v>
      </c>
      <c r="D1642" s="397" t="s">
        <v>6895</v>
      </c>
      <c r="E1642" s="397" t="s">
        <v>6894</v>
      </c>
      <c r="F1642" s="397" t="s">
        <v>191</v>
      </c>
      <c r="G1642" s="396">
        <v>2</v>
      </c>
      <c r="H1642" s="395">
        <v>37394.714</v>
      </c>
      <c r="I1642" s="394">
        <v>3994.84</v>
      </c>
      <c r="J1642" s="394">
        <v>53421.020000000004</v>
      </c>
      <c r="K1642" s="393" t="s">
        <v>1033</v>
      </c>
    </row>
    <row r="1643" spans="1:12" hidden="1" x14ac:dyDescent="0.3">
      <c r="A1643" s="397" t="s">
        <v>7945</v>
      </c>
      <c r="C1643" s="397" t="s">
        <v>1053</v>
      </c>
      <c r="D1643" s="397" t="s">
        <v>7944</v>
      </c>
      <c r="E1643" s="397" t="s">
        <v>7943</v>
      </c>
      <c r="F1643" s="397" t="s">
        <v>191</v>
      </c>
      <c r="G1643" s="396">
        <v>3</v>
      </c>
      <c r="H1643" s="395">
        <v>4927.5590000000002</v>
      </c>
      <c r="I1643" s="394">
        <v>20.93</v>
      </c>
      <c r="J1643" s="394">
        <v>7039.37</v>
      </c>
      <c r="K1643" s="393" t="s">
        <v>1033</v>
      </c>
    </row>
    <row r="1644" spans="1:12" hidden="1" x14ac:dyDescent="0.3">
      <c r="A1644" s="397" t="s">
        <v>2907</v>
      </c>
      <c r="C1644" s="397" t="s">
        <v>1053</v>
      </c>
      <c r="D1644" s="397" t="s">
        <v>2906</v>
      </c>
      <c r="E1644" s="397" t="s">
        <v>608</v>
      </c>
      <c r="F1644" s="397" t="s">
        <v>191</v>
      </c>
      <c r="G1644" s="396">
        <v>3</v>
      </c>
      <c r="H1644" s="395">
        <v>42495.607000000004</v>
      </c>
      <c r="I1644" s="394">
        <v>40852.47</v>
      </c>
      <c r="J1644" s="394">
        <v>60708.01</v>
      </c>
      <c r="K1644" s="393" t="s">
        <v>1033</v>
      </c>
    </row>
    <row r="1645" spans="1:12" hidden="1" x14ac:dyDescent="0.3">
      <c r="A1645" s="397" t="s">
        <v>7627</v>
      </c>
      <c r="C1645" s="397" t="s">
        <v>1053</v>
      </c>
      <c r="D1645" s="397" t="s">
        <v>7626</v>
      </c>
      <c r="E1645" s="397" t="s">
        <v>437</v>
      </c>
      <c r="F1645" s="397" t="s">
        <v>191</v>
      </c>
      <c r="G1645" s="396">
        <v>4</v>
      </c>
      <c r="H1645" s="395">
        <v>3602.9</v>
      </c>
      <c r="I1645" s="394">
        <v>3596.34</v>
      </c>
      <c r="J1645" s="394">
        <v>5147</v>
      </c>
      <c r="K1645" s="393" t="s">
        <v>1033</v>
      </c>
    </row>
    <row r="1646" spans="1:12" hidden="1" x14ac:dyDescent="0.3">
      <c r="A1646" s="397" t="s">
        <v>2867</v>
      </c>
      <c r="C1646" s="397" t="s">
        <v>1053</v>
      </c>
      <c r="D1646" s="397" t="s">
        <v>2940</v>
      </c>
      <c r="E1646" s="397" t="s">
        <v>608</v>
      </c>
      <c r="F1646" s="397" t="s">
        <v>191</v>
      </c>
      <c r="G1646" s="396">
        <v>2</v>
      </c>
      <c r="H1646" s="395">
        <v>20367.256000000001</v>
      </c>
      <c r="I1646" s="394">
        <v>133.72999999999999</v>
      </c>
      <c r="J1646" s="394">
        <v>29096.080000000002</v>
      </c>
      <c r="K1646" s="393" t="s">
        <v>1033</v>
      </c>
    </row>
    <row r="1647" spans="1:12" hidden="1" x14ac:dyDescent="0.3">
      <c r="A1647" s="397" t="s">
        <v>2867</v>
      </c>
      <c r="C1647" s="397" t="s">
        <v>1053</v>
      </c>
      <c r="D1647" s="397" t="s">
        <v>2866</v>
      </c>
      <c r="E1647" s="397" t="s">
        <v>608</v>
      </c>
      <c r="F1647" s="397" t="s">
        <v>191</v>
      </c>
      <c r="G1647" s="396">
        <v>1</v>
      </c>
      <c r="H1647" s="395">
        <v>69314.364000000001</v>
      </c>
      <c r="I1647" s="394">
        <v>64166.93</v>
      </c>
      <c r="J1647" s="394">
        <v>99020.52</v>
      </c>
      <c r="K1647" s="393" t="s">
        <v>1033</v>
      </c>
    </row>
    <row r="1648" spans="1:12" hidden="1" x14ac:dyDescent="0.3">
      <c r="A1648" s="397" t="s">
        <v>2871</v>
      </c>
      <c r="C1648" s="397" t="s">
        <v>1053</v>
      </c>
      <c r="D1648" s="397" t="s">
        <v>686</v>
      </c>
      <c r="E1648" s="397" t="s">
        <v>608</v>
      </c>
      <c r="F1648" s="397" t="s">
        <v>191</v>
      </c>
      <c r="G1648" s="396">
        <v>3</v>
      </c>
      <c r="H1648" s="395">
        <v>15603.945</v>
      </c>
      <c r="I1648" s="394">
        <v>14935.41</v>
      </c>
      <c r="J1648" s="394">
        <v>22291.350000000002</v>
      </c>
      <c r="K1648" s="393" t="s">
        <v>1033</v>
      </c>
    </row>
    <row r="1649" spans="1:12" hidden="1" x14ac:dyDescent="0.3">
      <c r="A1649" s="397" t="s">
        <v>2916</v>
      </c>
      <c r="C1649" s="397" t="s">
        <v>1053</v>
      </c>
      <c r="D1649" s="397" t="s">
        <v>2915</v>
      </c>
      <c r="E1649" s="397" t="s">
        <v>608</v>
      </c>
      <c r="F1649" s="397" t="s">
        <v>191</v>
      </c>
      <c r="G1649" s="396">
        <v>1</v>
      </c>
      <c r="H1649" s="395">
        <v>20476.757000000001</v>
      </c>
      <c r="I1649" s="394">
        <v>13682.69</v>
      </c>
      <c r="J1649" s="394">
        <v>29252.510000000002</v>
      </c>
      <c r="K1649" s="393" t="s">
        <v>1033</v>
      </c>
    </row>
    <row r="1650" spans="1:12" hidden="1" x14ac:dyDescent="0.3">
      <c r="A1650" s="397" t="s">
        <v>2951</v>
      </c>
      <c r="C1650" s="397" t="s">
        <v>1053</v>
      </c>
      <c r="D1650" s="397" t="s">
        <v>2950</v>
      </c>
      <c r="E1650" s="397" t="s">
        <v>608</v>
      </c>
      <c r="F1650" s="397" t="s">
        <v>191</v>
      </c>
      <c r="G1650" s="396">
        <v>2</v>
      </c>
      <c r="H1650" s="395">
        <v>24145.051000000003</v>
      </c>
      <c r="I1650" s="394">
        <v>1092.46</v>
      </c>
      <c r="J1650" s="394">
        <v>34492.93</v>
      </c>
      <c r="K1650" s="393" t="s">
        <v>1033</v>
      </c>
    </row>
    <row r="1651" spans="1:12" hidden="1" x14ac:dyDescent="0.3">
      <c r="A1651" s="397" t="s">
        <v>2635</v>
      </c>
      <c r="C1651" s="397" t="s">
        <v>1053</v>
      </c>
      <c r="D1651" s="397" t="s">
        <v>2634</v>
      </c>
      <c r="E1651" s="397" t="s">
        <v>596</v>
      </c>
      <c r="F1651" s="397" t="s">
        <v>191</v>
      </c>
      <c r="G1651" s="396">
        <v>2</v>
      </c>
      <c r="H1651" s="395">
        <v>1971.0250000000001</v>
      </c>
      <c r="I1651" s="394">
        <v>1476.16</v>
      </c>
      <c r="J1651" s="394">
        <v>2815.75</v>
      </c>
      <c r="K1651" s="393" t="s">
        <v>1033</v>
      </c>
    </row>
    <row r="1652" spans="1:12" hidden="1" x14ac:dyDescent="0.3">
      <c r="A1652" s="397" t="s">
        <v>2971</v>
      </c>
      <c r="C1652" s="397" t="s">
        <v>1053</v>
      </c>
      <c r="D1652" s="397" t="s">
        <v>2970</v>
      </c>
      <c r="E1652" s="397" t="s">
        <v>608</v>
      </c>
      <c r="F1652" s="397" t="s">
        <v>191</v>
      </c>
      <c r="G1652" s="396">
        <v>2</v>
      </c>
      <c r="H1652" s="395">
        <v>14070.644</v>
      </c>
      <c r="I1652" s="394">
        <v>15.67</v>
      </c>
      <c r="J1652" s="394">
        <v>20100.919999999998</v>
      </c>
      <c r="K1652" s="393" t="s">
        <v>1033</v>
      </c>
    </row>
    <row r="1653" spans="1:12" hidden="1" x14ac:dyDescent="0.3">
      <c r="A1653" s="397" t="s">
        <v>2873</v>
      </c>
      <c r="C1653" s="397" t="s">
        <v>1053</v>
      </c>
      <c r="D1653" s="397" t="s">
        <v>2872</v>
      </c>
      <c r="E1653" s="397" t="s">
        <v>683</v>
      </c>
      <c r="F1653" s="397" t="s">
        <v>191</v>
      </c>
      <c r="G1653" s="396">
        <v>2</v>
      </c>
      <c r="H1653" s="395">
        <v>6959.6590000000006</v>
      </c>
      <c r="I1653" s="394">
        <v>6783.29</v>
      </c>
      <c r="J1653" s="394">
        <v>9942.3700000000008</v>
      </c>
      <c r="K1653" s="393" t="s">
        <v>1033</v>
      </c>
    </row>
    <row r="1654" spans="1:12" hidden="1" x14ac:dyDescent="0.3">
      <c r="A1654" s="397" t="s">
        <v>851</v>
      </c>
      <c r="C1654" s="397" t="s">
        <v>1053</v>
      </c>
      <c r="D1654" s="397" t="s">
        <v>850</v>
      </c>
      <c r="E1654" s="397" t="s">
        <v>849</v>
      </c>
      <c r="F1654" s="397" t="s">
        <v>191</v>
      </c>
      <c r="G1654" s="396">
        <v>40</v>
      </c>
      <c r="H1654" s="395">
        <v>5346.9849999999997</v>
      </c>
      <c r="I1654" s="394">
        <v>5005.68</v>
      </c>
      <c r="J1654" s="394">
        <v>7638.55</v>
      </c>
      <c r="K1654" s="393" t="s">
        <v>1033</v>
      </c>
    </row>
    <row r="1655" spans="1:12" hidden="1" x14ac:dyDescent="0.3">
      <c r="A1655" s="397" t="s">
        <v>2929</v>
      </c>
      <c r="C1655" s="397" t="s">
        <v>1053</v>
      </c>
      <c r="D1655" s="397" t="s">
        <v>2928</v>
      </c>
      <c r="E1655" s="397" t="s">
        <v>608</v>
      </c>
      <c r="F1655" s="397" t="s">
        <v>191</v>
      </c>
      <c r="G1655" s="396">
        <v>2</v>
      </c>
      <c r="H1655" s="395">
        <v>31863.195</v>
      </c>
      <c r="I1655" s="394">
        <v>26839.38</v>
      </c>
      <c r="J1655" s="394">
        <v>45518.85</v>
      </c>
      <c r="K1655" s="393" t="s">
        <v>1033</v>
      </c>
    </row>
    <row r="1656" spans="1:12" hidden="1" x14ac:dyDescent="0.3">
      <c r="A1656" s="397" t="s">
        <v>3380</v>
      </c>
      <c r="C1656" s="397" t="s">
        <v>1053</v>
      </c>
      <c r="D1656" s="397" t="s">
        <v>3379</v>
      </c>
      <c r="E1656" s="397" t="s">
        <v>602</v>
      </c>
      <c r="F1656" s="397" t="s">
        <v>191</v>
      </c>
      <c r="G1656" s="396">
        <v>2</v>
      </c>
      <c r="H1656" s="395">
        <v>1582.9449999999999</v>
      </c>
      <c r="I1656" s="394">
        <v>309.75</v>
      </c>
      <c r="J1656" s="394">
        <v>2261.35</v>
      </c>
      <c r="K1656" s="393" t="s">
        <v>1033</v>
      </c>
    </row>
    <row r="1657" spans="1:12" hidden="1" x14ac:dyDescent="0.3">
      <c r="A1657" s="397" t="s">
        <v>2956</v>
      </c>
      <c r="C1657" s="397" t="s">
        <v>1053</v>
      </c>
      <c r="D1657" s="397" t="s">
        <v>2955</v>
      </c>
      <c r="E1657" s="397" t="s">
        <v>608</v>
      </c>
      <c r="F1657" s="397" t="s">
        <v>191</v>
      </c>
      <c r="G1657" s="396">
        <v>1</v>
      </c>
      <c r="H1657" s="395">
        <v>17246.467000000001</v>
      </c>
      <c r="I1657" s="394">
        <v>15.030000000000001</v>
      </c>
      <c r="J1657" s="394">
        <v>24637.81</v>
      </c>
      <c r="K1657" s="393" t="s">
        <v>1033</v>
      </c>
    </row>
    <row r="1658" spans="1:12" hidden="1" x14ac:dyDescent="0.3">
      <c r="A1658" s="397" t="s">
        <v>2905</v>
      </c>
      <c r="C1658" s="397" t="s">
        <v>1053</v>
      </c>
      <c r="D1658" s="397" t="s">
        <v>2904</v>
      </c>
      <c r="E1658" s="397" t="s">
        <v>608</v>
      </c>
      <c r="F1658" s="397" t="s">
        <v>191</v>
      </c>
      <c r="G1658" s="396">
        <v>2</v>
      </c>
      <c r="H1658" s="395">
        <v>27156.338999999996</v>
      </c>
      <c r="I1658" s="394">
        <v>106.81</v>
      </c>
      <c r="J1658" s="394">
        <v>38794.769999999997</v>
      </c>
      <c r="K1658" s="393" t="s">
        <v>1033</v>
      </c>
    </row>
    <row r="1659" spans="1:12" hidden="1" x14ac:dyDescent="0.3">
      <c r="A1659" s="397" t="s">
        <v>2493</v>
      </c>
      <c r="C1659" s="397" t="s">
        <v>1053</v>
      </c>
      <c r="D1659" s="397" t="s">
        <v>2492</v>
      </c>
      <c r="E1659" s="397" t="s">
        <v>2252</v>
      </c>
      <c r="F1659" s="397" t="s">
        <v>191</v>
      </c>
      <c r="G1659" s="396">
        <v>1</v>
      </c>
      <c r="H1659" s="395">
        <v>32083.897999999997</v>
      </c>
      <c r="I1659" s="394">
        <v>31990.880000000001</v>
      </c>
      <c r="J1659" s="394">
        <v>45834.14</v>
      </c>
      <c r="K1659" s="393" t="s">
        <v>1033</v>
      </c>
    </row>
    <row r="1660" spans="1:12" hidden="1" x14ac:dyDescent="0.3">
      <c r="A1660" s="397" t="s">
        <v>5353</v>
      </c>
      <c r="C1660" s="397" t="s">
        <v>1053</v>
      </c>
      <c r="D1660" s="397" t="s">
        <v>5352</v>
      </c>
      <c r="E1660" s="397" t="s">
        <v>5351</v>
      </c>
      <c r="F1660" s="397" t="s">
        <v>191</v>
      </c>
      <c r="G1660" s="396">
        <v>9</v>
      </c>
      <c r="H1660" s="395">
        <v>1533.0210000000002</v>
      </c>
      <c r="I1660" s="394">
        <v>72.73</v>
      </c>
      <c r="J1660" s="394">
        <v>2190.0300000000002</v>
      </c>
      <c r="K1660" s="393" t="s">
        <v>1033</v>
      </c>
    </row>
    <row r="1661" spans="1:12" hidden="1" x14ac:dyDescent="0.3">
      <c r="A1661" s="397" t="s">
        <v>2892</v>
      </c>
      <c r="C1661" s="397" t="s">
        <v>1053</v>
      </c>
      <c r="D1661" s="397" t="s">
        <v>2891</v>
      </c>
      <c r="E1661" s="397" t="s">
        <v>2890</v>
      </c>
      <c r="F1661" s="397" t="s">
        <v>191</v>
      </c>
      <c r="G1661" s="396">
        <v>5</v>
      </c>
      <c r="H1661" s="395">
        <v>29236.865000000002</v>
      </c>
      <c r="I1661" s="394">
        <v>29148.49</v>
      </c>
      <c r="J1661" s="394">
        <v>41766.949999999997</v>
      </c>
      <c r="K1661" s="393" t="s">
        <v>1033</v>
      </c>
      <c r="L1661" s="395">
        <v>1</v>
      </c>
    </row>
    <row r="1662" spans="1:12" hidden="1" x14ac:dyDescent="0.3">
      <c r="A1662" s="397" t="s">
        <v>5075</v>
      </c>
      <c r="C1662" s="397" t="s">
        <v>1053</v>
      </c>
      <c r="D1662" s="397" t="s">
        <v>5074</v>
      </c>
      <c r="E1662" s="397" t="s">
        <v>5073</v>
      </c>
      <c r="F1662" s="397" t="s">
        <v>191</v>
      </c>
      <c r="G1662" s="396">
        <v>1</v>
      </c>
      <c r="H1662" s="395">
        <v>19272.238999999998</v>
      </c>
      <c r="I1662" s="394">
        <v>1336.23</v>
      </c>
      <c r="J1662" s="394">
        <v>27531.77</v>
      </c>
      <c r="K1662" s="393" t="s">
        <v>1033</v>
      </c>
    </row>
    <row r="1663" spans="1:12" hidden="1" x14ac:dyDescent="0.3">
      <c r="A1663" s="397" t="s">
        <v>2946</v>
      </c>
      <c r="C1663" s="397" t="s">
        <v>1053</v>
      </c>
      <c r="D1663" s="397" t="s">
        <v>2945</v>
      </c>
      <c r="E1663" s="397" t="s">
        <v>2868</v>
      </c>
      <c r="F1663" s="397" t="s">
        <v>191</v>
      </c>
      <c r="G1663" s="396">
        <v>2</v>
      </c>
      <c r="H1663" s="395">
        <v>13523.419</v>
      </c>
      <c r="I1663" s="394">
        <v>13487.44</v>
      </c>
      <c r="J1663" s="394">
        <v>19319.169999999998</v>
      </c>
      <c r="K1663" s="393" t="s">
        <v>1033</v>
      </c>
    </row>
    <row r="1664" spans="1:12" hidden="1" x14ac:dyDescent="0.3">
      <c r="A1664" s="397" t="s">
        <v>7919</v>
      </c>
      <c r="C1664" s="397" t="s">
        <v>1053</v>
      </c>
      <c r="D1664" s="397" t="s">
        <v>7918</v>
      </c>
      <c r="E1664" s="397" t="s">
        <v>7917</v>
      </c>
      <c r="F1664" s="397" t="s">
        <v>191</v>
      </c>
      <c r="G1664" s="396">
        <v>5</v>
      </c>
      <c r="H1664" s="395">
        <v>8650.607</v>
      </c>
      <c r="I1664" s="394">
        <v>8638.65</v>
      </c>
      <c r="J1664" s="394">
        <v>12358.01</v>
      </c>
      <c r="K1664" s="393" t="s">
        <v>1033</v>
      </c>
    </row>
    <row r="1665" spans="1:11" hidden="1" x14ac:dyDescent="0.3">
      <c r="A1665" s="397" t="s">
        <v>6985</v>
      </c>
      <c r="C1665" s="397" t="s">
        <v>1053</v>
      </c>
      <c r="D1665" s="397" t="s">
        <v>6984</v>
      </c>
      <c r="E1665" s="397" t="s">
        <v>6983</v>
      </c>
      <c r="F1665" s="397" t="s">
        <v>191</v>
      </c>
      <c r="G1665" s="396">
        <v>1</v>
      </c>
      <c r="H1665" s="395">
        <v>58438.555</v>
      </c>
      <c r="I1665" s="394">
        <v>54.1</v>
      </c>
      <c r="J1665" s="394">
        <v>83483.649999999994</v>
      </c>
      <c r="K1665" s="393" t="s">
        <v>1033</v>
      </c>
    </row>
    <row r="1666" spans="1:11" hidden="1" x14ac:dyDescent="0.3">
      <c r="A1666" s="397" t="s">
        <v>6550</v>
      </c>
      <c r="C1666" s="397" t="s">
        <v>1053</v>
      </c>
      <c r="D1666" s="397" t="s">
        <v>6549</v>
      </c>
      <c r="E1666" s="397" t="s">
        <v>6548</v>
      </c>
      <c r="F1666" s="397" t="s">
        <v>191</v>
      </c>
      <c r="G1666" s="396">
        <v>2</v>
      </c>
      <c r="H1666" s="395">
        <v>5736.6539999999995</v>
      </c>
      <c r="I1666" s="394">
        <v>5732.78</v>
      </c>
      <c r="J1666" s="394">
        <v>8195.2199999999993</v>
      </c>
      <c r="K1666" s="393" t="s">
        <v>1033</v>
      </c>
    </row>
    <row r="1667" spans="1:11" hidden="1" x14ac:dyDescent="0.3">
      <c r="A1667" s="397" t="s">
        <v>7557</v>
      </c>
      <c r="C1667" s="397" t="s">
        <v>1053</v>
      </c>
      <c r="D1667" s="397" t="s">
        <v>7556</v>
      </c>
      <c r="E1667" s="397" t="s">
        <v>5589</v>
      </c>
      <c r="F1667" s="397" t="s">
        <v>191</v>
      </c>
      <c r="G1667" s="396">
        <v>2</v>
      </c>
      <c r="H1667" s="395">
        <v>6086.451</v>
      </c>
      <c r="I1667" s="394">
        <v>4064.78</v>
      </c>
      <c r="J1667" s="394">
        <v>8694.93</v>
      </c>
      <c r="K1667" s="393" t="s">
        <v>1033</v>
      </c>
    </row>
    <row r="1668" spans="1:11" hidden="1" x14ac:dyDescent="0.3">
      <c r="A1668" s="397" t="s">
        <v>2546</v>
      </c>
      <c r="C1668" s="397" t="s">
        <v>1053</v>
      </c>
      <c r="D1668" s="397" t="s">
        <v>2545</v>
      </c>
      <c r="E1668" s="397" t="s">
        <v>2035</v>
      </c>
      <c r="F1668" s="397" t="s">
        <v>191</v>
      </c>
      <c r="G1668" s="396">
        <v>17</v>
      </c>
      <c r="H1668" s="395">
        <v>4595.6540000000005</v>
      </c>
      <c r="I1668" s="394">
        <v>2951.17</v>
      </c>
      <c r="J1668" s="394">
        <v>6565.22</v>
      </c>
      <c r="K1668" s="393" t="s">
        <v>1033</v>
      </c>
    </row>
    <row r="1669" spans="1:11" hidden="1" x14ac:dyDescent="0.3">
      <c r="A1669" s="397" t="s">
        <v>7176</v>
      </c>
      <c r="C1669" s="397" t="s">
        <v>1053</v>
      </c>
      <c r="D1669" s="397" t="s">
        <v>7175</v>
      </c>
      <c r="E1669" s="397" t="s">
        <v>608</v>
      </c>
      <c r="F1669" s="397" t="s">
        <v>191</v>
      </c>
      <c r="G1669" s="396">
        <v>1</v>
      </c>
      <c r="H1669" s="395">
        <v>30605.631000000001</v>
      </c>
      <c r="I1669" s="394">
        <v>57.910000000000004</v>
      </c>
      <c r="J1669" s="394">
        <v>43722.33</v>
      </c>
      <c r="K1669" s="393" t="s">
        <v>1033</v>
      </c>
    </row>
    <row r="1670" spans="1:11" hidden="1" x14ac:dyDescent="0.3">
      <c r="A1670" s="397" t="s">
        <v>2884</v>
      </c>
      <c r="C1670" s="397" t="s">
        <v>1053</v>
      </c>
      <c r="D1670" s="397" t="s">
        <v>2883</v>
      </c>
      <c r="E1670" s="397" t="s">
        <v>2882</v>
      </c>
      <c r="F1670" s="397" t="s">
        <v>191</v>
      </c>
      <c r="G1670" s="396">
        <v>1</v>
      </c>
      <c r="H1670" s="395">
        <v>21736.022000000001</v>
      </c>
      <c r="I1670" s="394">
        <v>3512.64</v>
      </c>
      <c r="J1670" s="394">
        <v>31051.46</v>
      </c>
      <c r="K1670" s="393" t="s">
        <v>1033</v>
      </c>
    </row>
    <row r="1671" spans="1:11" hidden="1" x14ac:dyDescent="0.3">
      <c r="A1671" s="397" t="s">
        <v>2894</v>
      </c>
      <c r="C1671" s="397" t="s">
        <v>1053</v>
      </c>
      <c r="D1671" s="397" t="s">
        <v>2893</v>
      </c>
      <c r="E1671" s="397" t="s">
        <v>608</v>
      </c>
      <c r="F1671" s="397" t="s">
        <v>191</v>
      </c>
      <c r="G1671" s="396">
        <v>1</v>
      </c>
      <c r="H1671" s="395">
        <v>42815.030999999995</v>
      </c>
      <c r="I1671" s="394">
        <v>3201.33</v>
      </c>
      <c r="J1671" s="394">
        <v>61164.33</v>
      </c>
      <c r="K1671" s="393" t="s">
        <v>1033</v>
      </c>
    </row>
    <row r="1672" spans="1:11" hidden="1" x14ac:dyDescent="0.3">
      <c r="A1672" s="397" t="s">
        <v>2870</v>
      </c>
      <c r="C1672" s="397" t="s">
        <v>1053</v>
      </c>
      <c r="D1672" s="397" t="s">
        <v>2869</v>
      </c>
      <c r="E1672" s="397" t="s">
        <v>2868</v>
      </c>
      <c r="F1672" s="397" t="s">
        <v>191</v>
      </c>
      <c r="G1672" s="396">
        <v>1</v>
      </c>
      <c r="H1672" s="395">
        <v>42495.607000000004</v>
      </c>
      <c r="I1672" s="394">
        <v>39068.86</v>
      </c>
      <c r="J1672" s="394">
        <v>60708.01</v>
      </c>
      <c r="K1672" s="393" t="s">
        <v>1033</v>
      </c>
    </row>
    <row r="1673" spans="1:11" hidden="1" x14ac:dyDescent="0.3">
      <c r="A1673" s="397" t="s">
        <v>2921</v>
      </c>
      <c r="C1673" s="397" t="s">
        <v>1053</v>
      </c>
      <c r="D1673" s="397" t="s">
        <v>2920</v>
      </c>
      <c r="E1673" s="397" t="s">
        <v>608</v>
      </c>
      <c r="F1673" s="397" t="s">
        <v>191</v>
      </c>
      <c r="G1673" s="396">
        <v>1</v>
      </c>
      <c r="H1673" s="395">
        <v>19290.397000000001</v>
      </c>
      <c r="I1673" s="394">
        <v>33.43</v>
      </c>
      <c r="J1673" s="394">
        <v>27557.71</v>
      </c>
      <c r="K1673" s="393" t="s">
        <v>1033</v>
      </c>
    </row>
    <row r="1674" spans="1:11" hidden="1" x14ac:dyDescent="0.3">
      <c r="A1674" s="397" t="s">
        <v>2620</v>
      </c>
      <c r="C1674" s="397" t="s">
        <v>1053</v>
      </c>
      <c r="D1674" s="397" t="s">
        <v>2619</v>
      </c>
      <c r="E1674" s="397" t="s">
        <v>596</v>
      </c>
      <c r="F1674" s="397" t="s">
        <v>191</v>
      </c>
      <c r="G1674" s="396">
        <v>4</v>
      </c>
      <c r="H1674" s="395">
        <v>3011.288</v>
      </c>
      <c r="I1674" s="394">
        <v>113.82000000000001</v>
      </c>
      <c r="J1674" s="394">
        <v>4301.84</v>
      </c>
      <c r="K1674" s="393" t="s">
        <v>1033</v>
      </c>
    </row>
    <row r="1675" spans="1:11" hidden="1" x14ac:dyDescent="0.3">
      <c r="A1675" s="397" t="s">
        <v>2682</v>
      </c>
      <c r="C1675" s="397" t="s">
        <v>1053</v>
      </c>
      <c r="D1675" s="397" t="s">
        <v>2681</v>
      </c>
      <c r="E1675" s="397" t="s">
        <v>717</v>
      </c>
      <c r="F1675" s="397" t="s">
        <v>191</v>
      </c>
      <c r="G1675" s="396">
        <v>7</v>
      </c>
      <c r="H1675" s="395">
        <v>2792.2859999999996</v>
      </c>
      <c r="I1675" s="394">
        <v>125.91</v>
      </c>
      <c r="J1675" s="394">
        <v>3988.98</v>
      </c>
      <c r="K1675" s="393" t="s">
        <v>1033</v>
      </c>
    </row>
    <row r="1676" spans="1:11" hidden="1" x14ac:dyDescent="0.3">
      <c r="A1676" s="397" t="s">
        <v>2722</v>
      </c>
      <c r="C1676" s="397" t="s">
        <v>1053</v>
      </c>
      <c r="D1676" s="397" t="s">
        <v>2721</v>
      </c>
      <c r="E1676" s="397" t="s">
        <v>2718</v>
      </c>
      <c r="F1676" s="397" t="s">
        <v>191</v>
      </c>
      <c r="G1676" s="396">
        <v>4</v>
      </c>
      <c r="H1676" s="395">
        <v>4872.8119999999999</v>
      </c>
      <c r="I1676" s="394">
        <v>216.8</v>
      </c>
      <c r="J1676" s="394">
        <v>6961.16</v>
      </c>
      <c r="K1676" s="393" t="s">
        <v>1033</v>
      </c>
    </row>
    <row r="1677" spans="1:11" hidden="1" x14ac:dyDescent="0.3">
      <c r="A1677" s="397" t="s">
        <v>2973</v>
      </c>
      <c r="C1677" s="397" t="s">
        <v>1053</v>
      </c>
      <c r="D1677" s="397" t="s">
        <v>2972</v>
      </c>
      <c r="E1677" s="397" t="s">
        <v>608</v>
      </c>
      <c r="F1677" s="397" t="s">
        <v>191</v>
      </c>
      <c r="G1677" s="396">
        <v>1</v>
      </c>
      <c r="H1677" s="395">
        <v>10074.127</v>
      </c>
      <c r="I1677" s="394">
        <v>12.52</v>
      </c>
      <c r="J1677" s="394">
        <v>14391.61</v>
      </c>
      <c r="K1677" s="393" t="s">
        <v>1033</v>
      </c>
    </row>
    <row r="1678" spans="1:11" hidden="1" x14ac:dyDescent="0.3">
      <c r="A1678" s="397" t="s">
        <v>2495</v>
      </c>
      <c r="C1678" s="397" t="s">
        <v>1053</v>
      </c>
      <c r="D1678" s="397" t="s">
        <v>3018</v>
      </c>
      <c r="E1678" s="397" t="s">
        <v>3015</v>
      </c>
      <c r="F1678" s="397" t="s">
        <v>191</v>
      </c>
      <c r="G1678" s="396">
        <v>10</v>
      </c>
      <c r="H1678" s="395">
        <v>1134.7280000000001</v>
      </c>
      <c r="I1678" s="394">
        <v>1114.6600000000001</v>
      </c>
      <c r="J1678" s="394">
        <v>1621.04</v>
      </c>
      <c r="K1678" s="393" t="s">
        <v>1033</v>
      </c>
    </row>
    <row r="1679" spans="1:11" hidden="1" x14ac:dyDescent="0.3">
      <c r="A1679" s="397" t="s">
        <v>2495</v>
      </c>
      <c r="C1679" s="397" t="s">
        <v>1053</v>
      </c>
      <c r="D1679" s="397" t="s">
        <v>2947</v>
      </c>
      <c r="E1679" s="397" t="s">
        <v>608</v>
      </c>
      <c r="F1679" s="397" t="s">
        <v>191</v>
      </c>
      <c r="G1679" s="396">
        <v>2</v>
      </c>
      <c r="H1679" s="395">
        <v>17246.467000000001</v>
      </c>
      <c r="I1679" s="394">
        <v>17165.84</v>
      </c>
      <c r="J1679" s="394">
        <v>24637.81</v>
      </c>
      <c r="K1679" s="393" t="s">
        <v>1033</v>
      </c>
    </row>
    <row r="1680" spans="1:11" hidden="1" x14ac:dyDescent="0.3">
      <c r="A1680" s="397" t="s">
        <v>2495</v>
      </c>
      <c r="C1680" s="397" t="s">
        <v>1053</v>
      </c>
      <c r="D1680" s="397" t="s">
        <v>2494</v>
      </c>
      <c r="E1680" s="397" t="s">
        <v>501</v>
      </c>
      <c r="F1680" s="397" t="s">
        <v>191</v>
      </c>
      <c r="G1680" s="396">
        <v>1</v>
      </c>
      <c r="H1680" s="395">
        <v>5091.8140000000003</v>
      </c>
      <c r="I1680" s="394">
        <v>5071.72</v>
      </c>
      <c r="J1680" s="394">
        <v>7274.02</v>
      </c>
      <c r="K1680" s="393" t="s">
        <v>1033</v>
      </c>
    </row>
    <row r="1681" spans="1:11" hidden="1" x14ac:dyDescent="0.3">
      <c r="A1681" s="397" t="s">
        <v>2949</v>
      </c>
      <c r="C1681" s="397" t="s">
        <v>1053</v>
      </c>
      <c r="D1681" s="397" t="s">
        <v>2948</v>
      </c>
      <c r="E1681" s="397" t="s">
        <v>608</v>
      </c>
      <c r="F1681" s="397" t="s">
        <v>191</v>
      </c>
      <c r="G1681" s="396">
        <v>2</v>
      </c>
      <c r="H1681" s="395">
        <v>15822.947</v>
      </c>
      <c r="I1681" s="394">
        <v>10842.67</v>
      </c>
      <c r="J1681" s="394">
        <v>22604.21</v>
      </c>
      <c r="K1681" s="393" t="s">
        <v>1033</v>
      </c>
    </row>
    <row r="1682" spans="1:11" hidden="1" x14ac:dyDescent="0.3">
      <c r="A1682" s="397" t="s">
        <v>2981</v>
      </c>
      <c r="C1682" s="397" t="s">
        <v>1053</v>
      </c>
      <c r="D1682" s="397" t="s">
        <v>2980</v>
      </c>
      <c r="E1682" s="397" t="s">
        <v>2979</v>
      </c>
      <c r="F1682" s="397" t="s">
        <v>191</v>
      </c>
      <c r="G1682" s="396">
        <v>1</v>
      </c>
      <c r="H1682" s="395">
        <v>38051.727000000006</v>
      </c>
      <c r="I1682" s="394">
        <v>627.07000000000005</v>
      </c>
      <c r="J1682" s="394">
        <v>54359.61</v>
      </c>
      <c r="K1682" s="393" t="s">
        <v>1033</v>
      </c>
    </row>
    <row r="1683" spans="1:11" hidden="1" x14ac:dyDescent="0.3">
      <c r="A1683" s="397" t="s">
        <v>4459</v>
      </c>
      <c r="C1683" s="397" t="s">
        <v>1053</v>
      </c>
      <c r="D1683" s="397" t="s">
        <v>4458</v>
      </c>
      <c r="E1683" s="397" t="s">
        <v>4457</v>
      </c>
      <c r="F1683" s="397" t="s">
        <v>191</v>
      </c>
      <c r="G1683" s="396">
        <v>1</v>
      </c>
      <c r="H1683" s="395">
        <v>6725.2080000000005</v>
      </c>
      <c r="I1683" s="394">
        <v>289.26</v>
      </c>
      <c r="J1683" s="394">
        <v>9607.44</v>
      </c>
      <c r="K1683" s="393" t="s">
        <v>1033</v>
      </c>
    </row>
    <row r="1684" spans="1:11" hidden="1" x14ac:dyDescent="0.3">
      <c r="A1684" s="397" t="s">
        <v>2944</v>
      </c>
      <c r="C1684" s="397" t="s">
        <v>1053</v>
      </c>
      <c r="D1684" s="397" t="s">
        <v>2943</v>
      </c>
      <c r="E1684" s="397" t="s">
        <v>608</v>
      </c>
      <c r="F1684" s="397" t="s">
        <v>191</v>
      </c>
      <c r="G1684" s="396">
        <v>3</v>
      </c>
      <c r="H1684" s="395">
        <v>20312.502</v>
      </c>
      <c r="I1684" s="394">
        <v>2339.39</v>
      </c>
      <c r="J1684" s="394">
        <v>29017.86</v>
      </c>
      <c r="K1684" s="393" t="s">
        <v>1033</v>
      </c>
    </row>
    <row r="1685" spans="1:11" hidden="1" x14ac:dyDescent="0.3">
      <c r="A1685" s="397" t="s">
        <v>5367</v>
      </c>
      <c r="C1685" s="397" t="s">
        <v>1053</v>
      </c>
      <c r="D1685" s="397" t="s">
        <v>5366</v>
      </c>
      <c r="E1685" s="397" t="s">
        <v>5365</v>
      </c>
      <c r="F1685" s="397" t="s">
        <v>191</v>
      </c>
      <c r="G1685" s="396">
        <v>1</v>
      </c>
      <c r="H1685" s="395">
        <v>8.484</v>
      </c>
      <c r="I1685" s="394">
        <v>8.27</v>
      </c>
      <c r="J1685" s="394">
        <v>12.120000000000001</v>
      </c>
      <c r="K1685" s="393" t="s">
        <v>1033</v>
      </c>
    </row>
    <row r="1686" spans="1:11" hidden="1" x14ac:dyDescent="0.3">
      <c r="A1686" s="397" t="s">
        <v>6438</v>
      </c>
      <c r="C1686" s="397" t="s">
        <v>1053</v>
      </c>
      <c r="D1686" s="397" t="s">
        <v>6437</v>
      </c>
      <c r="E1686" s="397" t="s">
        <v>6434</v>
      </c>
      <c r="F1686" s="397" t="s">
        <v>191</v>
      </c>
      <c r="G1686" s="396">
        <v>3</v>
      </c>
      <c r="H1686" s="395">
        <v>20882.82</v>
      </c>
      <c r="I1686" s="394">
        <v>15208.6</v>
      </c>
      <c r="J1686" s="394">
        <v>29832.600000000002</v>
      </c>
      <c r="K1686" s="393" t="s">
        <v>1033</v>
      </c>
    </row>
    <row r="1687" spans="1:11" hidden="1" x14ac:dyDescent="0.3">
      <c r="A1687" s="397" t="s">
        <v>2914</v>
      </c>
      <c r="C1687" s="397" t="s">
        <v>1053</v>
      </c>
      <c r="D1687" s="397" t="s">
        <v>2913</v>
      </c>
      <c r="E1687" s="397" t="s">
        <v>683</v>
      </c>
      <c r="F1687" s="397" t="s">
        <v>191</v>
      </c>
      <c r="G1687" s="396">
        <v>2</v>
      </c>
      <c r="H1687" s="395">
        <v>14399.427</v>
      </c>
      <c r="I1687" s="394">
        <v>736.14</v>
      </c>
      <c r="J1687" s="394">
        <v>20570.61</v>
      </c>
      <c r="K1687" s="393" t="s">
        <v>1033</v>
      </c>
    </row>
    <row r="1688" spans="1:11" hidden="1" x14ac:dyDescent="0.3">
      <c r="A1688" s="397" t="s">
        <v>2717</v>
      </c>
      <c r="C1688" s="397" t="s">
        <v>1053</v>
      </c>
      <c r="D1688" s="397" t="s">
        <v>2716</v>
      </c>
      <c r="E1688" s="397" t="s">
        <v>2715</v>
      </c>
      <c r="F1688" s="397" t="s">
        <v>191</v>
      </c>
      <c r="G1688" s="396">
        <v>5</v>
      </c>
      <c r="H1688" s="395">
        <v>3120.7890000000002</v>
      </c>
      <c r="I1688" s="394">
        <v>1763</v>
      </c>
      <c r="J1688" s="394">
        <v>4458.2700000000004</v>
      </c>
      <c r="K1688" s="393" t="s">
        <v>1033</v>
      </c>
    </row>
    <row r="1689" spans="1:11" hidden="1" x14ac:dyDescent="0.3">
      <c r="A1689" s="397" t="s">
        <v>6665</v>
      </c>
      <c r="C1689" s="397" t="s">
        <v>1053</v>
      </c>
      <c r="D1689" s="397" t="s">
        <v>6664</v>
      </c>
      <c r="E1689" s="397" t="s">
        <v>6658</v>
      </c>
      <c r="F1689" s="397" t="s">
        <v>191</v>
      </c>
      <c r="G1689" s="396">
        <v>1</v>
      </c>
      <c r="H1689" s="395">
        <v>21407.519</v>
      </c>
      <c r="I1689" s="394">
        <v>16575.759999999998</v>
      </c>
      <c r="J1689" s="394">
        <v>30582.170000000002</v>
      </c>
      <c r="K1689" s="393" t="s">
        <v>1033</v>
      </c>
    </row>
    <row r="1690" spans="1:11" hidden="1" x14ac:dyDescent="0.3">
      <c r="A1690" s="397" t="s">
        <v>2919</v>
      </c>
      <c r="C1690" s="397" t="s">
        <v>1053</v>
      </c>
      <c r="D1690" s="397" t="s">
        <v>2918</v>
      </c>
      <c r="E1690" s="397" t="s">
        <v>2917</v>
      </c>
      <c r="F1690" s="397" t="s">
        <v>191</v>
      </c>
      <c r="G1690" s="396">
        <v>2</v>
      </c>
      <c r="H1690" s="395">
        <v>19290.397000000001</v>
      </c>
      <c r="I1690" s="394">
        <v>1087.6300000000001</v>
      </c>
      <c r="J1690" s="394">
        <v>27557.71</v>
      </c>
      <c r="K1690" s="393" t="s">
        <v>1033</v>
      </c>
    </row>
    <row r="1691" spans="1:11" hidden="1" x14ac:dyDescent="0.3">
      <c r="A1691" s="397" t="s">
        <v>2878</v>
      </c>
      <c r="C1691" s="397" t="s">
        <v>1053</v>
      </c>
      <c r="D1691" s="397" t="s">
        <v>2877</v>
      </c>
      <c r="E1691" s="397" t="s">
        <v>608</v>
      </c>
      <c r="F1691" s="397" t="s">
        <v>191</v>
      </c>
      <c r="G1691" s="396">
        <v>1</v>
      </c>
      <c r="H1691" s="395">
        <v>65974.573000000004</v>
      </c>
      <c r="I1691" s="394">
        <v>47984.75</v>
      </c>
      <c r="J1691" s="394">
        <v>94249.39</v>
      </c>
      <c r="K1691" s="393" t="s">
        <v>1033</v>
      </c>
    </row>
    <row r="1692" spans="1:11" hidden="1" x14ac:dyDescent="0.3">
      <c r="A1692" s="397" t="s">
        <v>2962</v>
      </c>
      <c r="C1692" s="397" t="s">
        <v>1053</v>
      </c>
      <c r="D1692" s="397" t="s">
        <v>2961</v>
      </c>
      <c r="E1692" s="397" t="s">
        <v>683</v>
      </c>
      <c r="F1692" s="397" t="s">
        <v>191</v>
      </c>
      <c r="G1692" s="396">
        <v>2</v>
      </c>
      <c r="H1692" s="395">
        <v>15439.69</v>
      </c>
      <c r="I1692" s="394">
        <v>10309.93</v>
      </c>
      <c r="J1692" s="394">
        <v>22056.7</v>
      </c>
      <c r="K1692" s="393" t="s">
        <v>1033</v>
      </c>
    </row>
    <row r="1693" spans="1:11" hidden="1" x14ac:dyDescent="0.3">
      <c r="A1693" s="397" t="s">
        <v>3852</v>
      </c>
      <c r="C1693" s="397" t="s">
        <v>1053</v>
      </c>
      <c r="D1693" s="397" t="s">
        <v>3851</v>
      </c>
      <c r="E1693" s="397" t="s">
        <v>3836</v>
      </c>
      <c r="F1693" s="397" t="s">
        <v>191</v>
      </c>
      <c r="G1693" s="396">
        <v>2</v>
      </c>
      <c r="H1693" s="395">
        <v>31022.347999999998</v>
      </c>
      <c r="I1693" s="394">
        <v>1465.01</v>
      </c>
      <c r="J1693" s="394">
        <v>44317.64</v>
      </c>
      <c r="K1693" s="393" t="s">
        <v>1033</v>
      </c>
    </row>
    <row r="1694" spans="1:11" hidden="1" x14ac:dyDescent="0.3">
      <c r="A1694" s="397" t="s">
        <v>7561</v>
      </c>
      <c r="C1694" s="397" t="s">
        <v>1053</v>
      </c>
      <c r="D1694" s="397" t="s">
        <v>7560</v>
      </c>
      <c r="E1694" s="397" t="s">
        <v>7559</v>
      </c>
      <c r="F1694" s="397" t="s">
        <v>191</v>
      </c>
      <c r="G1694" s="396">
        <v>1</v>
      </c>
      <c r="H1694" s="395">
        <v>6017.2139999999999</v>
      </c>
      <c r="I1694" s="394">
        <v>2757.26</v>
      </c>
      <c r="J1694" s="394">
        <v>8596.02</v>
      </c>
      <c r="K1694" s="393" t="s">
        <v>1033</v>
      </c>
    </row>
    <row r="1695" spans="1:11" hidden="1" x14ac:dyDescent="0.3">
      <c r="A1695" s="397" t="s">
        <v>6902</v>
      </c>
      <c r="C1695" s="397" t="s">
        <v>1053</v>
      </c>
      <c r="D1695" s="397" t="s">
        <v>6901</v>
      </c>
      <c r="E1695" s="397" t="s">
        <v>6900</v>
      </c>
      <c r="F1695" s="397" t="s">
        <v>191</v>
      </c>
      <c r="G1695" s="396">
        <v>1</v>
      </c>
      <c r="H1695" s="395">
        <v>13359.163999999999</v>
      </c>
      <c r="I1695" s="394">
        <v>26.3</v>
      </c>
      <c r="J1695" s="394">
        <v>19084.52</v>
      </c>
      <c r="K1695" s="393" t="s">
        <v>1033</v>
      </c>
    </row>
    <row r="1696" spans="1:11" hidden="1" x14ac:dyDescent="0.3">
      <c r="A1696" s="397" t="s">
        <v>2954</v>
      </c>
      <c r="C1696" s="397" t="s">
        <v>1053</v>
      </c>
      <c r="D1696" s="397" t="s">
        <v>2953</v>
      </c>
      <c r="E1696" s="397" t="s">
        <v>2952</v>
      </c>
      <c r="F1696" s="397" t="s">
        <v>191</v>
      </c>
      <c r="G1696" s="396">
        <v>2</v>
      </c>
      <c r="H1696" s="395">
        <v>17793.972000000002</v>
      </c>
      <c r="I1696" s="394">
        <v>17723.169999999998</v>
      </c>
      <c r="J1696" s="394">
        <v>25419.96</v>
      </c>
      <c r="K1696" s="393" t="s">
        <v>1033</v>
      </c>
    </row>
    <row r="1697" spans="1:12" hidden="1" x14ac:dyDescent="0.3">
      <c r="A1697" s="397" t="s">
        <v>2858</v>
      </c>
      <c r="C1697" s="397" t="s">
        <v>1053</v>
      </c>
      <c r="D1697" s="397" t="s">
        <v>2857</v>
      </c>
      <c r="E1697" s="397" t="s">
        <v>608</v>
      </c>
      <c r="F1697" s="397" t="s">
        <v>191</v>
      </c>
      <c r="G1697" s="396">
        <v>2</v>
      </c>
      <c r="H1697" s="395">
        <v>61977.775999999998</v>
      </c>
      <c r="I1697" s="394">
        <v>2443.69</v>
      </c>
      <c r="J1697" s="394">
        <v>88539.680000000008</v>
      </c>
      <c r="K1697" s="393" t="s">
        <v>1033</v>
      </c>
    </row>
    <row r="1698" spans="1:12" hidden="1" x14ac:dyDescent="0.3">
      <c r="A1698" s="397" t="s">
        <v>7916</v>
      </c>
      <c r="C1698" s="397" t="s">
        <v>1053</v>
      </c>
      <c r="D1698" s="397" t="s">
        <v>7915</v>
      </c>
      <c r="E1698" s="397" t="s">
        <v>7914</v>
      </c>
      <c r="F1698" s="397" t="s">
        <v>191</v>
      </c>
      <c r="G1698" s="396">
        <v>4</v>
      </c>
      <c r="H1698" s="395">
        <v>7227.0869999999995</v>
      </c>
      <c r="I1698" s="394">
        <v>7245.32</v>
      </c>
      <c r="J1698" s="394">
        <v>10324.41</v>
      </c>
      <c r="K1698" s="393" t="s">
        <v>1033</v>
      </c>
    </row>
    <row r="1699" spans="1:12" hidden="1" x14ac:dyDescent="0.3">
      <c r="A1699" s="397" t="s">
        <v>7614</v>
      </c>
      <c r="C1699" s="397" t="s">
        <v>1053</v>
      </c>
      <c r="D1699" s="397" t="s">
        <v>7613</v>
      </c>
      <c r="E1699" s="397" t="s">
        <v>7612</v>
      </c>
      <c r="F1699" s="397" t="s">
        <v>191</v>
      </c>
      <c r="G1699" s="396">
        <v>5</v>
      </c>
      <c r="H1699" s="395">
        <v>3661.0769999999998</v>
      </c>
      <c r="I1699" s="394">
        <v>3489.52</v>
      </c>
      <c r="J1699" s="394">
        <v>5230.1099999999997</v>
      </c>
      <c r="K1699" s="393" t="s">
        <v>1033</v>
      </c>
    </row>
    <row r="1700" spans="1:12" hidden="1" x14ac:dyDescent="0.3">
      <c r="A1700" s="397" t="s">
        <v>7617</v>
      </c>
      <c r="C1700" s="397" t="s">
        <v>1053</v>
      </c>
      <c r="D1700" s="397" t="s">
        <v>7616</v>
      </c>
      <c r="E1700" s="397" t="s">
        <v>437</v>
      </c>
      <c r="F1700" s="397" t="s">
        <v>191</v>
      </c>
      <c r="G1700" s="396">
        <v>5</v>
      </c>
      <c r="H1700" s="395">
        <v>9800.3709999999992</v>
      </c>
      <c r="I1700" s="394">
        <v>9753.31</v>
      </c>
      <c r="J1700" s="394">
        <v>14000.53</v>
      </c>
      <c r="K1700" s="393" t="s">
        <v>1033</v>
      </c>
    </row>
    <row r="1701" spans="1:12" hidden="1" x14ac:dyDescent="0.3">
      <c r="A1701" s="397" t="s">
        <v>2969</v>
      </c>
      <c r="C1701" s="397" t="s">
        <v>1053</v>
      </c>
      <c r="D1701" s="397" t="s">
        <v>2968</v>
      </c>
      <c r="E1701" s="397" t="s">
        <v>608</v>
      </c>
      <c r="F1701" s="397" t="s">
        <v>191</v>
      </c>
      <c r="G1701" s="396">
        <v>1</v>
      </c>
      <c r="H1701" s="395">
        <v>17848.719000000001</v>
      </c>
      <c r="I1701" s="394">
        <v>15796.61</v>
      </c>
      <c r="J1701" s="394">
        <v>25498.170000000002</v>
      </c>
      <c r="K1701" s="393" t="s">
        <v>1033</v>
      </c>
      <c r="L1701" s="395">
        <v>1</v>
      </c>
    </row>
    <row r="1702" spans="1:12" hidden="1" x14ac:dyDescent="0.3">
      <c r="A1702" s="397" t="s">
        <v>2939</v>
      </c>
      <c r="C1702" s="397" t="s">
        <v>1053</v>
      </c>
      <c r="D1702" s="397" t="s">
        <v>2938</v>
      </c>
      <c r="E1702" s="397" t="s">
        <v>2937</v>
      </c>
      <c r="F1702" s="397" t="s">
        <v>191</v>
      </c>
      <c r="G1702" s="396">
        <v>1</v>
      </c>
      <c r="H1702" s="395">
        <v>14946.938999999998</v>
      </c>
      <c r="I1702" s="394">
        <v>10253.4</v>
      </c>
      <c r="J1702" s="394">
        <v>21352.77</v>
      </c>
      <c r="K1702" s="393" t="s">
        <v>1033</v>
      </c>
    </row>
    <row r="1703" spans="1:12" hidden="1" x14ac:dyDescent="0.3">
      <c r="A1703" s="397" t="s">
        <v>3407</v>
      </c>
      <c r="C1703" s="397" t="s">
        <v>1053</v>
      </c>
      <c r="D1703" s="397" t="s">
        <v>3406</v>
      </c>
      <c r="E1703" s="397" t="s">
        <v>608</v>
      </c>
      <c r="F1703" s="397" t="s">
        <v>191</v>
      </c>
      <c r="G1703" s="396">
        <v>2</v>
      </c>
      <c r="H1703" s="395">
        <v>33069.413999999997</v>
      </c>
      <c r="I1703" s="394">
        <v>6052.62</v>
      </c>
      <c r="J1703" s="394">
        <v>47242.020000000004</v>
      </c>
      <c r="K1703" s="393" t="s">
        <v>1033</v>
      </c>
    </row>
    <row r="1704" spans="1:12" hidden="1" x14ac:dyDescent="0.3">
      <c r="A1704" s="397" t="s">
        <v>3285</v>
      </c>
      <c r="C1704" s="397" t="s">
        <v>1053</v>
      </c>
      <c r="D1704" s="397" t="s">
        <v>3284</v>
      </c>
      <c r="E1704" s="397" t="s">
        <v>676</v>
      </c>
      <c r="F1704" s="397" t="s">
        <v>191</v>
      </c>
      <c r="G1704" s="396">
        <v>1</v>
      </c>
      <c r="H1704" s="395">
        <v>1929.039</v>
      </c>
      <c r="I1704" s="394">
        <v>1848.44</v>
      </c>
      <c r="J1704" s="394">
        <v>2755.77</v>
      </c>
      <c r="K1704" s="393" t="s">
        <v>1033</v>
      </c>
    </row>
    <row r="1705" spans="1:12" hidden="1" x14ac:dyDescent="0.3">
      <c r="A1705" s="397" t="s">
        <v>7761</v>
      </c>
      <c r="C1705" s="397" t="s">
        <v>1053</v>
      </c>
      <c r="D1705" s="397" t="s">
        <v>7760</v>
      </c>
      <c r="E1705" s="397" t="s">
        <v>7759</v>
      </c>
      <c r="F1705" s="397" t="s">
        <v>191</v>
      </c>
      <c r="G1705" s="396">
        <v>4</v>
      </c>
      <c r="H1705" s="395">
        <v>8340.2619999999988</v>
      </c>
      <c r="I1705" s="394">
        <v>8192.7800000000007</v>
      </c>
      <c r="J1705" s="394">
        <v>11914.66</v>
      </c>
      <c r="K1705" s="393" t="s">
        <v>1033</v>
      </c>
    </row>
    <row r="1706" spans="1:12" hidden="1" x14ac:dyDescent="0.3">
      <c r="A1706" s="397" t="s">
        <v>2589</v>
      </c>
      <c r="C1706" s="397" t="s">
        <v>1053</v>
      </c>
      <c r="D1706" s="397" t="s">
        <v>2588</v>
      </c>
      <c r="E1706" s="397" t="s">
        <v>2577</v>
      </c>
      <c r="F1706" s="397" t="s">
        <v>191</v>
      </c>
      <c r="G1706" s="396">
        <v>4</v>
      </c>
      <c r="H1706" s="395">
        <v>2847.0329999999999</v>
      </c>
      <c r="I1706" s="394">
        <v>2842.39</v>
      </c>
      <c r="J1706" s="394">
        <v>4067.19</v>
      </c>
      <c r="K1706" s="393" t="s">
        <v>1033</v>
      </c>
    </row>
    <row r="1707" spans="1:12" hidden="1" x14ac:dyDescent="0.3">
      <c r="A1707" s="397" t="s">
        <v>860</v>
      </c>
      <c r="C1707" s="397" t="s">
        <v>1053</v>
      </c>
      <c r="D1707" s="397" t="s">
        <v>6977</v>
      </c>
      <c r="E1707" s="397" t="s">
        <v>6976</v>
      </c>
      <c r="F1707" s="397" t="s">
        <v>191</v>
      </c>
      <c r="G1707" s="396">
        <v>1</v>
      </c>
      <c r="H1707" s="395">
        <v>57269.212</v>
      </c>
      <c r="I1707" s="394">
        <v>57126.590000000004</v>
      </c>
      <c r="J1707" s="394">
        <v>81813.16</v>
      </c>
      <c r="K1707" s="393" t="s">
        <v>1033</v>
      </c>
    </row>
    <row r="1708" spans="1:12" hidden="1" x14ac:dyDescent="0.3">
      <c r="A1708" s="397" t="s">
        <v>860</v>
      </c>
      <c r="C1708" s="397" t="s">
        <v>1053</v>
      </c>
      <c r="D1708" s="397" t="s">
        <v>502</v>
      </c>
      <c r="E1708" s="397" t="s">
        <v>501</v>
      </c>
      <c r="F1708" s="397" t="s">
        <v>191</v>
      </c>
      <c r="G1708" s="396">
        <v>4</v>
      </c>
      <c r="H1708" s="395">
        <v>19203.8</v>
      </c>
      <c r="I1708" s="394">
        <v>19156.759999999998</v>
      </c>
      <c r="J1708" s="394">
        <v>27434</v>
      </c>
      <c r="K1708" s="393" t="s">
        <v>1033</v>
      </c>
      <c r="L1708" s="395">
        <v>2</v>
      </c>
    </row>
    <row r="1709" spans="1:12" hidden="1" x14ac:dyDescent="0.3">
      <c r="A1709" s="397" t="s">
        <v>2967</v>
      </c>
      <c r="C1709" s="397" t="s">
        <v>1053</v>
      </c>
      <c r="D1709" s="397" t="s">
        <v>681</v>
      </c>
      <c r="E1709" s="397" t="s">
        <v>682</v>
      </c>
      <c r="F1709" s="397" t="s">
        <v>191</v>
      </c>
      <c r="G1709" s="396">
        <v>10</v>
      </c>
      <c r="H1709" s="395">
        <v>17848.719000000001</v>
      </c>
      <c r="I1709" s="394">
        <v>17333.04</v>
      </c>
      <c r="J1709" s="394">
        <v>25498.170000000002</v>
      </c>
      <c r="K1709" s="393" t="s">
        <v>1033</v>
      </c>
    </row>
    <row r="1710" spans="1:12" hidden="1" x14ac:dyDescent="0.3">
      <c r="A1710" s="397" t="s">
        <v>2927</v>
      </c>
      <c r="C1710" s="397" t="s">
        <v>1053</v>
      </c>
      <c r="D1710" s="397" t="s">
        <v>2926</v>
      </c>
      <c r="E1710" s="397" t="s">
        <v>2925</v>
      </c>
      <c r="F1710" s="397" t="s">
        <v>191</v>
      </c>
      <c r="G1710" s="396">
        <v>2</v>
      </c>
      <c r="H1710" s="395">
        <v>25513.817000000003</v>
      </c>
      <c r="I1710" s="394">
        <v>17481.84</v>
      </c>
      <c r="J1710" s="394">
        <v>36448.31</v>
      </c>
      <c r="K1710" s="393" t="s">
        <v>1033</v>
      </c>
    </row>
    <row r="1711" spans="1:12" hidden="1" x14ac:dyDescent="0.3">
      <c r="A1711" s="397" t="s">
        <v>7008</v>
      </c>
      <c r="C1711" s="397" t="s">
        <v>1053</v>
      </c>
      <c r="D1711" s="397" t="s">
        <v>7007</v>
      </c>
      <c r="E1711" s="397" t="s">
        <v>6992</v>
      </c>
      <c r="F1711" s="397" t="s">
        <v>191</v>
      </c>
      <c r="G1711" s="396">
        <v>1</v>
      </c>
      <c r="H1711" s="395">
        <v>58145.227000000006</v>
      </c>
      <c r="I1711" s="394">
        <v>38027.75</v>
      </c>
      <c r="J1711" s="394">
        <v>83064.61</v>
      </c>
      <c r="K1711" s="393" t="s">
        <v>1033</v>
      </c>
    </row>
    <row r="1712" spans="1:12" hidden="1" x14ac:dyDescent="0.3">
      <c r="A1712" s="397" t="s">
        <v>2889</v>
      </c>
      <c r="C1712" s="397" t="s">
        <v>1053</v>
      </c>
      <c r="D1712" s="397" t="s">
        <v>2888</v>
      </c>
      <c r="E1712" s="397" t="s">
        <v>2887</v>
      </c>
      <c r="F1712" s="397" t="s">
        <v>191</v>
      </c>
      <c r="G1712" s="396">
        <v>8</v>
      </c>
      <c r="H1712" s="395">
        <v>43800.547000000006</v>
      </c>
      <c r="I1712" s="394">
        <v>39172.879999999997</v>
      </c>
      <c r="J1712" s="394">
        <v>62572.21</v>
      </c>
      <c r="K1712" s="393" t="s">
        <v>1033</v>
      </c>
    </row>
    <row r="1713" spans="1:12" hidden="1" x14ac:dyDescent="0.3">
      <c r="A1713" s="397" t="s">
        <v>7054</v>
      </c>
      <c r="C1713" s="397" t="s">
        <v>1053</v>
      </c>
      <c r="D1713" s="397" t="s">
        <v>7053</v>
      </c>
      <c r="E1713" s="397" t="s">
        <v>7052</v>
      </c>
      <c r="F1713" s="397" t="s">
        <v>191</v>
      </c>
      <c r="G1713" s="396">
        <v>1</v>
      </c>
      <c r="H1713" s="395">
        <v>41939.023000000001</v>
      </c>
      <c r="I1713" s="394">
        <v>282.11</v>
      </c>
      <c r="J1713" s="394">
        <v>59912.89</v>
      </c>
      <c r="K1713" s="393" t="s">
        <v>1033</v>
      </c>
    </row>
    <row r="1714" spans="1:12" hidden="1" x14ac:dyDescent="0.3">
      <c r="A1714" s="397" t="s">
        <v>6660</v>
      </c>
      <c r="C1714" s="397" t="s">
        <v>1053</v>
      </c>
      <c r="D1714" s="397" t="s">
        <v>6659</v>
      </c>
      <c r="E1714" s="397" t="s">
        <v>6658</v>
      </c>
      <c r="F1714" s="397" t="s">
        <v>191</v>
      </c>
      <c r="G1714" s="396">
        <v>1</v>
      </c>
      <c r="H1714" s="395">
        <v>13607.062</v>
      </c>
      <c r="I1714" s="394">
        <v>13365.91</v>
      </c>
      <c r="J1714" s="394">
        <v>19438.66</v>
      </c>
      <c r="K1714" s="393" t="s">
        <v>1033</v>
      </c>
    </row>
    <row r="1715" spans="1:12" hidden="1" x14ac:dyDescent="0.3">
      <c r="A1715" s="397" t="s">
        <v>2934</v>
      </c>
      <c r="C1715" s="397" t="s">
        <v>1053</v>
      </c>
      <c r="D1715" s="397" t="s">
        <v>2933</v>
      </c>
      <c r="E1715" s="397" t="s">
        <v>608</v>
      </c>
      <c r="F1715" s="397" t="s">
        <v>191</v>
      </c>
      <c r="G1715" s="396">
        <v>1</v>
      </c>
      <c r="H1715" s="395">
        <v>20750.506000000001</v>
      </c>
      <c r="I1715" s="394">
        <v>20224.13</v>
      </c>
      <c r="J1715" s="394">
        <v>29643.58</v>
      </c>
      <c r="K1715" s="393" t="s">
        <v>1033</v>
      </c>
    </row>
    <row r="1716" spans="1:12" hidden="1" x14ac:dyDescent="0.3">
      <c r="A1716" s="397" t="s">
        <v>6843</v>
      </c>
      <c r="C1716" s="397" t="s">
        <v>1053</v>
      </c>
      <c r="D1716" s="397" t="s">
        <v>6842</v>
      </c>
      <c r="E1716" s="397" t="s">
        <v>501</v>
      </c>
      <c r="F1716" s="397" t="s">
        <v>191</v>
      </c>
      <c r="G1716" s="396">
        <v>5</v>
      </c>
      <c r="H1716" s="395">
        <v>18119.437000000002</v>
      </c>
      <c r="I1716" s="394">
        <v>15210.42</v>
      </c>
      <c r="J1716" s="394">
        <v>25884.91</v>
      </c>
      <c r="K1716" s="393" t="s">
        <v>1033</v>
      </c>
    </row>
    <row r="1717" spans="1:12" hidden="1" x14ac:dyDescent="0.3">
      <c r="A1717" s="397" t="s">
        <v>2828</v>
      </c>
      <c r="C1717" s="397" t="s">
        <v>1053</v>
      </c>
      <c r="D1717" s="397" t="s">
        <v>2827</v>
      </c>
      <c r="E1717" s="397" t="s">
        <v>677</v>
      </c>
      <c r="F1717" s="397" t="s">
        <v>191</v>
      </c>
      <c r="G1717" s="396">
        <v>3</v>
      </c>
      <c r="H1717" s="395">
        <v>8636.5509999999995</v>
      </c>
      <c r="I1717" s="394">
        <v>8483.83</v>
      </c>
      <c r="J1717" s="394">
        <v>12337.93</v>
      </c>
      <c r="K1717" s="393" t="s">
        <v>1033</v>
      </c>
    </row>
    <row r="1718" spans="1:12" hidden="1" x14ac:dyDescent="0.3">
      <c r="A1718" s="397" t="s">
        <v>2881</v>
      </c>
      <c r="C1718" s="397" t="s">
        <v>1053</v>
      </c>
      <c r="D1718" s="397" t="s">
        <v>2880</v>
      </c>
      <c r="E1718" s="397" t="s">
        <v>2879</v>
      </c>
      <c r="F1718" s="397" t="s">
        <v>191</v>
      </c>
      <c r="G1718" s="396">
        <v>1</v>
      </c>
      <c r="H1718" s="395">
        <v>39037.236000000004</v>
      </c>
      <c r="I1718" s="394">
        <v>30202.240000000002</v>
      </c>
      <c r="J1718" s="394">
        <v>55767.48</v>
      </c>
      <c r="K1718" s="393" t="s">
        <v>1033</v>
      </c>
      <c r="L1718" s="395">
        <v>1</v>
      </c>
    </row>
    <row r="1719" spans="1:12" hidden="1" x14ac:dyDescent="0.3">
      <c r="A1719" s="397" t="s">
        <v>2910</v>
      </c>
      <c r="C1719" s="397" t="s">
        <v>1053</v>
      </c>
      <c r="D1719" s="397" t="s">
        <v>2909</v>
      </c>
      <c r="E1719" s="397" t="s">
        <v>2908</v>
      </c>
      <c r="F1719" s="397" t="s">
        <v>191</v>
      </c>
      <c r="G1719" s="396">
        <v>2</v>
      </c>
      <c r="H1719" s="395">
        <v>23433.290999999997</v>
      </c>
      <c r="I1719" s="394">
        <v>22779.33</v>
      </c>
      <c r="J1719" s="394">
        <v>33476.129999999997</v>
      </c>
      <c r="K1719" s="393" t="s">
        <v>1033</v>
      </c>
    </row>
    <row r="1720" spans="1:12" hidden="1" x14ac:dyDescent="0.3">
      <c r="A1720" s="397" t="s">
        <v>2897</v>
      </c>
      <c r="C1720" s="397" t="s">
        <v>1053</v>
      </c>
      <c r="D1720" s="397" t="s">
        <v>685</v>
      </c>
      <c r="E1720" s="397" t="s">
        <v>683</v>
      </c>
      <c r="F1720" s="397" t="s">
        <v>191</v>
      </c>
      <c r="G1720" s="396">
        <v>1</v>
      </c>
      <c r="H1720" s="395">
        <v>38183.635000000002</v>
      </c>
      <c r="I1720" s="394">
        <v>30611.91</v>
      </c>
      <c r="J1720" s="394">
        <v>54548.05</v>
      </c>
      <c r="K1720" s="393" t="s">
        <v>1033</v>
      </c>
    </row>
    <row r="1721" spans="1:12" hidden="1" x14ac:dyDescent="0.3">
      <c r="A1721" s="397" t="s">
        <v>2964</v>
      </c>
      <c r="C1721" s="397" t="s">
        <v>1053</v>
      </c>
      <c r="D1721" s="397" t="s">
        <v>2963</v>
      </c>
      <c r="E1721" s="397" t="s">
        <v>608</v>
      </c>
      <c r="F1721" s="397" t="s">
        <v>191</v>
      </c>
      <c r="G1721" s="396">
        <v>1</v>
      </c>
      <c r="H1721" s="395">
        <v>13632.92</v>
      </c>
      <c r="I1721" s="394">
        <v>6857.67</v>
      </c>
      <c r="J1721" s="394">
        <v>19475.599999999999</v>
      </c>
      <c r="K1721" s="393" t="s">
        <v>1033</v>
      </c>
    </row>
    <row r="1722" spans="1:12" hidden="1" x14ac:dyDescent="0.3">
      <c r="A1722" s="397" t="s">
        <v>4520</v>
      </c>
      <c r="C1722" s="397" t="s">
        <v>1053</v>
      </c>
      <c r="D1722" s="397" t="s">
        <v>4519</v>
      </c>
      <c r="E1722" s="397" t="s">
        <v>4518</v>
      </c>
      <c r="F1722" s="397" t="s">
        <v>191</v>
      </c>
      <c r="G1722" s="396">
        <v>1</v>
      </c>
      <c r="H1722" s="395">
        <v>3574.3959999999997</v>
      </c>
      <c r="I1722" s="394">
        <v>39.049999999999997</v>
      </c>
      <c r="J1722" s="394">
        <v>5106.28</v>
      </c>
      <c r="K1722" s="393" t="s">
        <v>1033</v>
      </c>
    </row>
    <row r="1723" spans="1:12" hidden="1" x14ac:dyDescent="0.3">
      <c r="A1723" s="397" t="s">
        <v>3764</v>
      </c>
      <c r="C1723" s="397" t="s">
        <v>1053</v>
      </c>
      <c r="D1723" s="397" t="s">
        <v>3763</v>
      </c>
      <c r="E1723" s="397" t="s">
        <v>3762</v>
      </c>
      <c r="F1723" s="397" t="s">
        <v>191</v>
      </c>
      <c r="G1723" s="396">
        <v>1</v>
      </c>
      <c r="H1723" s="395">
        <v>3971.5550000000003</v>
      </c>
      <c r="I1723" s="394">
        <v>4.6399999999999997</v>
      </c>
      <c r="J1723" s="394">
        <v>5673.6500000000005</v>
      </c>
      <c r="K1723" s="393" t="s">
        <v>1033</v>
      </c>
    </row>
    <row r="1724" spans="1:12" hidden="1" x14ac:dyDescent="0.3">
      <c r="A1724" s="397" t="s">
        <v>6926</v>
      </c>
      <c r="C1724" s="397" t="s">
        <v>1053</v>
      </c>
      <c r="D1724" s="397" t="s">
        <v>6925</v>
      </c>
      <c r="E1724" s="397" t="s">
        <v>4460</v>
      </c>
      <c r="F1724" s="397" t="s">
        <v>191</v>
      </c>
      <c r="G1724" s="396">
        <v>1</v>
      </c>
      <c r="H1724" s="395">
        <v>3832.5490000000004</v>
      </c>
      <c r="I1724" s="394">
        <v>6.05</v>
      </c>
      <c r="J1724" s="394">
        <v>5475.07</v>
      </c>
      <c r="K1724" s="393" t="s">
        <v>1033</v>
      </c>
    </row>
    <row r="1725" spans="1:12" hidden="1" x14ac:dyDescent="0.3">
      <c r="A1725" s="397" t="s">
        <v>5505</v>
      </c>
      <c r="C1725" s="397" t="s">
        <v>1053</v>
      </c>
      <c r="D1725" s="397" t="s">
        <v>6954</v>
      </c>
      <c r="E1725" s="397" t="s">
        <v>374</v>
      </c>
      <c r="F1725" s="397" t="s">
        <v>191</v>
      </c>
      <c r="G1725" s="396">
        <v>1</v>
      </c>
      <c r="H1725" s="395">
        <v>7446.0959999999995</v>
      </c>
      <c r="I1725" s="394">
        <v>15.3</v>
      </c>
      <c r="J1725" s="394">
        <v>10637.28</v>
      </c>
      <c r="K1725" s="393" t="s">
        <v>1033</v>
      </c>
    </row>
    <row r="1726" spans="1:12" hidden="1" x14ac:dyDescent="0.3">
      <c r="A1726" s="397" t="s">
        <v>5505</v>
      </c>
      <c r="C1726" s="397" t="s">
        <v>1053</v>
      </c>
      <c r="D1726" s="397" t="s">
        <v>5504</v>
      </c>
      <c r="E1726" s="397" t="s">
        <v>5503</v>
      </c>
      <c r="F1726" s="397" t="s">
        <v>191</v>
      </c>
      <c r="G1726" s="396">
        <v>2</v>
      </c>
      <c r="H1726" s="395">
        <v>7578.41</v>
      </c>
      <c r="I1726" s="394">
        <v>7399.07</v>
      </c>
      <c r="J1726" s="394">
        <v>10826.300000000001</v>
      </c>
      <c r="K1726" s="393" t="s">
        <v>1033</v>
      </c>
    </row>
    <row r="1727" spans="1:12" hidden="1" x14ac:dyDescent="0.3">
      <c r="A1727" s="397" t="s">
        <v>2576</v>
      </c>
      <c r="C1727" s="397" t="s">
        <v>1053</v>
      </c>
      <c r="D1727" s="397" t="s">
        <v>2575</v>
      </c>
      <c r="E1727" s="397" t="s">
        <v>2574</v>
      </c>
      <c r="F1727" s="397" t="s">
        <v>191</v>
      </c>
      <c r="G1727" s="396">
        <v>1</v>
      </c>
      <c r="H1727" s="395">
        <v>14563.681999999997</v>
      </c>
      <c r="I1727" s="394">
        <v>15.92</v>
      </c>
      <c r="J1727" s="394">
        <v>20805.259999999998</v>
      </c>
      <c r="K1727" s="393" t="s">
        <v>1033</v>
      </c>
    </row>
    <row r="1728" spans="1:12" hidden="1" x14ac:dyDescent="0.3">
      <c r="A1728" s="397" t="s">
        <v>2502</v>
      </c>
      <c r="C1728" s="397" t="s">
        <v>1053</v>
      </c>
      <c r="D1728" s="397" t="s">
        <v>2501</v>
      </c>
      <c r="E1728" s="397" t="s">
        <v>2500</v>
      </c>
      <c r="F1728" s="397" t="s">
        <v>191</v>
      </c>
      <c r="G1728" s="396">
        <v>8</v>
      </c>
      <c r="H1728" s="395">
        <v>3777.7950000000001</v>
      </c>
      <c r="I1728" s="394">
        <v>560.84</v>
      </c>
      <c r="J1728" s="394">
        <v>5396.85</v>
      </c>
      <c r="K1728" s="393" t="s">
        <v>1033</v>
      </c>
    </row>
    <row r="1729" spans="1:11" hidden="1" x14ac:dyDescent="0.3">
      <c r="A1729" s="397" t="s">
        <v>5232</v>
      </c>
      <c r="C1729" s="397" t="s">
        <v>1053</v>
      </c>
      <c r="D1729" s="397" t="s">
        <v>5231</v>
      </c>
      <c r="E1729" s="397" t="s">
        <v>5230</v>
      </c>
      <c r="F1729" s="397" t="s">
        <v>191</v>
      </c>
      <c r="G1729" s="396">
        <v>2</v>
      </c>
      <c r="H1729" s="395">
        <v>3262.2309999999998</v>
      </c>
      <c r="I1729" s="394">
        <v>7.78</v>
      </c>
      <c r="J1729" s="394">
        <v>4660.33</v>
      </c>
      <c r="K1729" s="393" t="s">
        <v>1033</v>
      </c>
    </row>
    <row r="1730" spans="1:11" hidden="1" x14ac:dyDescent="0.3">
      <c r="A1730" s="397" t="s">
        <v>3048</v>
      </c>
      <c r="C1730" s="397" t="s">
        <v>1053</v>
      </c>
      <c r="D1730" s="397" t="s">
        <v>3047</v>
      </c>
      <c r="E1730" s="397" t="s">
        <v>596</v>
      </c>
      <c r="F1730" s="397" t="s">
        <v>191</v>
      </c>
      <c r="G1730" s="396">
        <v>4</v>
      </c>
      <c r="H1730" s="395">
        <v>1533.0210000000002</v>
      </c>
      <c r="I1730" s="394">
        <v>1009.58</v>
      </c>
      <c r="J1730" s="394">
        <v>2190.0300000000002</v>
      </c>
      <c r="K1730" s="393" t="s">
        <v>1033</v>
      </c>
    </row>
    <row r="1731" spans="1:11" hidden="1" x14ac:dyDescent="0.3">
      <c r="A1731" s="397" t="s">
        <v>5144</v>
      </c>
      <c r="C1731" s="397" t="s">
        <v>1053</v>
      </c>
      <c r="D1731" s="397" t="s">
        <v>5143</v>
      </c>
      <c r="E1731" s="397" t="s">
        <v>5142</v>
      </c>
      <c r="F1731" s="397" t="s">
        <v>191</v>
      </c>
      <c r="G1731" s="396">
        <v>1</v>
      </c>
      <c r="H1731" s="395">
        <v>3880.7720000000004</v>
      </c>
      <c r="I1731" s="394">
        <v>47.51</v>
      </c>
      <c r="J1731" s="394">
        <v>5543.96</v>
      </c>
      <c r="K1731" s="393" t="s">
        <v>1033</v>
      </c>
    </row>
    <row r="1732" spans="1:11" hidden="1" x14ac:dyDescent="0.3">
      <c r="A1732" s="397" t="s">
        <v>6422</v>
      </c>
      <c r="C1732" s="397" t="s">
        <v>1053</v>
      </c>
      <c r="D1732" s="397" t="s">
        <v>6421</v>
      </c>
      <c r="E1732" s="397" t="s">
        <v>553</v>
      </c>
      <c r="F1732" s="397" t="s">
        <v>191</v>
      </c>
      <c r="G1732" s="396">
        <v>8</v>
      </c>
      <c r="H1732" s="395">
        <v>3882.7390000000005</v>
      </c>
      <c r="I1732" s="394">
        <v>3823.84</v>
      </c>
      <c r="J1732" s="394">
        <v>5546.77</v>
      </c>
      <c r="K1732" s="393" t="s">
        <v>1033</v>
      </c>
    </row>
    <row r="1733" spans="1:11" hidden="1" x14ac:dyDescent="0.3">
      <c r="A1733" s="397" t="s">
        <v>4594</v>
      </c>
      <c r="C1733" s="397" t="s">
        <v>1053</v>
      </c>
      <c r="D1733" s="397" t="s">
        <v>4593</v>
      </c>
      <c r="E1733" s="397" t="s">
        <v>4592</v>
      </c>
      <c r="F1733" s="397" t="s">
        <v>191</v>
      </c>
      <c r="G1733" s="396">
        <v>1</v>
      </c>
      <c r="H1733" s="395">
        <v>2004.7160000000001</v>
      </c>
      <c r="I1733" s="394">
        <v>80.650000000000006</v>
      </c>
      <c r="J1733" s="394">
        <v>2863.88</v>
      </c>
      <c r="K1733" s="393" t="s">
        <v>1033</v>
      </c>
    </row>
    <row r="1734" spans="1:11" hidden="1" x14ac:dyDescent="0.3">
      <c r="A1734" s="397" t="s">
        <v>3064</v>
      </c>
      <c r="C1734" s="397" t="s">
        <v>1053</v>
      </c>
      <c r="D1734" s="397" t="s">
        <v>3063</v>
      </c>
      <c r="E1734" s="397" t="s">
        <v>3062</v>
      </c>
      <c r="F1734" s="397" t="s">
        <v>191</v>
      </c>
      <c r="G1734" s="396">
        <v>10</v>
      </c>
      <c r="H1734" s="395">
        <v>1806.77</v>
      </c>
      <c r="I1734" s="394">
        <v>1652.3</v>
      </c>
      <c r="J1734" s="394">
        <v>2581.1</v>
      </c>
      <c r="K1734" s="393" t="s">
        <v>1033</v>
      </c>
    </row>
    <row r="1735" spans="1:11" hidden="1" x14ac:dyDescent="0.3">
      <c r="A1735" s="397" t="s">
        <v>1057</v>
      </c>
      <c r="C1735" s="397" t="s">
        <v>1034</v>
      </c>
      <c r="D1735" s="397" t="s">
        <v>1056</v>
      </c>
      <c r="E1735" s="397" t="s">
        <v>1055</v>
      </c>
      <c r="F1735" s="397" t="s">
        <v>416</v>
      </c>
      <c r="G1735" s="396">
        <v>49</v>
      </c>
      <c r="H1735" s="395">
        <v>15.93</v>
      </c>
      <c r="I1735" s="394">
        <v>17.7</v>
      </c>
      <c r="J1735" s="394">
        <v>21.240000000000002</v>
      </c>
      <c r="K1735" s="393" t="s">
        <v>1033</v>
      </c>
    </row>
    <row r="1736" spans="1:11" hidden="1" x14ac:dyDescent="0.3">
      <c r="A1736" s="397" t="s">
        <v>4609</v>
      </c>
      <c r="C1736" s="397" t="s">
        <v>1053</v>
      </c>
      <c r="D1736" s="397" t="s">
        <v>4608</v>
      </c>
      <c r="E1736" s="397" t="s">
        <v>2209</v>
      </c>
      <c r="F1736" s="397" t="s">
        <v>191</v>
      </c>
      <c r="G1736" s="396">
        <v>1</v>
      </c>
      <c r="H1736" s="395">
        <v>38567.739000000001</v>
      </c>
      <c r="I1736" s="394">
        <v>91.73</v>
      </c>
      <c r="J1736" s="394">
        <v>55096.770000000004</v>
      </c>
      <c r="K1736" s="393" t="s">
        <v>1033</v>
      </c>
    </row>
    <row r="1737" spans="1:11" hidden="1" x14ac:dyDescent="0.3">
      <c r="A1737" s="397" t="s">
        <v>2626</v>
      </c>
      <c r="C1737" s="397" t="s">
        <v>1053</v>
      </c>
      <c r="D1737" s="397" t="s">
        <v>2625</v>
      </c>
      <c r="E1737" s="397" t="s">
        <v>596</v>
      </c>
      <c r="F1737" s="397" t="s">
        <v>191</v>
      </c>
      <c r="G1737" s="396">
        <v>8</v>
      </c>
      <c r="H1737" s="395">
        <v>2463.7829999999999</v>
      </c>
      <c r="I1737" s="394">
        <v>1406.1100000000001</v>
      </c>
      <c r="J1737" s="394">
        <v>3519.69</v>
      </c>
      <c r="K1737" s="393" t="s">
        <v>1033</v>
      </c>
    </row>
    <row r="1738" spans="1:11" hidden="1" x14ac:dyDescent="0.3">
      <c r="A1738" s="397" t="s">
        <v>3858</v>
      </c>
      <c r="C1738" s="397" t="s">
        <v>1053</v>
      </c>
      <c r="D1738" s="397" t="s">
        <v>3857</v>
      </c>
      <c r="E1738" s="397" t="s">
        <v>3856</v>
      </c>
      <c r="F1738" s="397" t="s">
        <v>191</v>
      </c>
      <c r="G1738" s="396">
        <v>1</v>
      </c>
      <c r="H1738" s="395">
        <v>2042.5160000000001</v>
      </c>
      <c r="I1738" s="394">
        <v>2.81</v>
      </c>
      <c r="J1738" s="394">
        <v>2917.88</v>
      </c>
      <c r="K1738" s="393" t="s">
        <v>1033</v>
      </c>
    </row>
    <row r="1739" spans="1:11" hidden="1" x14ac:dyDescent="0.3">
      <c r="A1739" s="397" t="s">
        <v>3017</v>
      </c>
      <c r="C1739" s="397" t="s">
        <v>1053</v>
      </c>
      <c r="D1739" s="397" t="s">
        <v>3016</v>
      </c>
      <c r="E1739" s="397" t="s">
        <v>3015</v>
      </c>
      <c r="F1739" s="397" t="s">
        <v>191</v>
      </c>
      <c r="G1739" s="396">
        <v>7</v>
      </c>
      <c r="H1739" s="395">
        <v>1149.7639999999999</v>
      </c>
      <c r="I1739" s="394">
        <v>160.22999999999999</v>
      </c>
      <c r="J1739" s="394">
        <v>1642.52</v>
      </c>
      <c r="K1739" s="393" t="s">
        <v>1033</v>
      </c>
    </row>
    <row r="1740" spans="1:11" hidden="1" x14ac:dyDescent="0.3">
      <c r="A1740" s="397" t="s">
        <v>3906</v>
      </c>
      <c r="C1740" s="397" t="s">
        <v>1053</v>
      </c>
      <c r="D1740" s="397" t="s">
        <v>3905</v>
      </c>
      <c r="E1740" s="397" t="s">
        <v>3904</v>
      </c>
      <c r="F1740" s="397" t="s">
        <v>191</v>
      </c>
      <c r="G1740" s="396">
        <v>1</v>
      </c>
      <c r="H1740" s="395">
        <v>14018.445</v>
      </c>
      <c r="I1740" s="394">
        <v>46.64</v>
      </c>
      <c r="J1740" s="394">
        <v>20026.349999999999</v>
      </c>
      <c r="K1740" s="393" t="s">
        <v>1033</v>
      </c>
    </row>
    <row r="1741" spans="1:11" hidden="1" x14ac:dyDescent="0.3">
      <c r="A1741" s="397" t="s">
        <v>2622</v>
      </c>
      <c r="C1741" s="397" t="s">
        <v>1053</v>
      </c>
      <c r="D1741" s="397" t="s">
        <v>2621</v>
      </c>
      <c r="E1741" s="397" t="s">
        <v>553</v>
      </c>
      <c r="F1741" s="397" t="s">
        <v>191</v>
      </c>
      <c r="G1741" s="396">
        <v>7</v>
      </c>
      <c r="H1741" s="395">
        <v>3394.5450000000001</v>
      </c>
      <c r="I1741" s="394">
        <v>693.86</v>
      </c>
      <c r="J1741" s="394">
        <v>4849.3500000000004</v>
      </c>
      <c r="K1741" s="393" t="s">
        <v>1033</v>
      </c>
    </row>
    <row r="1742" spans="1:11" hidden="1" x14ac:dyDescent="0.3">
      <c r="A1742" s="397" t="s">
        <v>2684</v>
      </c>
      <c r="C1742" s="397" t="s">
        <v>1053</v>
      </c>
      <c r="D1742" s="397" t="s">
        <v>2683</v>
      </c>
      <c r="E1742" s="397" t="s">
        <v>717</v>
      </c>
      <c r="F1742" s="397" t="s">
        <v>191</v>
      </c>
      <c r="G1742" s="396">
        <v>8</v>
      </c>
      <c r="H1742" s="395">
        <v>2780.085</v>
      </c>
      <c r="I1742" s="394">
        <v>235.3</v>
      </c>
      <c r="J1742" s="394">
        <v>3971.55</v>
      </c>
      <c r="K1742" s="393" t="s">
        <v>1033</v>
      </c>
    </row>
    <row r="1743" spans="1:11" hidden="1" x14ac:dyDescent="0.3">
      <c r="A1743" s="397" t="s">
        <v>4591</v>
      </c>
      <c r="C1743" s="397" t="s">
        <v>1053</v>
      </c>
      <c r="D1743" s="397" t="s">
        <v>4590</v>
      </c>
      <c r="E1743" s="397" t="s">
        <v>2209</v>
      </c>
      <c r="F1743" s="397" t="s">
        <v>191</v>
      </c>
      <c r="G1743" s="396">
        <v>1</v>
      </c>
      <c r="H1743" s="395">
        <v>39602.044999999998</v>
      </c>
      <c r="I1743" s="394">
        <v>29.28</v>
      </c>
      <c r="J1743" s="394">
        <v>56574.35</v>
      </c>
      <c r="K1743" s="393" t="s">
        <v>1033</v>
      </c>
    </row>
    <row r="1744" spans="1:11" hidden="1" x14ac:dyDescent="0.3">
      <c r="A1744" s="397" t="s">
        <v>4589</v>
      </c>
      <c r="C1744" s="397" t="s">
        <v>1053</v>
      </c>
      <c r="D1744" s="397" t="s">
        <v>4588</v>
      </c>
      <c r="E1744" s="397" t="s">
        <v>2209</v>
      </c>
      <c r="F1744" s="397" t="s">
        <v>191</v>
      </c>
      <c r="G1744" s="396">
        <v>1</v>
      </c>
      <c r="H1744" s="395">
        <v>45243.919000000002</v>
      </c>
      <c r="I1744" s="394">
        <v>96.38</v>
      </c>
      <c r="J1744" s="394">
        <v>64634.17</v>
      </c>
      <c r="K1744" s="393" t="s">
        <v>1033</v>
      </c>
    </row>
    <row r="1745" spans="1:11" hidden="1" x14ac:dyDescent="0.3">
      <c r="A1745" s="397" t="s">
        <v>3360</v>
      </c>
      <c r="C1745" s="397" t="s">
        <v>1053</v>
      </c>
      <c r="D1745" s="397" t="s">
        <v>3359</v>
      </c>
      <c r="E1745" s="397" t="s">
        <v>602</v>
      </c>
      <c r="F1745" s="397" t="s">
        <v>191</v>
      </c>
      <c r="G1745" s="396">
        <v>1</v>
      </c>
      <c r="H1745" s="395">
        <v>2042.5160000000001</v>
      </c>
      <c r="I1745" s="394">
        <v>227.05</v>
      </c>
      <c r="J1745" s="394">
        <v>2917.88</v>
      </c>
      <c r="K1745" s="393" t="s">
        <v>1033</v>
      </c>
    </row>
    <row r="1746" spans="1:11" hidden="1" x14ac:dyDescent="0.3">
      <c r="A1746" s="397" t="s">
        <v>2585</v>
      </c>
      <c r="C1746" s="397" t="s">
        <v>1053</v>
      </c>
      <c r="D1746" s="397" t="s">
        <v>2584</v>
      </c>
      <c r="E1746" s="397" t="s">
        <v>2583</v>
      </c>
      <c r="F1746" s="397" t="s">
        <v>191</v>
      </c>
      <c r="G1746" s="396">
        <v>1</v>
      </c>
      <c r="H1746" s="395">
        <v>3011.288</v>
      </c>
      <c r="I1746" s="394">
        <v>3.93</v>
      </c>
      <c r="J1746" s="394">
        <v>4301.84</v>
      </c>
      <c r="K1746" s="393" t="s">
        <v>1033</v>
      </c>
    </row>
    <row r="1747" spans="1:11" hidden="1" x14ac:dyDescent="0.3">
      <c r="A1747" s="397" t="s">
        <v>2592</v>
      </c>
      <c r="C1747" s="397" t="s">
        <v>1053</v>
      </c>
      <c r="D1747" s="397" t="s">
        <v>2591</v>
      </c>
      <c r="E1747" s="397" t="s">
        <v>2590</v>
      </c>
      <c r="F1747" s="397" t="s">
        <v>191</v>
      </c>
      <c r="G1747" s="396">
        <v>1</v>
      </c>
      <c r="H1747" s="395">
        <v>1929.039</v>
      </c>
      <c r="I1747" s="394">
        <v>2.64</v>
      </c>
      <c r="J1747" s="394">
        <v>2755.77</v>
      </c>
      <c r="K1747" s="393" t="s">
        <v>1033</v>
      </c>
    </row>
    <row r="1748" spans="1:11" hidden="1" x14ac:dyDescent="0.3">
      <c r="A1748" s="397" t="s">
        <v>2587</v>
      </c>
      <c r="C1748" s="397" t="s">
        <v>1053</v>
      </c>
      <c r="D1748" s="397" t="s">
        <v>2586</v>
      </c>
      <c r="E1748" s="397" t="s">
        <v>2577</v>
      </c>
      <c r="F1748" s="397" t="s">
        <v>191</v>
      </c>
      <c r="G1748" s="396">
        <v>2</v>
      </c>
      <c r="H1748" s="395">
        <v>3858.078</v>
      </c>
      <c r="I1748" s="394">
        <v>14.32</v>
      </c>
      <c r="J1748" s="394">
        <v>5511.54</v>
      </c>
      <c r="K1748" s="393" t="s">
        <v>1033</v>
      </c>
    </row>
    <row r="1749" spans="1:11" hidden="1" x14ac:dyDescent="0.3">
      <c r="A1749" s="397" t="s">
        <v>3152</v>
      </c>
      <c r="C1749" s="397" t="s">
        <v>1053</v>
      </c>
      <c r="D1749" s="397" t="s">
        <v>3151</v>
      </c>
      <c r="E1749" s="397" t="s">
        <v>2041</v>
      </c>
      <c r="F1749" s="397" t="s">
        <v>191</v>
      </c>
      <c r="G1749" s="396">
        <v>2</v>
      </c>
      <c r="H1749" s="395">
        <v>2950.297</v>
      </c>
      <c r="I1749" s="394">
        <v>1419.8700000000001</v>
      </c>
      <c r="J1749" s="394">
        <v>4214.71</v>
      </c>
      <c r="K1749" s="393" t="s">
        <v>1033</v>
      </c>
    </row>
    <row r="1750" spans="1:11" hidden="1" x14ac:dyDescent="0.3">
      <c r="A1750" s="397" t="s">
        <v>8238</v>
      </c>
      <c r="C1750" s="397" t="s">
        <v>1053</v>
      </c>
      <c r="D1750" s="397" t="s">
        <v>8237</v>
      </c>
      <c r="E1750" s="397" t="s">
        <v>8236</v>
      </c>
      <c r="F1750" s="397" t="s">
        <v>191</v>
      </c>
      <c r="G1750" s="396">
        <v>1</v>
      </c>
      <c r="H1750" s="395">
        <v>81639.032999999996</v>
      </c>
      <c r="I1750" s="394">
        <v>216.42000000000002</v>
      </c>
      <c r="J1750" s="394">
        <v>116627.19</v>
      </c>
      <c r="K1750" s="393" t="s">
        <v>1033</v>
      </c>
    </row>
    <row r="1751" spans="1:11" hidden="1" x14ac:dyDescent="0.3">
      <c r="A1751" s="397" t="s">
        <v>6096</v>
      </c>
      <c r="C1751" s="397" t="s">
        <v>1053</v>
      </c>
      <c r="D1751" s="397" t="s">
        <v>6095</v>
      </c>
      <c r="E1751" s="397" t="s">
        <v>581</v>
      </c>
      <c r="F1751" s="397" t="s">
        <v>191</v>
      </c>
      <c r="G1751" s="396">
        <v>2</v>
      </c>
      <c r="H1751" s="395">
        <v>14209.328000000001</v>
      </c>
      <c r="I1751" s="394">
        <v>17.53</v>
      </c>
      <c r="J1751" s="394">
        <v>20299.04</v>
      </c>
      <c r="K1751" s="393" t="s">
        <v>1033</v>
      </c>
    </row>
    <row r="1752" spans="1:11" hidden="1" x14ac:dyDescent="0.3">
      <c r="A1752" s="397" t="s">
        <v>4581</v>
      </c>
      <c r="C1752" s="397" t="s">
        <v>1053</v>
      </c>
      <c r="D1752" s="397" t="s">
        <v>4580</v>
      </c>
      <c r="E1752" s="397" t="s">
        <v>620</v>
      </c>
      <c r="F1752" s="397" t="s">
        <v>191</v>
      </c>
      <c r="G1752" s="396">
        <v>1</v>
      </c>
      <c r="H1752" s="395">
        <v>4161.0520000000006</v>
      </c>
      <c r="I1752" s="394">
        <v>47.410000000000004</v>
      </c>
      <c r="J1752" s="394">
        <v>5944.36</v>
      </c>
      <c r="K1752" s="393" t="s">
        <v>1033</v>
      </c>
    </row>
    <row r="1753" spans="1:11" hidden="1" x14ac:dyDescent="0.3">
      <c r="A1753" s="397" t="s">
        <v>6116</v>
      </c>
      <c r="C1753" s="397" t="s">
        <v>1053</v>
      </c>
      <c r="D1753" s="397" t="s">
        <v>6115</v>
      </c>
      <c r="E1753" s="397" t="s">
        <v>581</v>
      </c>
      <c r="F1753" s="397" t="s">
        <v>4053</v>
      </c>
      <c r="G1753" s="396">
        <v>1</v>
      </c>
      <c r="H1753" s="395">
        <v>12.866</v>
      </c>
      <c r="I1753" s="394">
        <v>3.85</v>
      </c>
      <c r="J1753" s="394">
        <v>18.38</v>
      </c>
      <c r="K1753" s="393" t="s">
        <v>1033</v>
      </c>
    </row>
    <row r="1754" spans="1:11" hidden="1" x14ac:dyDescent="0.3">
      <c r="A1754" s="397" t="s">
        <v>5499</v>
      </c>
      <c r="C1754" s="397" t="s">
        <v>1053</v>
      </c>
      <c r="D1754" s="397" t="s">
        <v>5498</v>
      </c>
      <c r="E1754" s="397" t="s">
        <v>5497</v>
      </c>
      <c r="F1754" s="397" t="s">
        <v>191</v>
      </c>
      <c r="G1754" s="396">
        <v>17</v>
      </c>
      <c r="H1754" s="395">
        <v>3262.2309999999998</v>
      </c>
      <c r="I1754" s="394">
        <v>3089.8</v>
      </c>
      <c r="J1754" s="394">
        <v>4660.33</v>
      </c>
      <c r="K1754" s="393" t="s">
        <v>1033</v>
      </c>
    </row>
    <row r="1755" spans="1:11" hidden="1" x14ac:dyDescent="0.3">
      <c r="A1755" s="397" t="s">
        <v>2034</v>
      </c>
      <c r="C1755" s="397" t="s">
        <v>1053</v>
      </c>
      <c r="D1755" s="397" t="s">
        <v>2033</v>
      </c>
      <c r="E1755" s="397" t="s">
        <v>2032</v>
      </c>
      <c r="F1755" s="397" t="s">
        <v>191</v>
      </c>
      <c r="G1755" s="396">
        <v>1</v>
      </c>
      <c r="H1755" s="395">
        <v>2409.029</v>
      </c>
      <c r="I1755" s="394">
        <v>347.18</v>
      </c>
      <c r="J1755" s="394">
        <v>3441.4700000000003</v>
      </c>
      <c r="K1755" s="393" t="s">
        <v>1033</v>
      </c>
    </row>
    <row r="1756" spans="1:11" hidden="1" x14ac:dyDescent="0.3">
      <c r="A1756" s="397" t="s">
        <v>7550</v>
      </c>
      <c r="C1756" s="397" t="s">
        <v>1053</v>
      </c>
      <c r="D1756" s="397" t="s">
        <v>7549</v>
      </c>
      <c r="E1756" s="397" t="s">
        <v>7548</v>
      </c>
      <c r="F1756" s="397" t="s">
        <v>191</v>
      </c>
      <c r="G1756" s="396">
        <v>2</v>
      </c>
      <c r="H1756" s="395">
        <v>9062.0740000000005</v>
      </c>
      <c r="I1756" s="394">
        <v>52.57</v>
      </c>
      <c r="J1756" s="394">
        <v>12945.82</v>
      </c>
      <c r="K1756" s="393" t="s">
        <v>1033</v>
      </c>
    </row>
    <row r="1757" spans="1:11" hidden="1" x14ac:dyDescent="0.3">
      <c r="A1757" s="397" t="s">
        <v>4604</v>
      </c>
      <c r="C1757" s="397" t="s">
        <v>1053</v>
      </c>
      <c r="D1757" s="397" t="s">
        <v>4603</v>
      </c>
      <c r="E1757" s="397" t="s">
        <v>4585</v>
      </c>
      <c r="F1757" s="397" t="s">
        <v>191</v>
      </c>
      <c r="G1757" s="396">
        <v>1</v>
      </c>
      <c r="H1757" s="395">
        <v>45088.204000000005</v>
      </c>
      <c r="I1757" s="394">
        <v>165.04</v>
      </c>
      <c r="J1757" s="394">
        <v>64411.72</v>
      </c>
      <c r="K1757" s="393" t="s">
        <v>1033</v>
      </c>
    </row>
    <row r="1758" spans="1:11" hidden="1" x14ac:dyDescent="0.3">
      <c r="A1758" s="397" t="s">
        <v>2552</v>
      </c>
      <c r="C1758" s="397" t="s">
        <v>1053</v>
      </c>
      <c r="D1758" s="397" t="s">
        <v>2551</v>
      </c>
      <c r="E1758" s="397" t="s">
        <v>2035</v>
      </c>
      <c r="F1758" s="397" t="s">
        <v>191</v>
      </c>
      <c r="G1758" s="396">
        <v>7</v>
      </c>
      <c r="H1758" s="395">
        <v>3290.7140000000004</v>
      </c>
      <c r="I1758" s="394">
        <v>247.96</v>
      </c>
      <c r="J1758" s="394">
        <v>4701.0200000000004</v>
      </c>
      <c r="K1758" s="393" t="s">
        <v>1033</v>
      </c>
    </row>
    <row r="1759" spans="1:11" hidden="1" x14ac:dyDescent="0.3">
      <c r="A1759" s="397" t="s">
        <v>4615</v>
      </c>
      <c r="C1759" s="397" t="s">
        <v>1053</v>
      </c>
      <c r="D1759" s="397" t="s">
        <v>4614</v>
      </c>
      <c r="E1759" s="397" t="s">
        <v>553</v>
      </c>
      <c r="F1759" s="397" t="s">
        <v>191</v>
      </c>
      <c r="G1759" s="396">
        <v>23</v>
      </c>
      <c r="H1759" s="395">
        <v>4605.58</v>
      </c>
      <c r="I1759" s="394">
        <v>4275.72</v>
      </c>
      <c r="J1759" s="394">
        <v>6579.4000000000005</v>
      </c>
      <c r="K1759" s="393" t="s">
        <v>1033</v>
      </c>
    </row>
    <row r="1760" spans="1:11" hidden="1" x14ac:dyDescent="0.3">
      <c r="A1760" s="397" t="s">
        <v>6397</v>
      </c>
      <c r="C1760" s="397" t="s">
        <v>1053</v>
      </c>
      <c r="D1760" s="397" t="s">
        <v>6396</v>
      </c>
      <c r="E1760" s="397" t="s">
        <v>6395</v>
      </c>
      <c r="F1760" s="397" t="s">
        <v>191</v>
      </c>
      <c r="G1760" s="396">
        <v>4</v>
      </c>
      <c r="H1760" s="395">
        <v>2798.3690000000001</v>
      </c>
      <c r="I1760" s="394">
        <v>17.38</v>
      </c>
      <c r="J1760" s="394">
        <v>3997.67</v>
      </c>
      <c r="K1760" s="393" t="s">
        <v>1033</v>
      </c>
    </row>
    <row r="1761" spans="1:12" hidden="1" x14ac:dyDescent="0.3">
      <c r="A1761" s="397" t="s">
        <v>6098</v>
      </c>
      <c r="C1761" s="397" t="s">
        <v>1053</v>
      </c>
      <c r="D1761" s="397" t="s">
        <v>6097</v>
      </c>
      <c r="E1761" s="397" t="s">
        <v>581</v>
      </c>
      <c r="F1761" s="397" t="s">
        <v>191</v>
      </c>
      <c r="G1761" s="396">
        <v>2</v>
      </c>
      <c r="H1761" s="395">
        <v>19682.824000000001</v>
      </c>
      <c r="I1761" s="394">
        <v>24.76</v>
      </c>
      <c r="J1761" s="394">
        <v>28118.32</v>
      </c>
      <c r="K1761" s="393" t="s">
        <v>1033</v>
      </c>
    </row>
    <row r="1762" spans="1:12" hidden="1" x14ac:dyDescent="0.3">
      <c r="A1762" s="397" t="s">
        <v>6101</v>
      </c>
      <c r="C1762" s="397" t="s">
        <v>1053</v>
      </c>
      <c r="D1762" s="397" t="s">
        <v>6100</v>
      </c>
      <c r="E1762" s="397" t="s">
        <v>6099</v>
      </c>
      <c r="F1762" s="397" t="s">
        <v>191</v>
      </c>
      <c r="G1762" s="396">
        <v>20</v>
      </c>
      <c r="H1762" s="395">
        <v>3475.4859999999999</v>
      </c>
      <c r="I1762" s="394">
        <v>3347.09</v>
      </c>
      <c r="J1762" s="394">
        <v>4964.9799999999996</v>
      </c>
      <c r="K1762" s="393" t="s">
        <v>1033</v>
      </c>
    </row>
    <row r="1763" spans="1:12" hidden="1" x14ac:dyDescent="0.3">
      <c r="A1763" s="397" t="s">
        <v>2604</v>
      </c>
      <c r="C1763" s="397" t="s">
        <v>1053</v>
      </c>
      <c r="D1763" s="397" t="s">
        <v>2603</v>
      </c>
      <c r="E1763" s="397" t="s">
        <v>596</v>
      </c>
      <c r="F1763" s="397" t="s">
        <v>191</v>
      </c>
      <c r="G1763" s="396">
        <v>7</v>
      </c>
      <c r="H1763" s="395">
        <v>2135.2800000000002</v>
      </c>
      <c r="I1763" s="394">
        <v>467.61</v>
      </c>
      <c r="J1763" s="394">
        <v>3050.4</v>
      </c>
      <c r="K1763" s="393" t="s">
        <v>1033</v>
      </c>
    </row>
    <row r="1764" spans="1:12" hidden="1" x14ac:dyDescent="0.3">
      <c r="A1764" s="397" t="s">
        <v>5358</v>
      </c>
      <c r="C1764" s="397" t="s">
        <v>1053</v>
      </c>
      <c r="D1764" s="397" t="s">
        <v>5357</v>
      </c>
      <c r="E1764" s="397" t="s">
        <v>596</v>
      </c>
      <c r="F1764" s="397" t="s">
        <v>191</v>
      </c>
      <c r="G1764" s="396">
        <v>11</v>
      </c>
      <c r="H1764" s="395">
        <v>6934.3330000000005</v>
      </c>
      <c r="I1764" s="394">
        <v>5646.32</v>
      </c>
      <c r="J1764" s="394">
        <v>9906.19</v>
      </c>
      <c r="K1764" s="393" t="s">
        <v>1033</v>
      </c>
      <c r="L1764" s="395">
        <v>1</v>
      </c>
    </row>
    <row r="1765" spans="1:12" hidden="1" x14ac:dyDescent="0.3">
      <c r="A1765" s="397" t="s">
        <v>5622</v>
      </c>
      <c r="C1765" s="397" t="s">
        <v>1053</v>
      </c>
      <c r="D1765" s="397" t="s">
        <v>5621</v>
      </c>
      <c r="E1765" s="397" t="s">
        <v>553</v>
      </c>
      <c r="F1765" s="397" t="s">
        <v>191</v>
      </c>
      <c r="G1765" s="396">
        <v>1</v>
      </c>
      <c r="H1765" s="395">
        <v>19243.112000000001</v>
      </c>
      <c r="I1765" s="394">
        <v>85.14</v>
      </c>
      <c r="J1765" s="394">
        <v>27490.16</v>
      </c>
      <c r="K1765" s="393" t="s">
        <v>1033</v>
      </c>
    </row>
    <row r="1766" spans="1:12" hidden="1" x14ac:dyDescent="0.3">
      <c r="A1766" s="397" t="s">
        <v>811</v>
      </c>
      <c r="C1766" s="397" t="s">
        <v>1053</v>
      </c>
      <c r="D1766" s="397" t="s">
        <v>625</v>
      </c>
      <c r="E1766" s="397" t="s">
        <v>620</v>
      </c>
      <c r="F1766" s="397" t="s">
        <v>191</v>
      </c>
      <c r="G1766" s="396">
        <v>2</v>
      </c>
      <c r="H1766" s="395">
        <v>2409.029</v>
      </c>
      <c r="I1766" s="394">
        <v>44.03</v>
      </c>
      <c r="J1766" s="394">
        <v>3441.4700000000003</v>
      </c>
      <c r="K1766" s="393" t="s">
        <v>1033</v>
      </c>
    </row>
    <row r="1767" spans="1:12" hidden="1" x14ac:dyDescent="0.3">
      <c r="A1767" s="397" t="s">
        <v>4269</v>
      </c>
      <c r="C1767" s="397" t="s">
        <v>1053</v>
      </c>
      <c r="D1767" s="397" t="s">
        <v>4268</v>
      </c>
      <c r="E1767" s="397" t="s">
        <v>2629</v>
      </c>
      <c r="F1767" s="397" t="s">
        <v>191</v>
      </c>
      <c r="G1767" s="396">
        <v>2</v>
      </c>
      <c r="H1767" s="395">
        <v>1168.0130000000001</v>
      </c>
      <c r="I1767" s="394">
        <v>990.38</v>
      </c>
      <c r="J1767" s="394">
        <v>1668.5900000000001</v>
      </c>
      <c r="K1767" s="393" t="s">
        <v>1033</v>
      </c>
    </row>
    <row r="1768" spans="1:12" hidden="1" x14ac:dyDescent="0.3">
      <c r="A1768" s="397" t="s">
        <v>2648</v>
      </c>
      <c r="C1768" s="397" t="s">
        <v>1053</v>
      </c>
      <c r="D1768" s="397" t="s">
        <v>2647</v>
      </c>
      <c r="E1768" s="397" t="s">
        <v>553</v>
      </c>
      <c r="F1768" s="397" t="s">
        <v>191</v>
      </c>
      <c r="G1768" s="396">
        <v>12</v>
      </c>
      <c r="H1768" s="395">
        <v>1368.7660000000001</v>
      </c>
      <c r="I1768" s="394">
        <v>942.84</v>
      </c>
      <c r="J1768" s="394">
        <v>1955.38</v>
      </c>
      <c r="K1768" s="393" t="s">
        <v>1033</v>
      </c>
    </row>
    <row r="1769" spans="1:12" hidden="1" x14ac:dyDescent="0.3">
      <c r="A1769" s="397" t="s">
        <v>3056</v>
      </c>
      <c r="C1769" s="397" t="s">
        <v>1053</v>
      </c>
      <c r="D1769" s="397" t="s">
        <v>5303</v>
      </c>
      <c r="E1769" s="397" t="s">
        <v>5298</v>
      </c>
      <c r="F1769" s="397" t="s">
        <v>191</v>
      </c>
      <c r="G1769" s="396">
        <v>1</v>
      </c>
      <c r="H1769" s="395">
        <v>9191.3080000000009</v>
      </c>
      <c r="I1769" s="394">
        <v>61.34</v>
      </c>
      <c r="J1769" s="394">
        <v>13130.44</v>
      </c>
      <c r="K1769" s="393" t="s">
        <v>1033</v>
      </c>
    </row>
    <row r="1770" spans="1:12" hidden="1" x14ac:dyDescent="0.3">
      <c r="A1770" s="397" t="s">
        <v>3056</v>
      </c>
      <c r="C1770" s="397" t="s">
        <v>1053</v>
      </c>
      <c r="D1770" s="397" t="s">
        <v>3055</v>
      </c>
      <c r="E1770" s="397" t="s">
        <v>596</v>
      </c>
      <c r="F1770" s="397" t="s">
        <v>191</v>
      </c>
      <c r="G1770" s="396">
        <v>29</v>
      </c>
      <c r="H1770" s="395">
        <v>1645.3570000000002</v>
      </c>
      <c r="I1770" s="394">
        <v>1504.79</v>
      </c>
      <c r="J1770" s="394">
        <v>2350.5100000000002</v>
      </c>
      <c r="K1770" s="393" t="s">
        <v>1033</v>
      </c>
    </row>
    <row r="1771" spans="1:12" hidden="1" x14ac:dyDescent="0.3">
      <c r="A1771" s="397" t="s">
        <v>5234</v>
      </c>
      <c r="C1771" s="397" t="s">
        <v>1053</v>
      </c>
      <c r="D1771" s="397" t="s">
        <v>5233</v>
      </c>
      <c r="E1771" s="397" t="s">
        <v>5230</v>
      </c>
      <c r="F1771" s="397" t="s">
        <v>191</v>
      </c>
      <c r="G1771" s="396">
        <v>1</v>
      </c>
      <c r="H1771" s="395">
        <v>1820.2939999999999</v>
      </c>
      <c r="I1771" s="394">
        <v>1131.0999999999999</v>
      </c>
      <c r="J1771" s="394">
        <v>2600.42</v>
      </c>
      <c r="K1771" s="393" t="s">
        <v>1033</v>
      </c>
    </row>
    <row r="1772" spans="1:12" hidden="1" x14ac:dyDescent="0.3">
      <c r="A1772" s="397" t="s">
        <v>2076</v>
      </c>
      <c r="C1772" s="397" t="s">
        <v>1053</v>
      </c>
      <c r="D1772" s="397" t="s">
        <v>2075</v>
      </c>
      <c r="E1772" s="397" t="s">
        <v>676</v>
      </c>
      <c r="F1772" s="397" t="s">
        <v>191</v>
      </c>
      <c r="G1772" s="396">
        <v>1</v>
      </c>
      <c r="H1772" s="395">
        <v>2042.5160000000001</v>
      </c>
      <c r="I1772" s="394">
        <v>104.59</v>
      </c>
      <c r="J1772" s="394">
        <v>2917.88</v>
      </c>
      <c r="K1772" s="393" t="s">
        <v>1033</v>
      </c>
    </row>
    <row r="1773" spans="1:12" hidden="1" x14ac:dyDescent="0.3">
      <c r="A1773" s="397" t="s">
        <v>3809</v>
      </c>
      <c r="C1773" s="397" t="s">
        <v>1053</v>
      </c>
      <c r="D1773" s="397" t="s">
        <v>3808</v>
      </c>
      <c r="E1773" s="397" t="s">
        <v>3807</v>
      </c>
      <c r="F1773" s="397" t="s">
        <v>191</v>
      </c>
      <c r="G1773" s="396">
        <v>2</v>
      </c>
      <c r="H1773" s="395">
        <v>13093.416000000001</v>
      </c>
      <c r="I1773" s="394">
        <v>61.300000000000004</v>
      </c>
      <c r="J1773" s="394">
        <v>18704.88</v>
      </c>
      <c r="K1773" s="393" t="s">
        <v>1033</v>
      </c>
    </row>
    <row r="1774" spans="1:12" hidden="1" x14ac:dyDescent="0.3">
      <c r="A1774" s="397" t="s">
        <v>4394</v>
      </c>
      <c r="C1774" s="397" t="s">
        <v>1053</v>
      </c>
      <c r="D1774" s="397" t="s">
        <v>4393</v>
      </c>
      <c r="E1774" s="397" t="s">
        <v>2577</v>
      </c>
      <c r="F1774" s="397" t="s">
        <v>191</v>
      </c>
      <c r="G1774" s="396">
        <v>1</v>
      </c>
      <c r="H1774" s="395">
        <v>7301.9800000000005</v>
      </c>
      <c r="I1774" s="394">
        <v>6543.1</v>
      </c>
      <c r="J1774" s="394">
        <v>10431.4</v>
      </c>
      <c r="K1774" s="393" t="s">
        <v>1033</v>
      </c>
    </row>
    <row r="1775" spans="1:12" hidden="1" x14ac:dyDescent="0.3">
      <c r="A1775" s="397" t="s">
        <v>5579</v>
      </c>
      <c r="C1775" s="397" t="s">
        <v>1053</v>
      </c>
      <c r="D1775" s="397" t="s">
        <v>5578</v>
      </c>
      <c r="E1775" s="397" t="s">
        <v>5577</v>
      </c>
      <c r="F1775" s="397" t="s">
        <v>191</v>
      </c>
      <c r="G1775" s="396">
        <v>1</v>
      </c>
      <c r="H1775" s="395">
        <v>20376.377</v>
      </c>
      <c r="I1775" s="394">
        <v>149.97999999999999</v>
      </c>
      <c r="J1775" s="394">
        <v>29109.11</v>
      </c>
      <c r="K1775" s="393" t="s">
        <v>1033</v>
      </c>
    </row>
    <row r="1776" spans="1:12" hidden="1" x14ac:dyDescent="0.3">
      <c r="A1776" s="397" t="s">
        <v>4602</v>
      </c>
      <c r="C1776" s="397" t="s">
        <v>1053</v>
      </c>
      <c r="D1776" s="397" t="s">
        <v>4601</v>
      </c>
      <c r="E1776" s="397" t="s">
        <v>2209</v>
      </c>
      <c r="F1776" s="397" t="s">
        <v>191</v>
      </c>
      <c r="G1776" s="396">
        <v>1</v>
      </c>
      <c r="H1776" s="395">
        <v>40497.352000000006</v>
      </c>
      <c r="I1776" s="394">
        <v>147.88999999999999</v>
      </c>
      <c r="J1776" s="394">
        <v>57853.36</v>
      </c>
      <c r="K1776" s="393" t="s">
        <v>1033</v>
      </c>
    </row>
    <row r="1777" spans="1:12" hidden="1" x14ac:dyDescent="0.3">
      <c r="A1777" s="397" t="s">
        <v>2461</v>
      </c>
      <c r="C1777" s="397" t="s">
        <v>1053</v>
      </c>
      <c r="D1777" s="397" t="s">
        <v>2460</v>
      </c>
      <c r="E1777" s="397" t="s">
        <v>596</v>
      </c>
      <c r="F1777" s="397" t="s">
        <v>191</v>
      </c>
      <c r="G1777" s="396">
        <v>53</v>
      </c>
      <c r="H1777" s="395">
        <v>2384.067</v>
      </c>
      <c r="I1777" s="394">
        <v>2341.91</v>
      </c>
      <c r="J1777" s="394">
        <v>3405.81</v>
      </c>
      <c r="K1777" s="393" t="s">
        <v>1033</v>
      </c>
    </row>
    <row r="1778" spans="1:12" hidden="1" x14ac:dyDescent="0.3">
      <c r="A1778" s="397" t="s">
        <v>2217</v>
      </c>
      <c r="C1778" s="397" t="s">
        <v>1053</v>
      </c>
      <c r="D1778" s="397" t="s">
        <v>2216</v>
      </c>
      <c r="E1778" s="397" t="s">
        <v>2215</v>
      </c>
      <c r="F1778" s="397" t="s">
        <v>191</v>
      </c>
      <c r="G1778" s="396">
        <v>1</v>
      </c>
      <c r="H1778" s="395">
        <v>138266.75099999999</v>
      </c>
      <c r="I1778" s="394">
        <v>15364.29</v>
      </c>
      <c r="J1778" s="394">
        <v>197523.93</v>
      </c>
      <c r="K1778" s="393" t="s">
        <v>1033</v>
      </c>
    </row>
    <row r="1779" spans="1:12" hidden="1" x14ac:dyDescent="0.3">
      <c r="A1779" s="397" t="s">
        <v>2594</v>
      </c>
      <c r="C1779" s="397" t="s">
        <v>1053</v>
      </c>
      <c r="D1779" s="397" t="s">
        <v>3076</v>
      </c>
      <c r="E1779" s="397" t="s">
        <v>596</v>
      </c>
      <c r="F1779" s="397" t="s">
        <v>191</v>
      </c>
      <c r="G1779" s="396">
        <v>7</v>
      </c>
      <c r="H1779" s="395">
        <v>2035.7050000000002</v>
      </c>
      <c r="I1779" s="394">
        <v>1948.43</v>
      </c>
      <c r="J1779" s="394">
        <v>2908.15</v>
      </c>
      <c r="K1779" s="393" t="s">
        <v>1033</v>
      </c>
    </row>
    <row r="1780" spans="1:12" hidden="1" x14ac:dyDescent="0.3">
      <c r="A1780" s="397" t="s">
        <v>2594</v>
      </c>
      <c r="C1780" s="397" t="s">
        <v>1053</v>
      </c>
      <c r="D1780" s="397" t="s">
        <v>2593</v>
      </c>
      <c r="E1780" s="397" t="s">
        <v>2252</v>
      </c>
      <c r="F1780" s="397" t="s">
        <v>191</v>
      </c>
      <c r="G1780" s="396">
        <v>2</v>
      </c>
      <c r="H1780" s="395">
        <v>11233.816999999999</v>
      </c>
      <c r="I1780" s="394">
        <v>9421</v>
      </c>
      <c r="J1780" s="394">
        <v>16048.31</v>
      </c>
      <c r="K1780" s="393" t="s">
        <v>1033</v>
      </c>
    </row>
    <row r="1781" spans="1:12" hidden="1" x14ac:dyDescent="0.3">
      <c r="A1781" s="397" t="s">
        <v>3046</v>
      </c>
      <c r="C1781" s="397" t="s">
        <v>1053</v>
      </c>
      <c r="D1781" s="397" t="s">
        <v>3045</v>
      </c>
      <c r="E1781" s="397" t="s">
        <v>553</v>
      </c>
      <c r="F1781" s="397" t="s">
        <v>191</v>
      </c>
      <c r="G1781" s="396">
        <v>30</v>
      </c>
      <c r="H1781" s="395">
        <v>1423.52</v>
      </c>
      <c r="I1781" s="394">
        <v>1143.1199999999999</v>
      </c>
      <c r="J1781" s="394">
        <v>2033.6000000000001</v>
      </c>
      <c r="K1781" s="393" t="s">
        <v>1033</v>
      </c>
    </row>
    <row r="1782" spans="1:12" hidden="1" x14ac:dyDescent="0.3">
      <c r="A1782" s="397" t="s">
        <v>2235</v>
      </c>
      <c r="C1782" s="397" t="s">
        <v>1053</v>
      </c>
      <c r="D1782" s="397" t="s">
        <v>2234</v>
      </c>
      <c r="E1782" s="397" t="s">
        <v>2233</v>
      </c>
      <c r="F1782" s="397" t="s">
        <v>191</v>
      </c>
      <c r="G1782" s="396">
        <v>1</v>
      </c>
      <c r="H1782" s="395">
        <v>2496.4029999999998</v>
      </c>
      <c r="I1782" s="394">
        <v>1.95</v>
      </c>
      <c r="J1782" s="394">
        <v>3566.29</v>
      </c>
      <c r="K1782" s="393" t="s">
        <v>1033</v>
      </c>
    </row>
    <row r="1783" spans="1:12" hidden="1" x14ac:dyDescent="0.3">
      <c r="A1783" s="397" t="s">
        <v>4959</v>
      </c>
      <c r="C1783" s="397" t="s">
        <v>1053</v>
      </c>
      <c r="D1783" s="397" t="s">
        <v>4958</v>
      </c>
      <c r="E1783" s="397" t="s">
        <v>596</v>
      </c>
      <c r="F1783" s="397" t="s">
        <v>191</v>
      </c>
      <c r="G1783" s="396">
        <v>18</v>
      </c>
      <c r="H1783" s="395">
        <v>4325.3069999999998</v>
      </c>
      <c r="I1783" s="394">
        <v>3429.35</v>
      </c>
      <c r="J1783" s="394">
        <v>6179.01</v>
      </c>
      <c r="K1783" s="393" t="s">
        <v>1033</v>
      </c>
    </row>
    <row r="1784" spans="1:12" hidden="1" x14ac:dyDescent="0.3">
      <c r="A1784" s="397" t="s">
        <v>7553</v>
      </c>
      <c r="C1784" s="397" t="s">
        <v>1053</v>
      </c>
      <c r="D1784" s="397" t="s">
        <v>7552</v>
      </c>
      <c r="E1784" s="397" t="s">
        <v>7551</v>
      </c>
      <c r="F1784" s="397" t="s">
        <v>191</v>
      </c>
      <c r="G1784" s="396">
        <v>2</v>
      </c>
      <c r="H1784" s="395">
        <v>12732.573</v>
      </c>
      <c r="I1784" s="394">
        <v>513.07000000000005</v>
      </c>
      <c r="J1784" s="394">
        <v>18189.39</v>
      </c>
      <c r="K1784" s="393" t="s">
        <v>1033</v>
      </c>
    </row>
    <row r="1785" spans="1:12" hidden="1" x14ac:dyDescent="0.3">
      <c r="A1785" s="397" t="s">
        <v>2232</v>
      </c>
      <c r="C1785" s="397" t="s">
        <v>1053</v>
      </c>
      <c r="D1785" s="397" t="s">
        <v>2231</v>
      </c>
      <c r="E1785" s="397" t="s">
        <v>2225</v>
      </c>
      <c r="F1785" s="397" t="s">
        <v>191</v>
      </c>
      <c r="G1785" s="396">
        <v>2</v>
      </c>
      <c r="H1785" s="395">
        <v>4380.0540000000001</v>
      </c>
      <c r="I1785" s="394">
        <v>187.70000000000002</v>
      </c>
      <c r="J1785" s="394">
        <v>6257.22</v>
      </c>
      <c r="K1785" s="393" t="s">
        <v>1033</v>
      </c>
    </row>
    <row r="1786" spans="1:12" hidden="1" x14ac:dyDescent="0.3">
      <c r="A1786" s="397" t="s">
        <v>2504</v>
      </c>
      <c r="C1786" s="397" t="s">
        <v>1053</v>
      </c>
      <c r="D1786" s="397" t="s">
        <v>8103</v>
      </c>
      <c r="E1786" s="397" t="s">
        <v>8052</v>
      </c>
      <c r="F1786" s="397" t="s">
        <v>191</v>
      </c>
      <c r="G1786" s="396">
        <v>1</v>
      </c>
      <c r="H1786" s="395">
        <v>49587.664000000004</v>
      </c>
      <c r="I1786" s="394">
        <v>48710.87</v>
      </c>
      <c r="J1786" s="394">
        <v>70839.520000000004</v>
      </c>
      <c r="K1786" s="393" t="s">
        <v>1033</v>
      </c>
    </row>
    <row r="1787" spans="1:12" hidden="1" x14ac:dyDescent="0.3">
      <c r="A1787" s="397" t="s">
        <v>2504</v>
      </c>
      <c r="C1787" s="397" t="s">
        <v>1053</v>
      </c>
      <c r="D1787" s="397" t="s">
        <v>2503</v>
      </c>
      <c r="E1787" s="397" t="s">
        <v>2500</v>
      </c>
      <c r="F1787" s="397" t="s">
        <v>191</v>
      </c>
      <c r="G1787" s="396">
        <v>2</v>
      </c>
      <c r="H1787" s="395">
        <v>7281.8409999999985</v>
      </c>
      <c r="I1787" s="394">
        <v>577</v>
      </c>
      <c r="J1787" s="394">
        <v>10402.629999999999</v>
      </c>
      <c r="K1787" s="393" t="s">
        <v>1033</v>
      </c>
    </row>
    <row r="1788" spans="1:12" hidden="1" x14ac:dyDescent="0.3">
      <c r="A1788" s="397" t="s">
        <v>6560</v>
      </c>
      <c r="C1788" s="397" t="s">
        <v>1053</v>
      </c>
      <c r="D1788" s="397" t="s">
        <v>6559</v>
      </c>
      <c r="E1788" s="397" t="s">
        <v>6558</v>
      </c>
      <c r="F1788" s="397" t="s">
        <v>191</v>
      </c>
      <c r="G1788" s="396">
        <v>1</v>
      </c>
      <c r="H1788" s="395">
        <v>18740.365000000002</v>
      </c>
      <c r="I1788" s="394">
        <v>34.869999999999997</v>
      </c>
      <c r="J1788" s="394">
        <v>26771.95</v>
      </c>
      <c r="K1788" s="393" t="s">
        <v>1033</v>
      </c>
    </row>
    <row r="1789" spans="1:12" hidden="1" x14ac:dyDescent="0.3">
      <c r="A1789" s="397" t="s">
        <v>845</v>
      </c>
      <c r="C1789" s="397" t="s">
        <v>1053</v>
      </c>
      <c r="D1789" s="397" t="s">
        <v>551</v>
      </c>
      <c r="E1789" s="397" t="s">
        <v>552</v>
      </c>
      <c r="F1789" s="397" t="s">
        <v>191</v>
      </c>
      <c r="G1789" s="396">
        <v>1</v>
      </c>
      <c r="H1789" s="395">
        <v>4434.808</v>
      </c>
      <c r="I1789" s="394">
        <v>1119.51</v>
      </c>
      <c r="J1789" s="394">
        <v>6335.4400000000005</v>
      </c>
      <c r="K1789" s="393" t="s">
        <v>1033</v>
      </c>
      <c r="L1789" s="395">
        <v>2</v>
      </c>
    </row>
    <row r="1790" spans="1:12" hidden="1" x14ac:dyDescent="0.3">
      <c r="A1790" s="397" t="s">
        <v>4597</v>
      </c>
      <c r="C1790" s="397" t="s">
        <v>1053</v>
      </c>
      <c r="D1790" s="397" t="s">
        <v>4596</v>
      </c>
      <c r="E1790" s="397" t="s">
        <v>4595</v>
      </c>
      <c r="F1790" s="397" t="s">
        <v>191</v>
      </c>
      <c r="G1790" s="396">
        <v>1</v>
      </c>
      <c r="H1790" s="395">
        <v>36190.203000000001</v>
      </c>
      <c r="I1790" s="394">
        <v>81.16</v>
      </c>
      <c r="J1790" s="394">
        <v>51700.29</v>
      </c>
      <c r="K1790" s="393" t="s">
        <v>1033</v>
      </c>
    </row>
    <row r="1791" spans="1:12" hidden="1" x14ac:dyDescent="0.3">
      <c r="A1791" s="397" t="s">
        <v>2660</v>
      </c>
      <c r="C1791" s="397" t="s">
        <v>1053</v>
      </c>
      <c r="D1791" s="397" t="s">
        <v>2659</v>
      </c>
      <c r="E1791" s="397" t="s">
        <v>596</v>
      </c>
      <c r="F1791" s="397" t="s">
        <v>191</v>
      </c>
      <c r="G1791" s="396">
        <v>15</v>
      </c>
      <c r="H1791" s="395">
        <v>2425.4860000000003</v>
      </c>
      <c r="I1791" s="394">
        <v>2272.4899999999998</v>
      </c>
      <c r="J1791" s="394">
        <v>3464.98</v>
      </c>
      <c r="K1791" s="393" t="s">
        <v>1033</v>
      </c>
    </row>
    <row r="1792" spans="1:12" hidden="1" x14ac:dyDescent="0.3">
      <c r="A1792" s="397" t="s">
        <v>3082</v>
      </c>
      <c r="C1792" s="397" t="s">
        <v>1053</v>
      </c>
      <c r="D1792" s="397" t="s">
        <v>3081</v>
      </c>
      <c r="E1792" s="397" t="s">
        <v>596</v>
      </c>
      <c r="F1792" s="397" t="s">
        <v>191</v>
      </c>
      <c r="G1792" s="396">
        <v>1</v>
      </c>
      <c r="H1792" s="395">
        <v>2463.7829999999999</v>
      </c>
      <c r="I1792" s="394">
        <v>39.31</v>
      </c>
      <c r="J1792" s="394">
        <v>3519.69</v>
      </c>
      <c r="K1792" s="393" t="s">
        <v>1033</v>
      </c>
    </row>
    <row r="1793" spans="1:12" hidden="1" x14ac:dyDescent="0.3">
      <c r="A1793" s="397" t="s">
        <v>2666</v>
      </c>
      <c r="C1793" s="397" t="s">
        <v>1053</v>
      </c>
      <c r="D1793" s="397" t="s">
        <v>2665</v>
      </c>
      <c r="E1793" s="397" t="s">
        <v>596</v>
      </c>
      <c r="F1793" s="397" t="s">
        <v>191</v>
      </c>
      <c r="G1793" s="396">
        <v>4</v>
      </c>
      <c r="H1793" s="395">
        <v>2042.5160000000001</v>
      </c>
      <c r="I1793" s="394">
        <v>2006.39</v>
      </c>
      <c r="J1793" s="394">
        <v>2917.88</v>
      </c>
      <c r="K1793" s="393" t="s">
        <v>1033</v>
      </c>
    </row>
    <row r="1794" spans="1:12" hidden="1" x14ac:dyDescent="0.3">
      <c r="A1794" s="397" t="s">
        <v>2658</v>
      </c>
      <c r="C1794" s="397" t="s">
        <v>1053</v>
      </c>
      <c r="D1794" s="397" t="s">
        <v>2657</v>
      </c>
      <c r="E1794" s="397" t="s">
        <v>596</v>
      </c>
      <c r="F1794" s="397" t="s">
        <v>191</v>
      </c>
      <c r="G1794" s="396">
        <v>59</v>
      </c>
      <c r="H1794" s="395">
        <v>1706.635</v>
      </c>
      <c r="I1794" s="394">
        <v>199.45000000000002</v>
      </c>
      <c r="J1794" s="394">
        <v>2438.0500000000002</v>
      </c>
      <c r="K1794" s="393" t="s">
        <v>1033</v>
      </c>
      <c r="L1794" s="395">
        <v>14</v>
      </c>
    </row>
    <row r="1795" spans="1:12" hidden="1" x14ac:dyDescent="0.3">
      <c r="A1795" s="397" t="s">
        <v>2671</v>
      </c>
      <c r="C1795" s="397" t="s">
        <v>1053</v>
      </c>
      <c r="D1795" s="397" t="s">
        <v>2670</v>
      </c>
      <c r="E1795" s="397" t="s">
        <v>553</v>
      </c>
      <c r="F1795" s="397" t="s">
        <v>191</v>
      </c>
      <c r="G1795" s="396">
        <v>59</v>
      </c>
      <c r="H1795" s="395">
        <v>1706.635</v>
      </c>
      <c r="I1795" s="394">
        <v>1624.07</v>
      </c>
      <c r="J1795" s="394">
        <v>2438.0500000000002</v>
      </c>
      <c r="K1795" s="393" t="s">
        <v>1033</v>
      </c>
      <c r="L1795" s="395">
        <v>4</v>
      </c>
    </row>
    <row r="1796" spans="1:12" hidden="1" x14ac:dyDescent="0.3">
      <c r="A1796" s="397" t="s">
        <v>3052</v>
      </c>
      <c r="C1796" s="397" t="s">
        <v>1053</v>
      </c>
      <c r="D1796" s="397" t="s">
        <v>3051</v>
      </c>
      <c r="E1796" s="397" t="s">
        <v>3050</v>
      </c>
      <c r="F1796" s="397" t="s">
        <v>191</v>
      </c>
      <c r="G1796" s="396">
        <v>5</v>
      </c>
      <c r="H1796" s="395">
        <v>1204.518</v>
      </c>
      <c r="I1796" s="394">
        <v>101.61</v>
      </c>
      <c r="J1796" s="394">
        <v>1720.74</v>
      </c>
      <c r="K1796" s="393" t="s">
        <v>1033</v>
      </c>
    </row>
    <row r="1797" spans="1:12" hidden="1" x14ac:dyDescent="0.3">
      <c r="A1797" s="397" t="s">
        <v>3043</v>
      </c>
      <c r="C1797" s="397" t="s">
        <v>1053</v>
      </c>
      <c r="D1797" s="397" t="s">
        <v>3042</v>
      </c>
      <c r="E1797" s="397" t="s">
        <v>2035</v>
      </c>
      <c r="F1797" s="397" t="s">
        <v>191</v>
      </c>
      <c r="G1797" s="396">
        <v>8</v>
      </c>
      <c r="H1797" s="395">
        <v>1645.3570000000002</v>
      </c>
      <c r="I1797" s="394">
        <v>1034.82</v>
      </c>
      <c r="J1797" s="394">
        <v>2350.5100000000002</v>
      </c>
      <c r="K1797" s="393" t="s">
        <v>1033</v>
      </c>
    </row>
    <row r="1798" spans="1:12" hidden="1" x14ac:dyDescent="0.3">
      <c r="A1798" s="397" t="s">
        <v>4600</v>
      </c>
      <c r="C1798" s="397" t="s">
        <v>1053</v>
      </c>
      <c r="D1798" s="397" t="s">
        <v>4599</v>
      </c>
      <c r="E1798" s="397" t="s">
        <v>4598</v>
      </c>
      <c r="F1798" s="397" t="s">
        <v>191</v>
      </c>
      <c r="G1798" s="396">
        <v>1</v>
      </c>
      <c r="H1798" s="395">
        <v>6915.2090000000007</v>
      </c>
      <c r="I1798" s="394">
        <v>78.48</v>
      </c>
      <c r="J1798" s="394">
        <v>9878.8700000000008</v>
      </c>
      <c r="K1798" s="393" t="s">
        <v>1033</v>
      </c>
    </row>
    <row r="1799" spans="1:12" hidden="1" x14ac:dyDescent="0.3">
      <c r="A1799" s="397" t="s">
        <v>2675</v>
      </c>
      <c r="C1799" s="397" t="s">
        <v>1053</v>
      </c>
      <c r="D1799" s="397" t="s">
        <v>2674</v>
      </c>
      <c r="E1799" s="397" t="s">
        <v>596</v>
      </c>
      <c r="F1799" s="397" t="s">
        <v>191</v>
      </c>
      <c r="G1799" s="396">
        <v>7</v>
      </c>
      <c r="H1799" s="395">
        <v>2553.1379999999999</v>
      </c>
      <c r="I1799" s="394">
        <v>1648.05</v>
      </c>
      <c r="J1799" s="394">
        <v>3647.34</v>
      </c>
      <c r="K1799" s="393" t="s">
        <v>1033</v>
      </c>
    </row>
    <row r="1800" spans="1:12" hidden="1" x14ac:dyDescent="0.3">
      <c r="A1800" s="397" t="s">
        <v>3166</v>
      </c>
      <c r="C1800" s="397" t="s">
        <v>1053</v>
      </c>
      <c r="D1800" s="397" t="s">
        <v>3165</v>
      </c>
      <c r="E1800" s="397" t="s">
        <v>602</v>
      </c>
      <c r="F1800" s="397" t="s">
        <v>191</v>
      </c>
      <c r="G1800" s="396">
        <v>8</v>
      </c>
      <c r="H1800" s="395">
        <v>1475.145</v>
      </c>
      <c r="I1800" s="394">
        <v>843.67000000000007</v>
      </c>
      <c r="J1800" s="394">
        <v>2107.35</v>
      </c>
      <c r="K1800" s="393" t="s">
        <v>1033</v>
      </c>
    </row>
    <row r="1801" spans="1:12" hidden="1" x14ac:dyDescent="0.3">
      <c r="A1801" s="397" t="s">
        <v>3058</v>
      </c>
      <c r="C1801" s="397" t="s">
        <v>1053</v>
      </c>
      <c r="D1801" s="397" t="s">
        <v>3057</v>
      </c>
      <c r="E1801" s="397" t="s">
        <v>596</v>
      </c>
      <c r="F1801" s="397" t="s">
        <v>191</v>
      </c>
      <c r="G1801" s="396">
        <v>7</v>
      </c>
      <c r="H1801" s="395">
        <v>1916.2710000000002</v>
      </c>
      <c r="I1801" s="394">
        <v>18.41</v>
      </c>
      <c r="J1801" s="394">
        <v>2737.53</v>
      </c>
      <c r="K1801" s="393" t="s">
        <v>1033</v>
      </c>
    </row>
    <row r="1802" spans="1:12" hidden="1" x14ac:dyDescent="0.3">
      <c r="A1802" s="397" t="s">
        <v>7976</v>
      </c>
      <c r="C1802" s="397" t="s">
        <v>1053</v>
      </c>
      <c r="D1802" s="397" t="s">
        <v>7975</v>
      </c>
      <c r="E1802" s="397" t="s">
        <v>7974</v>
      </c>
      <c r="F1802" s="397" t="s">
        <v>191</v>
      </c>
      <c r="G1802" s="396">
        <v>3</v>
      </c>
      <c r="H1802" s="395">
        <v>28751.407999999999</v>
      </c>
      <c r="I1802" s="394">
        <v>153.97</v>
      </c>
      <c r="J1802" s="394">
        <v>41073.440000000002</v>
      </c>
      <c r="K1802" s="393" t="s">
        <v>1033</v>
      </c>
    </row>
    <row r="1803" spans="1:12" hidden="1" x14ac:dyDescent="0.3">
      <c r="A1803" s="397" t="s">
        <v>4625</v>
      </c>
      <c r="C1803" s="397" t="s">
        <v>1053</v>
      </c>
      <c r="D1803" s="397" t="s">
        <v>4624</v>
      </c>
      <c r="E1803" s="397" t="s">
        <v>2209</v>
      </c>
      <c r="F1803" s="397" t="s">
        <v>191</v>
      </c>
      <c r="G1803" s="396">
        <v>2</v>
      </c>
      <c r="H1803" s="395">
        <v>42431.780999999995</v>
      </c>
      <c r="I1803" s="394">
        <v>35147.22</v>
      </c>
      <c r="J1803" s="394">
        <v>60616.83</v>
      </c>
      <c r="K1803" s="393" t="s">
        <v>1033</v>
      </c>
    </row>
    <row r="1804" spans="1:12" hidden="1" x14ac:dyDescent="0.3">
      <c r="A1804" s="397" t="s">
        <v>4587</v>
      </c>
      <c r="C1804" s="397" t="s">
        <v>1053</v>
      </c>
      <c r="D1804" s="397" t="s">
        <v>4586</v>
      </c>
      <c r="E1804" s="397" t="s">
        <v>4585</v>
      </c>
      <c r="F1804" s="397" t="s">
        <v>191</v>
      </c>
      <c r="G1804" s="396">
        <v>1</v>
      </c>
      <c r="H1804" s="395">
        <v>36203.531000000003</v>
      </c>
      <c r="I1804" s="394">
        <v>547.65</v>
      </c>
      <c r="J1804" s="394">
        <v>51719.33</v>
      </c>
      <c r="K1804" s="393" t="s">
        <v>1033</v>
      </c>
    </row>
    <row r="1805" spans="1:12" hidden="1" x14ac:dyDescent="0.3">
      <c r="A1805" s="397" t="s">
        <v>4584</v>
      </c>
      <c r="C1805" s="397" t="s">
        <v>1053</v>
      </c>
      <c r="D1805" s="397" t="s">
        <v>4583</v>
      </c>
      <c r="E1805" s="397" t="s">
        <v>4582</v>
      </c>
      <c r="F1805" s="397" t="s">
        <v>191</v>
      </c>
      <c r="G1805" s="396">
        <v>2</v>
      </c>
      <c r="H1805" s="395">
        <v>26170.823</v>
      </c>
      <c r="I1805" s="394">
        <v>1182.55</v>
      </c>
      <c r="J1805" s="394">
        <v>37386.89</v>
      </c>
      <c r="K1805" s="393" t="s">
        <v>1033</v>
      </c>
    </row>
    <row r="1806" spans="1:12" hidden="1" x14ac:dyDescent="0.3">
      <c r="A1806" s="397" t="s">
        <v>2614</v>
      </c>
      <c r="C1806" s="397" t="s">
        <v>1053</v>
      </c>
      <c r="D1806" s="397" t="s">
        <v>2613</v>
      </c>
      <c r="E1806" s="397" t="s">
        <v>553</v>
      </c>
      <c r="F1806" s="397" t="s">
        <v>191</v>
      </c>
      <c r="G1806" s="396">
        <v>8</v>
      </c>
      <c r="H1806" s="395">
        <v>3230.29</v>
      </c>
      <c r="I1806" s="394">
        <v>816.94</v>
      </c>
      <c r="J1806" s="394">
        <v>4614.7</v>
      </c>
      <c r="K1806" s="393" t="s">
        <v>1033</v>
      </c>
    </row>
    <row r="1807" spans="1:12" hidden="1" x14ac:dyDescent="0.3">
      <c r="A1807" s="397" t="s">
        <v>6128</v>
      </c>
      <c r="C1807" s="397" t="s">
        <v>1053</v>
      </c>
      <c r="D1807" s="397" t="s">
        <v>6127</v>
      </c>
      <c r="E1807" s="397" t="s">
        <v>6105</v>
      </c>
      <c r="F1807" s="397" t="s">
        <v>191</v>
      </c>
      <c r="G1807" s="396">
        <v>4</v>
      </c>
      <c r="H1807" s="395">
        <v>22064.525000000001</v>
      </c>
      <c r="I1807" s="394">
        <v>46.7</v>
      </c>
      <c r="J1807" s="394">
        <v>31520.75</v>
      </c>
      <c r="K1807" s="393" t="s">
        <v>1033</v>
      </c>
    </row>
    <row r="1808" spans="1:12" hidden="1" x14ac:dyDescent="0.3">
      <c r="A1808" s="397" t="s">
        <v>3075</v>
      </c>
      <c r="C1808" s="397" t="s">
        <v>1053</v>
      </c>
      <c r="D1808" s="397" t="s">
        <v>3074</v>
      </c>
      <c r="E1808" s="397" t="s">
        <v>596</v>
      </c>
      <c r="F1808" s="397" t="s">
        <v>191</v>
      </c>
      <c r="G1808" s="396">
        <v>37</v>
      </c>
      <c r="H1808" s="395">
        <v>1530.1789999999996</v>
      </c>
      <c r="I1808" s="394">
        <v>178.82</v>
      </c>
      <c r="J1808" s="394">
        <v>2185.9699999999998</v>
      </c>
      <c r="K1808" s="393" t="s">
        <v>1033</v>
      </c>
    </row>
    <row r="1809" spans="1:12" hidden="1" x14ac:dyDescent="0.3">
      <c r="A1809" s="397" t="s">
        <v>2673</v>
      </c>
      <c r="C1809" s="397" t="s">
        <v>1053</v>
      </c>
      <c r="D1809" s="397" t="s">
        <v>2672</v>
      </c>
      <c r="E1809" s="397" t="s">
        <v>596</v>
      </c>
      <c r="F1809" s="397" t="s">
        <v>191</v>
      </c>
      <c r="G1809" s="396">
        <v>30</v>
      </c>
      <c r="H1809" s="395">
        <v>4605.58</v>
      </c>
      <c r="I1809" s="394">
        <v>4275.72</v>
      </c>
      <c r="J1809" s="394">
        <v>6579.4000000000005</v>
      </c>
      <c r="K1809" s="393" t="s">
        <v>1033</v>
      </c>
    </row>
    <row r="1810" spans="1:12" hidden="1" x14ac:dyDescent="0.3">
      <c r="A1810" s="397" t="s">
        <v>5302</v>
      </c>
      <c r="C1810" s="397" t="s">
        <v>1053</v>
      </c>
      <c r="D1810" s="397" t="s">
        <v>5301</v>
      </c>
      <c r="E1810" s="397" t="s">
        <v>5300</v>
      </c>
      <c r="F1810" s="397" t="s">
        <v>191</v>
      </c>
      <c r="G1810" s="396">
        <v>1</v>
      </c>
      <c r="H1810" s="395">
        <v>20415.199000000001</v>
      </c>
      <c r="I1810" s="394">
        <v>14315.93</v>
      </c>
      <c r="J1810" s="394">
        <v>29164.57</v>
      </c>
      <c r="K1810" s="393" t="s">
        <v>1033</v>
      </c>
    </row>
    <row r="1811" spans="1:12" hidden="1" x14ac:dyDescent="0.3">
      <c r="A1811" s="397" t="s">
        <v>4636</v>
      </c>
      <c r="C1811" s="397" t="s">
        <v>1053</v>
      </c>
      <c r="D1811" s="397" t="s">
        <v>4635</v>
      </c>
      <c r="E1811" s="397" t="s">
        <v>4628</v>
      </c>
      <c r="F1811" s="397" t="s">
        <v>191</v>
      </c>
      <c r="G1811" s="396">
        <v>2</v>
      </c>
      <c r="H1811" s="395">
        <v>50808.631999999991</v>
      </c>
      <c r="I1811" s="394">
        <v>42072.31</v>
      </c>
      <c r="J1811" s="394">
        <v>72583.759999999995</v>
      </c>
      <c r="K1811" s="393" t="s">
        <v>1033</v>
      </c>
    </row>
    <row r="1812" spans="1:12" hidden="1" x14ac:dyDescent="0.3">
      <c r="A1812" s="397" t="s">
        <v>5734</v>
      </c>
      <c r="C1812" s="397" t="s">
        <v>1053</v>
      </c>
      <c r="D1812" s="397" t="s">
        <v>5733</v>
      </c>
      <c r="E1812" s="397" t="s">
        <v>5732</v>
      </c>
      <c r="F1812" s="397" t="s">
        <v>191</v>
      </c>
      <c r="G1812" s="396">
        <v>1</v>
      </c>
      <c r="H1812" s="395">
        <v>8873.5850000000009</v>
      </c>
      <c r="I1812" s="394">
        <v>380.54</v>
      </c>
      <c r="J1812" s="394">
        <v>12676.550000000001</v>
      </c>
      <c r="K1812" s="393" t="s">
        <v>1033</v>
      </c>
    </row>
    <row r="1813" spans="1:12" hidden="1" x14ac:dyDescent="0.3">
      <c r="A1813" s="397" t="s">
        <v>3882</v>
      </c>
      <c r="C1813" s="397" t="s">
        <v>1053</v>
      </c>
      <c r="D1813" s="397" t="s">
        <v>3881</v>
      </c>
      <c r="E1813" s="397" t="s">
        <v>3880</v>
      </c>
      <c r="F1813" s="397" t="s">
        <v>191</v>
      </c>
      <c r="G1813" s="396">
        <v>1</v>
      </c>
      <c r="H1813" s="395">
        <v>22119.278999999999</v>
      </c>
      <c r="I1813" s="394">
        <v>22070.37</v>
      </c>
      <c r="J1813" s="394">
        <v>31598.97</v>
      </c>
      <c r="K1813" s="393" t="s">
        <v>1033</v>
      </c>
    </row>
    <row r="1814" spans="1:12" hidden="1" x14ac:dyDescent="0.3">
      <c r="A1814" s="397" t="s">
        <v>830</v>
      </c>
      <c r="C1814" s="397" t="s">
        <v>1053</v>
      </c>
      <c r="D1814" s="397" t="s">
        <v>593</v>
      </c>
      <c r="E1814" s="397" t="s">
        <v>553</v>
      </c>
      <c r="F1814" s="397" t="s">
        <v>191</v>
      </c>
      <c r="G1814" s="396">
        <v>15</v>
      </c>
      <c r="H1814" s="395">
        <v>4530.9740000000002</v>
      </c>
      <c r="I1814" s="394">
        <v>4185.76</v>
      </c>
      <c r="J1814" s="394">
        <v>6472.82</v>
      </c>
      <c r="K1814" s="393" t="s">
        <v>1033</v>
      </c>
    </row>
    <row r="1815" spans="1:12" hidden="1" x14ac:dyDescent="0.3">
      <c r="A1815" s="397" t="s">
        <v>2214</v>
      </c>
      <c r="C1815" s="397" t="s">
        <v>1053</v>
      </c>
      <c r="D1815" s="397" t="s">
        <v>2213</v>
      </c>
      <c r="E1815" s="397" t="s">
        <v>2212</v>
      </c>
      <c r="F1815" s="397" t="s">
        <v>191</v>
      </c>
      <c r="G1815" s="396">
        <v>1</v>
      </c>
      <c r="H1815" s="395">
        <v>46921.335999999996</v>
      </c>
      <c r="I1815" s="394">
        <v>31313.06</v>
      </c>
      <c r="J1815" s="394">
        <v>67030.48</v>
      </c>
      <c r="K1815" s="393" t="s">
        <v>1033</v>
      </c>
      <c r="L1815" s="395">
        <v>-1</v>
      </c>
    </row>
    <row r="1816" spans="1:12" hidden="1" x14ac:dyDescent="0.3">
      <c r="A1816" s="397" t="s">
        <v>2680</v>
      </c>
      <c r="C1816" s="397" t="s">
        <v>1053</v>
      </c>
      <c r="D1816" s="397" t="s">
        <v>2679</v>
      </c>
      <c r="E1816" s="397" t="s">
        <v>596</v>
      </c>
      <c r="F1816" s="397" t="s">
        <v>191</v>
      </c>
      <c r="G1816" s="396">
        <v>1</v>
      </c>
      <c r="H1816" s="395">
        <v>2354.2820000000002</v>
      </c>
      <c r="I1816" s="394">
        <v>120.93</v>
      </c>
      <c r="J1816" s="394">
        <v>3363.26</v>
      </c>
      <c r="K1816" s="393" t="s">
        <v>1033</v>
      </c>
    </row>
    <row r="1817" spans="1:12" hidden="1" x14ac:dyDescent="0.3">
      <c r="A1817" s="397" t="s">
        <v>829</v>
      </c>
      <c r="C1817" s="397" t="s">
        <v>1053</v>
      </c>
      <c r="D1817" s="397" t="s">
        <v>595</v>
      </c>
      <c r="E1817" s="397" t="s">
        <v>596</v>
      </c>
      <c r="F1817" s="397" t="s">
        <v>191</v>
      </c>
      <c r="G1817" s="396">
        <v>28</v>
      </c>
      <c r="H1817" s="395">
        <v>3211.5230000000001</v>
      </c>
      <c r="I1817" s="394">
        <v>1994.52</v>
      </c>
      <c r="J1817" s="394">
        <v>4587.8900000000003</v>
      </c>
      <c r="K1817" s="393" t="s">
        <v>1033</v>
      </c>
    </row>
    <row r="1818" spans="1:12" hidden="1" x14ac:dyDescent="0.3">
      <c r="A1818" s="397" t="s">
        <v>2656</v>
      </c>
      <c r="C1818" s="397" t="s">
        <v>1053</v>
      </c>
      <c r="D1818" s="397" t="s">
        <v>702</v>
      </c>
      <c r="E1818" s="397" t="s">
        <v>553</v>
      </c>
      <c r="F1818" s="397" t="s">
        <v>191</v>
      </c>
      <c r="G1818" s="396">
        <v>95</v>
      </c>
      <c r="H1818" s="395">
        <v>1724.7860000000001</v>
      </c>
      <c r="I1818" s="394">
        <v>1641.3400000000001</v>
      </c>
      <c r="J1818" s="394">
        <v>2463.98</v>
      </c>
      <c r="K1818" s="393" t="s">
        <v>1033</v>
      </c>
      <c r="L1818" s="395">
        <v>18</v>
      </c>
    </row>
    <row r="1819" spans="1:12" hidden="1" x14ac:dyDescent="0.3">
      <c r="A1819" s="397" t="s">
        <v>3069</v>
      </c>
      <c r="C1819" s="397" t="s">
        <v>1053</v>
      </c>
      <c r="D1819" s="397" t="s">
        <v>3068</v>
      </c>
      <c r="E1819" s="397" t="s">
        <v>596</v>
      </c>
      <c r="F1819" s="397" t="s">
        <v>191</v>
      </c>
      <c r="G1819" s="396">
        <v>81</v>
      </c>
      <c r="H1819" s="395">
        <v>1706.068</v>
      </c>
      <c r="I1819" s="394">
        <v>1621.83</v>
      </c>
      <c r="J1819" s="394">
        <v>2437.2399999999998</v>
      </c>
      <c r="K1819" s="393" t="s">
        <v>1033</v>
      </c>
      <c r="L1819" s="395">
        <v>10</v>
      </c>
    </row>
    <row r="1820" spans="1:12" hidden="1" x14ac:dyDescent="0.3">
      <c r="A1820" s="397" t="s">
        <v>2677</v>
      </c>
      <c r="C1820" s="397" t="s">
        <v>1053</v>
      </c>
      <c r="D1820" s="397" t="s">
        <v>2676</v>
      </c>
      <c r="E1820" s="397" t="s">
        <v>596</v>
      </c>
      <c r="F1820" s="397" t="s">
        <v>191</v>
      </c>
      <c r="G1820" s="396">
        <v>22</v>
      </c>
      <c r="H1820" s="395">
        <v>4605.58</v>
      </c>
      <c r="I1820" s="394">
        <v>4470.92</v>
      </c>
      <c r="J1820" s="394">
        <v>6579.4000000000005</v>
      </c>
      <c r="K1820" s="393" t="s">
        <v>1033</v>
      </c>
    </row>
    <row r="1821" spans="1:12" hidden="1" x14ac:dyDescent="0.3">
      <c r="A1821" s="397" t="s">
        <v>5887</v>
      </c>
      <c r="C1821" s="397" t="s">
        <v>1053</v>
      </c>
      <c r="D1821" s="397" t="s">
        <v>5886</v>
      </c>
      <c r="E1821" s="397" t="s">
        <v>5885</v>
      </c>
      <c r="F1821" s="397" t="s">
        <v>191</v>
      </c>
      <c r="G1821" s="396">
        <v>3</v>
      </c>
      <c r="H1821" s="395">
        <v>7227.0869999999995</v>
      </c>
      <c r="I1821" s="394">
        <v>6693.58</v>
      </c>
      <c r="J1821" s="394">
        <v>10324.41</v>
      </c>
      <c r="K1821" s="393" t="s">
        <v>1033</v>
      </c>
    </row>
    <row r="1822" spans="1:12" hidden="1" x14ac:dyDescent="0.3">
      <c r="A1822" s="397" t="s">
        <v>4607</v>
      </c>
      <c r="C1822" s="397" t="s">
        <v>1053</v>
      </c>
      <c r="D1822" s="397" t="s">
        <v>4606</v>
      </c>
      <c r="E1822" s="397" t="s">
        <v>4605</v>
      </c>
      <c r="F1822" s="397" t="s">
        <v>191</v>
      </c>
      <c r="G1822" s="396">
        <v>2</v>
      </c>
      <c r="H1822" s="395">
        <v>41227.262999999999</v>
      </c>
      <c r="I1822" s="394">
        <v>1803.6200000000001</v>
      </c>
      <c r="J1822" s="394">
        <v>58896.090000000004</v>
      </c>
      <c r="K1822" s="393" t="s">
        <v>1033</v>
      </c>
    </row>
    <row r="1823" spans="1:12" hidden="1" x14ac:dyDescent="0.3">
      <c r="A1823" s="397" t="s">
        <v>2237</v>
      </c>
      <c r="C1823" s="397" t="s">
        <v>1053</v>
      </c>
      <c r="D1823" s="397" t="s">
        <v>2236</v>
      </c>
      <c r="E1823" s="397" t="s">
        <v>466</v>
      </c>
      <c r="F1823" s="397" t="s">
        <v>191</v>
      </c>
      <c r="G1823" s="396">
        <v>10</v>
      </c>
      <c r="H1823" s="395">
        <v>3574.3959999999997</v>
      </c>
      <c r="I1823" s="394">
        <v>145.26</v>
      </c>
      <c r="J1823" s="394">
        <v>5106.28</v>
      </c>
      <c r="K1823" s="393" t="s">
        <v>1033</v>
      </c>
    </row>
    <row r="1824" spans="1:12" hidden="1" x14ac:dyDescent="0.3">
      <c r="A1824" s="397" t="s">
        <v>2270</v>
      </c>
      <c r="C1824" s="397" t="s">
        <v>1053</v>
      </c>
      <c r="D1824" s="397" t="s">
        <v>2269</v>
      </c>
      <c r="E1824" s="397" t="s">
        <v>676</v>
      </c>
      <c r="F1824" s="397" t="s">
        <v>191</v>
      </c>
      <c r="G1824" s="396">
        <v>6</v>
      </c>
      <c r="H1824" s="395">
        <v>3323.2429999999999</v>
      </c>
      <c r="I1824" s="394">
        <v>3149.23</v>
      </c>
      <c r="J1824" s="394">
        <v>4747.49</v>
      </c>
      <c r="K1824" s="393" t="s">
        <v>1033</v>
      </c>
    </row>
    <row r="1825" spans="1:12" hidden="1" x14ac:dyDescent="0.3">
      <c r="A1825" s="397" t="s">
        <v>2628</v>
      </c>
      <c r="C1825" s="397" t="s">
        <v>1053</v>
      </c>
      <c r="D1825" s="397" t="s">
        <v>5736</v>
      </c>
      <c r="E1825" s="397" t="s">
        <v>5735</v>
      </c>
      <c r="F1825" s="397" t="s">
        <v>191</v>
      </c>
      <c r="G1825" s="396">
        <v>2</v>
      </c>
      <c r="H1825" s="395">
        <v>2382.933</v>
      </c>
      <c r="I1825" s="394">
        <v>1.71</v>
      </c>
      <c r="J1825" s="394">
        <v>3404.19</v>
      </c>
      <c r="K1825" s="393" t="s">
        <v>1033</v>
      </c>
    </row>
    <row r="1826" spans="1:12" hidden="1" x14ac:dyDescent="0.3">
      <c r="A1826" s="397" t="s">
        <v>2628</v>
      </c>
      <c r="C1826" s="397" t="s">
        <v>1053</v>
      </c>
      <c r="D1826" s="397" t="s">
        <v>5595</v>
      </c>
      <c r="E1826" s="397" t="s">
        <v>5594</v>
      </c>
      <c r="F1826" s="397" t="s">
        <v>191</v>
      </c>
      <c r="G1826" s="396">
        <v>8</v>
      </c>
      <c r="H1826" s="395">
        <v>4940.8029999999999</v>
      </c>
      <c r="I1826" s="394">
        <v>12.76</v>
      </c>
      <c r="J1826" s="394">
        <v>7058.29</v>
      </c>
      <c r="K1826" s="393" t="s">
        <v>1033</v>
      </c>
    </row>
    <row r="1827" spans="1:12" hidden="1" x14ac:dyDescent="0.3">
      <c r="A1827" s="397" t="s">
        <v>2628</v>
      </c>
      <c r="C1827" s="397" t="s">
        <v>1053</v>
      </c>
      <c r="D1827" s="397" t="s">
        <v>4809</v>
      </c>
      <c r="E1827" s="397" t="s">
        <v>4808</v>
      </c>
      <c r="F1827" s="397" t="s">
        <v>191</v>
      </c>
      <c r="G1827" s="396">
        <v>1</v>
      </c>
      <c r="H1827" s="395">
        <v>9937.2489999999998</v>
      </c>
      <c r="I1827" s="394">
        <v>6121.24</v>
      </c>
      <c r="J1827" s="394">
        <v>14196.07</v>
      </c>
      <c r="K1827" s="393" t="s">
        <v>1033</v>
      </c>
    </row>
    <row r="1828" spans="1:12" hidden="1" x14ac:dyDescent="0.3">
      <c r="A1828" s="397" t="s">
        <v>2628</v>
      </c>
      <c r="C1828" s="397" t="s">
        <v>1053</v>
      </c>
      <c r="D1828" s="397" t="s">
        <v>4646</v>
      </c>
      <c r="E1828" s="397" t="s">
        <v>2225</v>
      </c>
      <c r="F1828" s="397" t="s">
        <v>191</v>
      </c>
      <c r="G1828" s="396">
        <v>4</v>
      </c>
      <c r="H1828" s="395">
        <v>3011.288</v>
      </c>
      <c r="I1828" s="394">
        <v>6.92</v>
      </c>
      <c r="J1828" s="394">
        <v>4301.84</v>
      </c>
      <c r="K1828" s="393" t="s">
        <v>1033</v>
      </c>
    </row>
    <row r="1829" spans="1:12" hidden="1" x14ac:dyDescent="0.3">
      <c r="A1829" s="397" t="s">
        <v>2628</v>
      </c>
      <c r="C1829" s="397" t="s">
        <v>1053</v>
      </c>
      <c r="D1829" s="397" t="s">
        <v>2627</v>
      </c>
      <c r="E1829" s="397" t="s">
        <v>596</v>
      </c>
      <c r="F1829" s="397" t="s">
        <v>191</v>
      </c>
      <c r="G1829" s="396">
        <v>3</v>
      </c>
      <c r="H1829" s="395">
        <v>1587.768</v>
      </c>
      <c r="I1829" s="394">
        <v>3.47</v>
      </c>
      <c r="J1829" s="394">
        <v>2268.2399999999998</v>
      </c>
      <c r="K1829" s="393" t="s">
        <v>1033</v>
      </c>
    </row>
    <row r="1830" spans="1:12" hidden="1" x14ac:dyDescent="0.3">
      <c r="A1830" s="397" t="s">
        <v>2275</v>
      </c>
      <c r="C1830" s="397" t="s">
        <v>1053</v>
      </c>
      <c r="D1830" s="397" t="s">
        <v>2274</v>
      </c>
      <c r="E1830" s="397" t="s">
        <v>2273</v>
      </c>
      <c r="F1830" s="397" t="s">
        <v>191</v>
      </c>
      <c r="G1830" s="396">
        <v>11</v>
      </c>
      <c r="H1830" s="395">
        <v>5561.759</v>
      </c>
      <c r="I1830" s="394">
        <v>5312.2300000000005</v>
      </c>
      <c r="J1830" s="394">
        <v>7945.37</v>
      </c>
      <c r="K1830" s="393" t="s">
        <v>1033</v>
      </c>
    </row>
    <row r="1831" spans="1:12" hidden="1" x14ac:dyDescent="0.3">
      <c r="A1831" s="397" t="s">
        <v>2289</v>
      </c>
      <c r="C1831" s="397" t="s">
        <v>1053</v>
      </c>
      <c r="D1831" s="397" t="s">
        <v>2288</v>
      </c>
      <c r="E1831" s="397" t="s">
        <v>2287</v>
      </c>
      <c r="F1831" s="397" t="s">
        <v>191</v>
      </c>
      <c r="G1831" s="396">
        <v>34</v>
      </c>
      <c r="H1831" s="395">
        <v>4324.7820000000002</v>
      </c>
      <c r="I1831" s="394">
        <v>4179.2299999999996</v>
      </c>
      <c r="J1831" s="394">
        <v>6178.26</v>
      </c>
      <c r="K1831" s="393" t="s">
        <v>1033</v>
      </c>
      <c r="L1831" s="395">
        <v>10</v>
      </c>
    </row>
    <row r="1832" spans="1:12" hidden="1" x14ac:dyDescent="0.3">
      <c r="A1832" s="397" t="s">
        <v>2286</v>
      </c>
      <c r="C1832" s="397" t="s">
        <v>1053</v>
      </c>
      <c r="D1832" s="397" t="s">
        <v>2285</v>
      </c>
      <c r="E1832" s="397" t="s">
        <v>2284</v>
      </c>
      <c r="F1832" s="397" t="s">
        <v>191</v>
      </c>
      <c r="G1832" s="396">
        <v>69</v>
      </c>
      <c r="H1832" s="395">
        <v>7489.2580000000007</v>
      </c>
      <c r="I1832" s="394">
        <v>7218.68</v>
      </c>
      <c r="J1832" s="394">
        <v>10698.94</v>
      </c>
      <c r="K1832" s="393" t="s">
        <v>1033</v>
      </c>
      <c r="L1832" s="395">
        <v>6</v>
      </c>
    </row>
    <row r="1833" spans="1:12" hidden="1" x14ac:dyDescent="0.3">
      <c r="A1833" s="397" t="s">
        <v>2019</v>
      </c>
      <c r="C1833" s="397" t="s">
        <v>1053</v>
      </c>
      <c r="D1833" s="397" t="s">
        <v>5781</v>
      </c>
      <c r="E1833" s="397" t="s">
        <v>2240</v>
      </c>
      <c r="F1833" s="397" t="s">
        <v>191</v>
      </c>
      <c r="G1833" s="396">
        <v>2</v>
      </c>
      <c r="H1833" s="395">
        <v>38637.529000000002</v>
      </c>
      <c r="I1833" s="394">
        <v>1980.76</v>
      </c>
      <c r="J1833" s="394">
        <v>55196.47</v>
      </c>
      <c r="K1833" s="393" t="s">
        <v>1033</v>
      </c>
    </row>
    <row r="1834" spans="1:12" hidden="1" x14ac:dyDescent="0.3">
      <c r="A1834" s="397" t="s">
        <v>2019</v>
      </c>
      <c r="C1834" s="397" t="s">
        <v>1053</v>
      </c>
      <c r="D1834" s="397" t="s">
        <v>5005</v>
      </c>
      <c r="E1834" s="397" t="s">
        <v>5004</v>
      </c>
      <c r="F1834" s="397" t="s">
        <v>191</v>
      </c>
      <c r="G1834" s="396">
        <v>1</v>
      </c>
      <c r="H1834" s="395">
        <v>6323.7019999999993</v>
      </c>
      <c r="I1834" s="394">
        <v>11.73</v>
      </c>
      <c r="J1834" s="394">
        <v>9033.86</v>
      </c>
      <c r="K1834" s="393" t="s">
        <v>1033</v>
      </c>
    </row>
    <row r="1835" spans="1:12" hidden="1" x14ac:dyDescent="0.3">
      <c r="A1835" s="397" t="s">
        <v>2019</v>
      </c>
      <c r="C1835" s="397" t="s">
        <v>1053</v>
      </c>
      <c r="D1835" s="397" t="s">
        <v>2642</v>
      </c>
      <c r="E1835" s="397" t="s">
        <v>596</v>
      </c>
      <c r="F1835" s="397" t="s">
        <v>191</v>
      </c>
      <c r="G1835" s="396">
        <v>8</v>
      </c>
      <c r="H1835" s="395">
        <v>1916.2710000000002</v>
      </c>
      <c r="I1835" s="394">
        <v>81.61</v>
      </c>
      <c r="J1835" s="394">
        <v>2737.53</v>
      </c>
      <c r="K1835" s="393" t="s">
        <v>1033</v>
      </c>
    </row>
    <row r="1836" spans="1:12" hidden="1" x14ac:dyDescent="0.3">
      <c r="A1836" s="397" t="s">
        <v>2019</v>
      </c>
      <c r="C1836" s="397" t="s">
        <v>1053</v>
      </c>
      <c r="D1836" s="397" t="s">
        <v>2609</v>
      </c>
      <c r="E1836" s="397" t="s">
        <v>596</v>
      </c>
      <c r="F1836" s="397" t="s">
        <v>191</v>
      </c>
      <c r="G1836" s="396">
        <v>4</v>
      </c>
      <c r="H1836" s="395">
        <v>1929.039</v>
      </c>
      <c r="I1836" s="394">
        <v>1463.54</v>
      </c>
      <c r="J1836" s="394">
        <v>2755.77</v>
      </c>
      <c r="K1836" s="393" t="s">
        <v>1033</v>
      </c>
    </row>
    <row r="1837" spans="1:12" hidden="1" x14ac:dyDescent="0.3">
      <c r="A1837" s="397" t="s">
        <v>2019</v>
      </c>
      <c r="C1837" s="397" t="s">
        <v>1053</v>
      </c>
      <c r="D1837" s="397" t="s">
        <v>2018</v>
      </c>
      <c r="E1837" s="397" t="s">
        <v>717</v>
      </c>
      <c r="F1837" s="397" t="s">
        <v>191</v>
      </c>
      <c r="G1837" s="396">
        <v>1</v>
      </c>
      <c r="H1837" s="395">
        <v>4544.3090000000002</v>
      </c>
      <c r="I1837" s="394">
        <v>2767.01</v>
      </c>
      <c r="J1837" s="394">
        <v>6491.87</v>
      </c>
      <c r="K1837" s="393" t="s">
        <v>1033</v>
      </c>
    </row>
    <row r="1838" spans="1:12" hidden="1" x14ac:dyDescent="0.3">
      <c r="A1838" s="397" t="s">
        <v>2279</v>
      </c>
      <c r="C1838" s="397" t="s">
        <v>1053</v>
      </c>
      <c r="D1838" s="397" t="s">
        <v>713</v>
      </c>
      <c r="E1838" s="397" t="s">
        <v>676</v>
      </c>
      <c r="F1838" s="397" t="s">
        <v>191</v>
      </c>
      <c r="G1838" s="396">
        <v>24</v>
      </c>
      <c r="H1838" s="395">
        <v>6156.4090000000006</v>
      </c>
      <c r="I1838" s="394">
        <v>5001.03</v>
      </c>
      <c r="J1838" s="394">
        <v>8794.8700000000008</v>
      </c>
      <c r="K1838" s="393" t="s">
        <v>1033</v>
      </c>
    </row>
    <row r="1839" spans="1:12" hidden="1" x14ac:dyDescent="0.3">
      <c r="A1839" s="397" t="s">
        <v>3246</v>
      </c>
      <c r="C1839" s="397" t="s">
        <v>1053</v>
      </c>
      <c r="D1839" s="397" t="s">
        <v>4454</v>
      </c>
      <c r="E1839" s="397" t="s">
        <v>2629</v>
      </c>
      <c r="F1839" s="397" t="s">
        <v>191</v>
      </c>
      <c r="G1839" s="396">
        <v>11</v>
      </c>
      <c r="H1839" s="395">
        <v>2384.067</v>
      </c>
      <c r="I1839" s="394">
        <v>1917.79</v>
      </c>
      <c r="J1839" s="394">
        <v>3405.81</v>
      </c>
      <c r="K1839" s="393" t="s">
        <v>1033</v>
      </c>
    </row>
    <row r="1840" spans="1:12" hidden="1" x14ac:dyDescent="0.3">
      <c r="A1840" s="397" t="s">
        <v>3246</v>
      </c>
      <c r="C1840" s="397" t="s">
        <v>1053</v>
      </c>
      <c r="D1840" s="397" t="s">
        <v>3329</v>
      </c>
      <c r="E1840" s="397" t="s">
        <v>2099</v>
      </c>
      <c r="F1840" s="397" t="s">
        <v>191</v>
      </c>
      <c r="G1840" s="396">
        <v>5</v>
      </c>
      <c r="H1840" s="395">
        <v>2553.1379999999999</v>
      </c>
      <c r="I1840" s="394">
        <v>4.1500000000000004</v>
      </c>
      <c r="J1840" s="394">
        <v>3647.34</v>
      </c>
      <c r="K1840" s="393" t="s">
        <v>1033</v>
      </c>
    </row>
    <row r="1841" spans="1:12" hidden="1" x14ac:dyDescent="0.3">
      <c r="A1841" s="397" t="s">
        <v>3246</v>
      </c>
      <c r="C1841" s="397" t="s">
        <v>1053</v>
      </c>
      <c r="D1841" s="397" t="s">
        <v>3328</v>
      </c>
      <c r="E1841" s="397" t="s">
        <v>2041</v>
      </c>
      <c r="F1841" s="397" t="s">
        <v>191</v>
      </c>
      <c r="G1841" s="396">
        <v>2</v>
      </c>
      <c r="H1841" s="395">
        <v>8541.1059999999998</v>
      </c>
      <c r="I1841" s="394">
        <v>14.23</v>
      </c>
      <c r="J1841" s="394">
        <v>12201.58</v>
      </c>
      <c r="K1841" s="393" t="s">
        <v>1033</v>
      </c>
    </row>
    <row r="1842" spans="1:12" hidden="1" x14ac:dyDescent="0.3">
      <c r="A1842" s="397" t="s">
        <v>3246</v>
      </c>
      <c r="C1842" s="397" t="s">
        <v>1053</v>
      </c>
      <c r="D1842" s="397" t="s">
        <v>3245</v>
      </c>
      <c r="E1842" s="397" t="s">
        <v>676</v>
      </c>
      <c r="F1842" s="397" t="s">
        <v>191</v>
      </c>
      <c r="G1842" s="396">
        <v>2</v>
      </c>
      <c r="H1842" s="395">
        <v>7062.8389999999999</v>
      </c>
      <c r="I1842" s="394">
        <v>5383.63</v>
      </c>
      <c r="J1842" s="394">
        <v>10089.77</v>
      </c>
      <c r="K1842" s="393" t="s">
        <v>1033</v>
      </c>
    </row>
    <row r="1843" spans="1:12" hidden="1" x14ac:dyDescent="0.3">
      <c r="A1843" s="397" t="s">
        <v>1035</v>
      </c>
      <c r="C1843" s="397" t="s">
        <v>1053</v>
      </c>
      <c r="D1843" s="397" t="s">
        <v>2302</v>
      </c>
      <c r="E1843" s="397" t="s">
        <v>2301</v>
      </c>
      <c r="F1843" s="397" t="s">
        <v>191</v>
      </c>
      <c r="G1843" s="396">
        <v>1</v>
      </c>
      <c r="H1843" s="395">
        <v>13687.673999999999</v>
      </c>
      <c r="I1843" s="394">
        <v>530.39</v>
      </c>
      <c r="J1843" s="394">
        <v>19553.82</v>
      </c>
      <c r="K1843" s="393" t="s">
        <v>1033</v>
      </c>
    </row>
    <row r="1844" spans="1:12" hidden="1" x14ac:dyDescent="0.3">
      <c r="A1844" s="397" t="s">
        <v>1035</v>
      </c>
      <c r="C1844" s="397" t="s">
        <v>1034</v>
      </c>
      <c r="D1844" s="397" t="s">
        <v>737</v>
      </c>
      <c r="E1844" s="397" t="s">
        <v>738</v>
      </c>
      <c r="F1844" s="397" t="s">
        <v>416</v>
      </c>
      <c r="G1844" s="396">
        <v>26</v>
      </c>
      <c r="H1844" s="395">
        <v>5454.5508</v>
      </c>
      <c r="I1844" s="394">
        <v>4793.3900000000003</v>
      </c>
      <c r="J1844" s="394">
        <v>15151.53</v>
      </c>
      <c r="K1844" s="393" t="s">
        <v>1033</v>
      </c>
      <c r="L1844" s="395">
        <v>4</v>
      </c>
    </row>
    <row r="1845" spans="1:12" hidden="1" x14ac:dyDescent="0.3">
      <c r="A1845" s="397" t="s">
        <v>2296</v>
      </c>
      <c r="C1845" s="397" t="s">
        <v>1053</v>
      </c>
      <c r="D1845" s="397" t="s">
        <v>2295</v>
      </c>
      <c r="E1845" s="397" t="s">
        <v>2294</v>
      </c>
      <c r="F1845" s="397" t="s">
        <v>191</v>
      </c>
      <c r="G1845" s="396">
        <v>3</v>
      </c>
      <c r="H1845" s="395">
        <v>7489.2580000000007</v>
      </c>
      <c r="I1845" s="394">
        <v>347.97</v>
      </c>
      <c r="J1845" s="394">
        <v>10698.94</v>
      </c>
      <c r="K1845" s="393" t="s">
        <v>1033</v>
      </c>
    </row>
    <row r="1846" spans="1:12" hidden="1" x14ac:dyDescent="0.3">
      <c r="A1846" s="397" t="s">
        <v>2091</v>
      </c>
      <c r="C1846" s="397" t="s">
        <v>1053</v>
      </c>
      <c r="D1846" s="397" t="s">
        <v>7332</v>
      </c>
      <c r="E1846" s="397" t="s">
        <v>7331</v>
      </c>
      <c r="F1846" s="397" t="s">
        <v>191</v>
      </c>
      <c r="G1846" s="396">
        <v>3</v>
      </c>
      <c r="H1846" s="395">
        <v>5463.7240000000002</v>
      </c>
      <c r="I1846" s="394">
        <v>21.16</v>
      </c>
      <c r="J1846" s="394">
        <v>7805.32</v>
      </c>
      <c r="K1846" s="393" t="s">
        <v>1033</v>
      </c>
    </row>
    <row r="1847" spans="1:12" hidden="1" x14ac:dyDescent="0.3">
      <c r="A1847" s="397" t="s">
        <v>2091</v>
      </c>
      <c r="C1847" s="397" t="s">
        <v>1053</v>
      </c>
      <c r="D1847" s="397" t="s">
        <v>3195</v>
      </c>
      <c r="E1847" s="397" t="s">
        <v>602</v>
      </c>
      <c r="F1847" s="397" t="s">
        <v>191</v>
      </c>
      <c r="G1847" s="396">
        <v>4</v>
      </c>
      <c r="H1847" s="395">
        <v>1540.9590000000001</v>
      </c>
      <c r="I1847" s="394">
        <v>1395.92</v>
      </c>
      <c r="J1847" s="394">
        <v>2201.37</v>
      </c>
      <c r="K1847" s="393" t="s">
        <v>1033</v>
      </c>
    </row>
    <row r="1848" spans="1:12" hidden="1" x14ac:dyDescent="0.3">
      <c r="A1848" s="397" t="s">
        <v>2091</v>
      </c>
      <c r="C1848" s="397" t="s">
        <v>1053</v>
      </c>
      <c r="D1848" s="397" t="s">
        <v>3093</v>
      </c>
      <c r="E1848" s="397" t="s">
        <v>2041</v>
      </c>
      <c r="F1848" s="397" t="s">
        <v>191</v>
      </c>
      <c r="G1848" s="396">
        <v>2</v>
      </c>
      <c r="H1848" s="395">
        <v>2463.7829999999999</v>
      </c>
      <c r="I1848" s="394">
        <v>2392.1</v>
      </c>
      <c r="J1848" s="394">
        <v>3519.69</v>
      </c>
      <c r="K1848" s="393" t="s">
        <v>1033</v>
      </c>
    </row>
    <row r="1849" spans="1:12" hidden="1" x14ac:dyDescent="0.3">
      <c r="A1849" s="397" t="s">
        <v>2091</v>
      </c>
      <c r="C1849" s="397" t="s">
        <v>1053</v>
      </c>
      <c r="D1849" s="397" t="s">
        <v>2090</v>
      </c>
      <c r="E1849" s="397" t="s">
        <v>676</v>
      </c>
      <c r="F1849" s="397" t="s">
        <v>191</v>
      </c>
      <c r="G1849" s="396">
        <v>2</v>
      </c>
      <c r="H1849" s="395">
        <v>11109</v>
      </c>
      <c r="I1849" s="394">
        <v>6917.53</v>
      </c>
      <c r="J1849" s="394">
        <v>15870</v>
      </c>
      <c r="K1849" s="393" t="s">
        <v>1033</v>
      </c>
    </row>
    <row r="1850" spans="1:12" hidden="1" x14ac:dyDescent="0.3">
      <c r="A1850" s="397" t="s">
        <v>2060</v>
      </c>
      <c r="C1850" s="397" t="s">
        <v>1053</v>
      </c>
      <c r="D1850" s="397" t="s">
        <v>2738</v>
      </c>
      <c r="E1850" s="397" t="s">
        <v>2240</v>
      </c>
      <c r="F1850" s="397" t="s">
        <v>191</v>
      </c>
      <c r="G1850" s="396">
        <v>16</v>
      </c>
      <c r="H1850" s="395">
        <v>6411.2230000000009</v>
      </c>
      <c r="I1850" s="394">
        <v>5963.46</v>
      </c>
      <c r="J1850" s="394">
        <v>9158.89</v>
      </c>
      <c r="K1850" s="393" t="s">
        <v>1033</v>
      </c>
    </row>
    <row r="1851" spans="1:12" hidden="1" x14ac:dyDescent="0.3">
      <c r="A1851" s="397" t="s">
        <v>2060</v>
      </c>
      <c r="C1851" s="397" t="s">
        <v>1053</v>
      </c>
      <c r="D1851" s="397" t="s">
        <v>2059</v>
      </c>
      <c r="E1851" s="397" t="s">
        <v>2035</v>
      </c>
      <c r="F1851" s="397" t="s">
        <v>191</v>
      </c>
      <c r="G1851" s="396">
        <v>9</v>
      </c>
      <c r="H1851" s="395">
        <v>1478.2670000000001</v>
      </c>
      <c r="I1851" s="394">
        <v>1041.83</v>
      </c>
      <c r="J1851" s="394">
        <v>2111.81</v>
      </c>
      <c r="K1851" s="393" t="s">
        <v>1033</v>
      </c>
    </row>
    <row r="1852" spans="1:12" hidden="1" x14ac:dyDescent="0.3">
      <c r="A1852" s="397" t="s">
        <v>2624</v>
      </c>
      <c r="C1852" s="397" t="s">
        <v>1053</v>
      </c>
      <c r="D1852" s="397" t="s">
        <v>4579</v>
      </c>
      <c r="E1852" s="397" t="s">
        <v>620</v>
      </c>
      <c r="F1852" s="397" t="s">
        <v>191</v>
      </c>
      <c r="G1852" s="396">
        <v>3</v>
      </c>
      <c r="H1852" s="395">
        <v>1697.269</v>
      </c>
      <c r="I1852" s="394">
        <v>1671.99</v>
      </c>
      <c r="J1852" s="394">
        <v>2424.67</v>
      </c>
      <c r="K1852" s="393" t="s">
        <v>1033</v>
      </c>
    </row>
    <row r="1853" spans="1:12" hidden="1" x14ac:dyDescent="0.3">
      <c r="A1853" s="397" t="s">
        <v>2624</v>
      </c>
      <c r="C1853" s="397" t="s">
        <v>1053</v>
      </c>
      <c r="D1853" s="397" t="s">
        <v>3067</v>
      </c>
      <c r="E1853" s="397" t="s">
        <v>596</v>
      </c>
      <c r="F1853" s="397" t="s">
        <v>191</v>
      </c>
      <c r="G1853" s="396">
        <v>12</v>
      </c>
      <c r="H1853" s="395">
        <v>2628.0309999999999</v>
      </c>
      <c r="I1853" s="394">
        <v>188.04</v>
      </c>
      <c r="J1853" s="394">
        <v>3754.33</v>
      </c>
      <c r="K1853" s="393" t="s">
        <v>1033</v>
      </c>
    </row>
    <row r="1854" spans="1:12" hidden="1" x14ac:dyDescent="0.3">
      <c r="A1854" s="397" t="s">
        <v>2624</v>
      </c>
      <c r="C1854" s="397" t="s">
        <v>1053</v>
      </c>
      <c r="D1854" s="397" t="s">
        <v>2669</v>
      </c>
      <c r="E1854" s="397" t="s">
        <v>553</v>
      </c>
      <c r="F1854" s="397" t="s">
        <v>191</v>
      </c>
      <c r="G1854" s="396">
        <v>6</v>
      </c>
      <c r="H1854" s="395">
        <v>1872.3040000000001</v>
      </c>
      <c r="I1854" s="394">
        <v>906.30000000000007</v>
      </c>
      <c r="J1854" s="394">
        <v>2674.7200000000003</v>
      </c>
      <c r="K1854" s="393" t="s">
        <v>1033</v>
      </c>
    </row>
    <row r="1855" spans="1:12" hidden="1" x14ac:dyDescent="0.3">
      <c r="A1855" s="397" t="s">
        <v>2624</v>
      </c>
      <c r="C1855" s="397" t="s">
        <v>1053</v>
      </c>
      <c r="D1855" s="397" t="s">
        <v>2663</v>
      </c>
      <c r="E1855" s="397" t="s">
        <v>596</v>
      </c>
      <c r="F1855" s="397" t="s">
        <v>191</v>
      </c>
      <c r="G1855" s="396">
        <v>6</v>
      </c>
      <c r="H1855" s="395">
        <v>2777.817</v>
      </c>
      <c r="I1855" s="394">
        <v>343.90000000000003</v>
      </c>
      <c r="J1855" s="394">
        <v>3968.31</v>
      </c>
      <c r="K1855" s="393" t="s">
        <v>1033</v>
      </c>
    </row>
    <row r="1856" spans="1:12" hidden="1" x14ac:dyDescent="0.3">
      <c r="A1856" s="397" t="s">
        <v>2624</v>
      </c>
      <c r="C1856" s="397" t="s">
        <v>1053</v>
      </c>
      <c r="D1856" s="397" t="s">
        <v>2623</v>
      </c>
      <c r="E1856" s="397" t="s">
        <v>596</v>
      </c>
      <c r="F1856" s="397" t="s">
        <v>191</v>
      </c>
      <c r="G1856" s="396">
        <v>16</v>
      </c>
      <c r="H1856" s="395">
        <v>2384.067</v>
      </c>
      <c r="I1856" s="394">
        <v>2188.7600000000002</v>
      </c>
      <c r="J1856" s="394">
        <v>3405.81</v>
      </c>
      <c r="K1856" s="393" t="s">
        <v>1033</v>
      </c>
    </row>
    <row r="1857" spans="1:12" hidden="1" x14ac:dyDescent="0.3">
      <c r="A1857" s="397" t="s">
        <v>812</v>
      </c>
      <c r="C1857" s="397" t="s">
        <v>1053</v>
      </c>
      <c r="D1857" s="397" t="s">
        <v>619</v>
      </c>
      <c r="E1857" s="397" t="s">
        <v>471</v>
      </c>
      <c r="F1857" s="397" t="s">
        <v>191</v>
      </c>
      <c r="G1857" s="396">
        <v>7</v>
      </c>
      <c r="H1857" s="395">
        <v>2777.817</v>
      </c>
      <c r="I1857" s="394">
        <v>2112.29</v>
      </c>
      <c r="J1857" s="394">
        <v>3968.31</v>
      </c>
      <c r="K1857" s="393" t="s">
        <v>1033</v>
      </c>
    </row>
    <row r="1858" spans="1:12" hidden="1" x14ac:dyDescent="0.3">
      <c r="A1858" s="397" t="s">
        <v>812</v>
      </c>
      <c r="C1858" s="397" t="s">
        <v>1053</v>
      </c>
      <c r="D1858" s="397" t="s">
        <v>3845</v>
      </c>
      <c r="E1858" s="397" t="s">
        <v>3844</v>
      </c>
      <c r="F1858" s="397" t="s">
        <v>191</v>
      </c>
      <c r="G1858" s="396">
        <v>2</v>
      </c>
      <c r="H1858" s="395">
        <v>25307.611000000001</v>
      </c>
      <c r="I1858" s="394">
        <v>92.59</v>
      </c>
      <c r="J1858" s="394">
        <v>36153.730000000003</v>
      </c>
      <c r="K1858" s="393" t="s">
        <v>1033</v>
      </c>
    </row>
    <row r="1859" spans="1:12" hidden="1" x14ac:dyDescent="0.3">
      <c r="A1859" s="397" t="s">
        <v>812</v>
      </c>
      <c r="C1859" s="397" t="s">
        <v>1053</v>
      </c>
      <c r="D1859" s="397" t="s">
        <v>3060</v>
      </c>
      <c r="E1859" s="397" t="s">
        <v>596</v>
      </c>
      <c r="F1859" s="397" t="s">
        <v>191</v>
      </c>
      <c r="G1859" s="396">
        <v>18</v>
      </c>
      <c r="H1859" s="395">
        <v>1587.768</v>
      </c>
      <c r="I1859" s="394">
        <v>1560.53</v>
      </c>
      <c r="J1859" s="394">
        <v>2268.2399999999998</v>
      </c>
      <c r="K1859" s="393" t="s">
        <v>1033</v>
      </c>
    </row>
    <row r="1860" spans="1:12" hidden="1" x14ac:dyDescent="0.3">
      <c r="A1860" s="397" t="s">
        <v>812</v>
      </c>
      <c r="C1860" s="397" t="s">
        <v>1053</v>
      </c>
      <c r="D1860" s="397" t="s">
        <v>2607</v>
      </c>
      <c r="E1860" s="397" t="s">
        <v>596</v>
      </c>
      <c r="F1860" s="397" t="s">
        <v>191</v>
      </c>
      <c r="G1860" s="396">
        <v>23</v>
      </c>
      <c r="H1860" s="395">
        <v>1861.5239999999999</v>
      </c>
      <c r="I1860" s="394">
        <v>1758.89</v>
      </c>
      <c r="J1860" s="394">
        <v>2659.32</v>
      </c>
      <c r="K1860" s="393" t="s">
        <v>1033</v>
      </c>
    </row>
    <row r="1861" spans="1:12" hidden="1" x14ac:dyDescent="0.3">
      <c r="A1861" s="397" t="s">
        <v>812</v>
      </c>
      <c r="C1861" s="397" t="s">
        <v>1053</v>
      </c>
      <c r="D1861" s="397" t="s">
        <v>2606</v>
      </c>
      <c r="E1861" s="397" t="s">
        <v>2605</v>
      </c>
      <c r="F1861" s="397" t="s">
        <v>191</v>
      </c>
      <c r="G1861" s="396">
        <v>1</v>
      </c>
      <c r="H1861" s="395">
        <v>2135.2800000000002</v>
      </c>
      <c r="I1861" s="394">
        <v>14.370000000000001</v>
      </c>
      <c r="J1861" s="394">
        <v>3050.4</v>
      </c>
      <c r="K1861" s="393" t="s">
        <v>1033</v>
      </c>
    </row>
    <row r="1862" spans="1:12" hidden="1" x14ac:dyDescent="0.3">
      <c r="A1862" s="397" t="s">
        <v>2512</v>
      </c>
      <c r="C1862" s="397" t="s">
        <v>1053</v>
      </c>
      <c r="D1862" s="397" t="s">
        <v>5360</v>
      </c>
      <c r="E1862" s="397" t="s">
        <v>5359</v>
      </c>
      <c r="F1862" s="397" t="s">
        <v>191</v>
      </c>
      <c r="G1862" s="396">
        <v>5</v>
      </c>
      <c r="H1862" s="395">
        <v>10166.604000000001</v>
      </c>
      <c r="I1862" s="394">
        <v>9404.36</v>
      </c>
      <c r="J1862" s="394">
        <v>14523.720000000001</v>
      </c>
      <c r="K1862" s="393" t="s">
        <v>1033</v>
      </c>
    </row>
    <row r="1863" spans="1:12" hidden="1" x14ac:dyDescent="0.3">
      <c r="A1863" s="397" t="s">
        <v>2512</v>
      </c>
      <c r="C1863" s="397" t="s">
        <v>1053</v>
      </c>
      <c r="D1863" s="397" t="s">
        <v>4619</v>
      </c>
      <c r="E1863" s="397" t="s">
        <v>620</v>
      </c>
      <c r="F1863" s="397" t="s">
        <v>191</v>
      </c>
      <c r="G1863" s="396">
        <v>2</v>
      </c>
      <c r="H1863" s="395">
        <v>3449.2920000000004</v>
      </c>
      <c r="I1863" s="394">
        <v>39.049999999999997</v>
      </c>
      <c r="J1863" s="394">
        <v>4927.5600000000004</v>
      </c>
      <c r="K1863" s="393" t="s">
        <v>1033</v>
      </c>
    </row>
    <row r="1864" spans="1:12" hidden="1" x14ac:dyDescent="0.3">
      <c r="A1864" s="397" t="s">
        <v>2512</v>
      </c>
      <c r="C1864" s="397" t="s">
        <v>1053</v>
      </c>
      <c r="D1864" s="397" t="s">
        <v>4522</v>
      </c>
      <c r="E1864" s="397" t="s">
        <v>4521</v>
      </c>
      <c r="F1864" s="397" t="s">
        <v>191</v>
      </c>
      <c r="G1864" s="396">
        <v>1</v>
      </c>
      <c r="H1864" s="395">
        <v>3574.3959999999997</v>
      </c>
      <c r="I1864" s="394">
        <v>39.049999999999997</v>
      </c>
      <c r="J1864" s="394">
        <v>5106.28</v>
      </c>
      <c r="K1864" s="393" t="s">
        <v>1033</v>
      </c>
    </row>
    <row r="1865" spans="1:12" hidden="1" x14ac:dyDescent="0.3">
      <c r="A1865" s="397" t="s">
        <v>2512</v>
      </c>
      <c r="C1865" s="397" t="s">
        <v>1053</v>
      </c>
      <c r="D1865" s="397" t="s">
        <v>2608</v>
      </c>
      <c r="E1865" s="397" t="s">
        <v>553</v>
      </c>
      <c r="F1865" s="397" t="s">
        <v>191</v>
      </c>
      <c r="G1865" s="396">
        <v>1</v>
      </c>
      <c r="H1865" s="395">
        <v>1752.0229999999999</v>
      </c>
      <c r="I1865" s="394">
        <v>1276.95</v>
      </c>
      <c r="J1865" s="394">
        <v>2502.89</v>
      </c>
      <c r="K1865" s="393" t="s">
        <v>1033</v>
      </c>
    </row>
    <row r="1866" spans="1:12" hidden="1" x14ac:dyDescent="0.3">
      <c r="A1866" s="397" t="s">
        <v>2512</v>
      </c>
      <c r="C1866" s="397" t="s">
        <v>1053</v>
      </c>
      <c r="D1866" s="397" t="s">
        <v>2511</v>
      </c>
      <c r="E1866" s="397" t="s">
        <v>2500</v>
      </c>
      <c r="F1866" s="397" t="s">
        <v>191</v>
      </c>
      <c r="G1866" s="396">
        <v>3</v>
      </c>
      <c r="H1866" s="395">
        <v>5803.5740000000005</v>
      </c>
      <c r="I1866" s="394">
        <v>228.51</v>
      </c>
      <c r="J1866" s="394">
        <v>8290.82</v>
      </c>
      <c r="K1866" s="393" t="s">
        <v>1033</v>
      </c>
      <c r="L1866" s="395">
        <v>1</v>
      </c>
    </row>
    <row r="1867" spans="1:12" hidden="1" x14ac:dyDescent="0.3">
      <c r="A1867" s="397" t="s">
        <v>2662</v>
      </c>
      <c r="C1867" s="397" t="s">
        <v>1053</v>
      </c>
      <c r="D1867" s="397" t="s">
        <v>8048</v>
      </c>
      <c r="E1867" s="397" t="s">
        <v>8047</v>
      </c>
      <c r="F1867" s="397" t="s">
        <v>191</v>
      </c>
      <c r="G1867" s="396">
        <v>1</v>
      </c>
      <c r="H1867" s="395">
        <v>1134.7280000000001</v>
      </c>
      <c r="I1867" s="394">
        <v>3.84</v>
      </c>
      <c r="J1867" s="394">
        <v>1621.04</v>
      </c>
      <c r="K1867" s="393" t="s">
        <v>1033</v>
      </c>
    </row>
    <row r="1868" spans="1:12" hidden="1" x14ac:dyDescent="0.3">
      <c r="A1868" s="397" t="s">
        <v>2662</v>
      </c>
      <c r="C1868" s="397" t="s">
        <v>1053</v>
      </c>
      <c r="D1868" s="397" t="s">
        <v>6420</v>
      </c>
      <c r="E1868" s="397" t="s">
        <v>553</v>
      </c>
      <c r="F1868" s="397" t="s">
        <v>191</v>
      </c>
      <c r="G1868" s="396">
        <v>10</v>
      </c>
      <c r="H1868" s="395">
        <v>1142.365</v>
      </c>
      <c r="I1868" s="394">
        <v>810.95</v>
      </c>
      <c r="J1868" s="394">
        <v>1631.95</v>
      </c>
      <c r="K1868" s="393" t="s">
        <v>1033</v>
      </c>
    </row>
    <row r="1869" spans="1:12" hidden="1" x14ac:dyDescent="0.3">
      <c r="A1869" s="397" t="s">
        <v>2662</v>
      </c>
      <c r="C1869" s="397" t="s">
        <v>1053</v>
      </c>
      <c r="D1869" s="397" t="s">
        <v>3054</v>
      </c>
      <c r="E1869" s="397" t="s">
        <v>596</v>
      </c>
      <c r="F1869" s="397" t="s">
        <v>191</v>
      </c>
      <c r="G1869" s="396">
        <v>4</v>
      </c>
      <c r="H1869" s="395">
        <v>1478.2670000000001</v>
      </c>
      <c r="I1869" s="394">
        <v>9.1300000000000008</v>
      </c>
      <c r="J1869" s="394">
        <v>2111.81</v>
      </c>
      <c r="K1869" s="393" t="s">
        <v>1033</v>
      </c>
    </row>
    <row r="1870" spans="1:12" hidden="1" x14ac:dyDescent="0.3">
      <c r="A1870" s="397" t="s">
        <v>2662</v>
      </c>
      <c r="C1870" s="397" t="s">
        <v>1053</v>
      </c>
      <c r="D1870" s="397" t="s">
        <v>2661</v>
      </c>
      <c r="E1870" s="397" t="s">
        <v>596</v>
      </c>
      <c r="F1870" s="397" t="s">
        <v>191</v>
      </c>
      <c r="G1870" s="396">
        <v>9</v>
      </c>
      <c r="H1870" s="395">
        <v>1946.0629999999999</v>
      </c>
      <c r="I1870" s="394">
        <v>1468.69</v>
      </c>
      <c r="J1870" s="394">
        <v>2780.09</v>
      </c>
      <c r="K1870" s="393" t="s">
        <v>1033</v>
      </c>
    </row>
    <row r="1871" spans="1:12" hidden="1" x14ac:dyDescent="0.3">
      <c r="A1871" s="397" t="s">
        <v>844</v>
      </c>
      <c r="C1871" s="397" t="s">
        <v>1053</v>
      </c>
      <c r="D1871" s="397" t="s">
        <v>554</v>
      </c>
      <c r="E1871" s="397" t="s">
        <v>555</v>
      </c>
      <c r="F1871" s="397" t="s">
        <v>191</v>
      </c>
      <c r="G1871" s="396">
        <v>16</v>
      </c>
      <c r="H1871" s="395">
        <v>767.01100000000008</v>
      </c>
      <c r="I1871" s="394">
        <v>742.31000000000006</v>
      </c>
      <c r="J1871" s="394">
        <v>1095.73</v>
      </c>
      <c r="K1871" s="393" t="s">
        <v>1033</v>
      </c>
    </row>
    <row r="1872" spans="1:12" hidden="1" x14ac:dyDescent="0.3">
      <c r="A1872" s="397" t="s">
        <v>844</v>
      </c>
      <c r="C1872" s="397" t="s">
        <v>1053</v>
      </c>
      <c r="D1872" s="397" t="s">
        <v>4616</v>
      </c>
      <c r="E1872" s="397" t="s">
        <v>620</v>
      </c>
      <c r="F1872" s="397" t="s">
        <v>191</v>
      </c>
      <c r="G1872" s="396">
        <v>3</v>
      </c>
      <c r="H1872" s="395">
        <v>4434.808</v>
      </c>
      <c r="I1872" s="394">
        <v>3024.9500000000003</v>
      </c>
      <c r="J1872" s="394">
        <v>6335.4400000000005</v>
      </c>
      <c r="K1872" s="393" t="s">
        <v>1033</v>
      </c>
    </row>
    <row r="1873" spans="1:12" hidden="1" x14ac:dyDescent="0.3">
      <c r="A1873" s="397" t="s">
        <v>844</v>
      </c>
      <c r="C1873" s="397" t="s">
        <v>1053</v>
      </c>
      <c r="D1873" s="397" t="s">
        <v>3602</v>
      </c>
      <c r="E1873" s="397" t="s">
        <v>2240</v>
      </c>
      <c r="F1873" s="397" t="s">
        <v>191</v>
      </c>
      <c r="G1873" s="396">
        <v>1</v>
      </c>
      <c r="H1873" s="395">
        <v>5071.7240000000002</v>
      </c>
      <c r="I1873" s="394">
        <v>75.75</v>
      </c>
      <c r="J1873" s="394">
        <v>7245.32</v>
      </c>
      <c r="K1873" s="393" t="s">
        <v>1033</v>
      </c>
    </row>
    <row r="1874" spans="1:12" hidden="1" x14ac:dyDescent="0.3">
      <c r="A1874" s="397" t="s">
        <v>844</v>
      </c>
      <c r="C1874" s="397" t="s">
        <v>1053</v>
      </c>
      <c r="D1874" s="397" t="s">
        <v>3049</v>
      </c>
      <c r="E1874" s="397" t="s">
        <v>596</v>
      </c>
      <c r="F1874" s="397" t="s">
        <v>191</v>
      </c>
      <c r="G1874" s="396">
        <v>35</v>
      </c>
      <c r="H1874" s="395">
        <v>1252.741</v>
      </c>
      <c r="I1874" s="394">
        <v>774.76</v>
      </c>
      <c r="J1874" s="394">
        <v>1789.63</v>
      </c>
      <c r="K1874" s="393" t="s">
        <v>1033</v>
      </c>
    </row>
    <row r="1875" spans="1:12" hidden="1" x14ac:dyDescent="0.3">
      <c r="A1875" s="397" t="s">
        <v>844</v>
      </c>
      <c r="C1875" s="397" t="s">
        <v>1053</v>
      </c>
      <c r="D1875" s="397" t="s">
        <v>2664</v>
      </c>
      <c r="E1875" s="397" t="s">
        <v>2629</v>
      </c>
      <c r="F1875" s="397" t="s">
        <v>191</v>
      </c>
      <c r="G1875" s="396">
        <v>4</v>
      </c>
      <c r="H1875" s="395">
        <v>2135.2800000000002</v>
      </c>
      <c r="I1875" s="394">
        <v>1195.2</v>
      </c>
      <c r="J1875" s="394">
        <v>3050.4</v>
      </c>
      <c r="K1875" s="393" t="s">
        <v>1033</v>
      </c>
    </row>
    <row r="1876" spans="1:12" hidden="1" x14ac:dyDescent="0.3">
      <c r="A1876" s="397" t="s">
        <v>2009</v>
      </c>
      <c r="C1876" s="397" t="s">
        <v>1053</v>
      </c>
      <c r="D1876" s="397" t="s">
        <v>3279</v>
      </c>
      <c r="E1876" s="397" t="s">
        <v>2083</v>
      </c>
      <c r="F1876" s="397" t="s">
        <v>191</v>
      </c>
      <c r="G1876" s="396">
        <v>14</v>
      </c>
      <c r="H1876" s="395">
        <v>1134.7280000000001</v>
      </c>
      <c r="I1876" s="394">
        <v>901.2</v>
      </c>
      <c r="J1876" s="394">
        <v>1621.04</v>
      </c>
      <c r="K1876" s="393" t="s">
        <v>1033</v>
      </c>
    </row>
    <row r="1877" spans="1:12" hidden="1" x14ac:dyDescent="0.3">
      <c r="A1877" s="397" t="s">
        <v>2009</v>
      </c>
      <c r="C1877" s="397" t="s">
        <v>1053</v>
      </c>
      <c r="D1877" s="397" t="s">
        <v>3073</v>
      </c>
      <c r="E1877" s="397" t="s">
        <v>2629</v>
      </c>
      <c r="F1877" s="397" t="s">
        <v>191</v>
      </c>
      <c r="G1877" s="396">
        <v>8</v>
      </c>
      <c r="H1877" s="395">
        <v>1394.0150000000001</v>
      </c>
      <c r="I1877" s="394">
        <v>1072.3699999999999</v>
      </c>
      <c r="J1877" s="394">
        <v>1991.45</v>
      </c>
      <c r="K1877" s="393" t="s">
        <v>1033</v>
      </c>
    </row>
    <row r="1878" spans="1:12" hidden="1" x14ac:dyDescent="0.3">
      <c r="A1878" s="397" t="s">
        <v>2009</v>
      </c>
      <c r="C1878" s="397" t="s">
        <v>1053</v>
      </c>
      <c r="D1878" s="397" t="s">
        <v>2678</v>
      </c>
      <c r="E1878" s="397" t="s">
        <v>553</v>
      </c>
      <c r="F1878" s="397" t="s">
        <v>191</v>
      </c>
      <c r="G1878" s="396">
        <v>7</v>
      </c>
      <c r="H1878" s="395">
        <v>2748.8790000000004</v>
      </c>
      <c r="I1878" s="394">
        <v>201.48000000000002</v>
      </c>
      <c r="J1878" s="394">
        <v>3926.9700000000003</v>
      </c>
      <c r="K1878" s="393" t="s">
        <v>1033</v>
      </c>
    </row>
    <row r="1879" spans="1:12" hidden="1" x14ac:dyDescent="0.3">
      <c r="A1879" s="397" t="s">
        <v>2009</v>
      </c>
      <c r="C1879" s="397" t="s">
        <v>1053</v>
      </c>
      <c r="D1879" s="397" t="s">
        <v>2649</v>
      </c>
      <c r="E1879" s="397" t="s">
        <v>596</v>
      </c>
      <c r="F1879" s="397" t="s">
        <v>191</v>
      </c>
      <c r="G1879" s="396">
        <v>12</v>
      </c>
      <c r="H1879" s="395">
        <v>1697.269</v>
      </c>
      <c r="I1879" s="394">
        <v>1598.99</v>
      </c>
      <c r="J1879" s="394">
        <v>2424.67</v>
      </c>
      <c r="K1879" s="393" t="s">
        <v>1033</v>
      </c>
    </row>
    <row r="1880" spans="1:12" hidden="1" x14ac:dyDescent="0.3">
      <c r="A1880" s="397" t="s">
        <v>2009</v>
      </c>
      <c r="C1880" s="397" t="s">
        <v>1053</v>
      </c>
      <c r="D1880" s="397" t="s">
        <v>2636</v>
      </c>
      <c r="E1880" s="397" t="s">
        <v>2629</v>
      </c>
      <c r="F1880" s="397" t="s">
        <v>191</v>
      </c>
      <c r="G1880" s="396">
        <v>32</v>
      </c>
      <c r="H1880" s="395">
        <v>2190.027</v>
      </c>
      <c r="I1880" s="394">
        <v>15.200000000000001</v>
      </c>
      <c r="J1880" s="394">
        <v>3128.61</v>
      </c>
      <c r="K1880" s="393" t="s">
        <v>1033</v>
      </c>
    </row>
    <row r="1881" spans="1:12" hidden="1" x14ac:dyDescent="0.3">
      <c r="A1881" s="397" t="s">
        <v>2009</v>
      </c>
      <c r="C1881" s="397" t="s">
        <v>1053</v>
      </c>
      <c r="D1881" s="397" t="s">
        <v>2008</v>
      </c>
      <c r="E1881" s="397" t="s">
        <v>2007</v>
      </c>
      <c r="F1881" s="397" t="s">
        <v>191</v>
      </c>
      <c r="G1881" s="396">
        <v>2</v>
      </c>
      <c r="H1881" s="395">
        <v>8048.3480000000009</v>
      </c>
      <c r="I1881" s="394">
        <v>7675.1900000000005</v>
      </c>
      <c r="J1881" s="394">
        <v>11497.64</v>
      </c>
      <c r="K1881" s="393" t="s">
        <v>1033</v>
      </c>
    </row>
    <row r="1882" spans="1:12" hidden="1" x14ac:dyDescent="0.3">
      <c r="A1882" s="397" t="s">
        <v>886</v>
      </c>
      <c r="C1882" s="397" t="s">
        <v>1053</v>
      </c>
      <c r="D1882" s="397" t="s">
        <v>417</v>
      </c>
      <c r="E1882" s="397" t="s">
        <v>418</v>
      </c>
      <c r="F1882" s="397" t="s">
        <v>191</v>
      </c>
      <c r="G1882" s="396">
        <v>421</v>
      </c>
      <c r="H1882" s="395">
        <v>1447.915</v>
      </c>
      <c r="I1882" s="394">
        <v>1422.31</v>
      </c>
      <c r="J1882" s="394">
        <v>2068.4499999999998</v>
      </c>
      <c r="K1882" s="393" t="s">
        <v>1033</v>
      </c>
      <c r="L1882" s="395">
        <v>293</v>
      </c>
    </row>
    <row r="1883" spans="1:12" hidden="1" x14ac:dyDescent="0.3">
      <c r="A1883" s="397" t="s">
        <v>886</v>
      </c>
      <c r="C1883" s="397" t="s">
        <v>1053</v>
      </c>
      <c r="D1883" s="397" t="s">
        <v>2702</v>
      </c>
      <c r="E1883" s="397" t="s">
        <v>2701</v>
      </c>
      <c r="F1883" s="397" t="s">
        <v>191</v>
      </c>
      <c r="G1883" s="396">
        <v>67</v>
      </c>
      <c r="H1883" s="395">
        <v>1733.865</v>
      </c>
      <c r="I1883" s="394">
        <v>1649.98</v>
      </c>
      <c r="J1883" s="394">
        <v>2476.9499999999998</v>
      </c>
      <c r="K1883" s="393" t="s">
        <v>1033</v>
      </c>
    </row>
    <row r="1884" spans="1:12" hidden="1" x14ac:dyDescent="0.3">
      <c r="A1884" s="397" t="s">
        <v>2703</v>
      </c>
      <c r="C1884" s="397" t="s">
        <v>1053</v>
      </c>
      <c r="D1884" s="397" t="s">
        <v>700</v>
      </c>
      <c r="E1884" s="397" t="s">
        <v>701</v>
      </c>
      <c r="F1884" s="397" t="s">
        <v>191</v>
      </c>
      <c r="G1884" s="396">
        <v>89</v>
      </c>
      <c r="H1884" s="395">
        <v>1666.3500000000001</v>
      </c>
      <c r="I1884" s="394">
        <v>1636.88</v>
      </c>
      <c r="J1884" s="394">
        <v>2380.5</v>
      </c>
      <c r="K1884" s="393" t="s">
        <v>1033</v>
      </c>
    </row>
    <row r="1885" spans="1:12" hidden="1" x14ac:dyDescent="0.3">
      <c r="A1885" s="397" t="s">
        <v>2579</v>
      </c>
      <c r="C1885" s="397" t="s">
        <v>1053</v>
      </c>
      <c r="D1885" s="397" t="s">
        <v>7558</v>
      </c>
      <c r="E1885" s="397" t="s">
        <v>5589</v>
      </c>
      <c r="F1885" s="397" t="s">
        <v>191</v>
      </c>
      <c r="G1885" s="396">
        <v>2</v>
      </c>
      <c r="H1885" s="395">
        <v>2728.4109999999996</v>
      </c>
      <c r="I1885" s="394">
        <v>1649.96</v>
      </c>
      <c r="J1885" s="394">
        <v>3897.73</v>
      </c>
      <c r="K1885" s="393" t="s">
        <v>1033</v>
      </c>
    </row>
    <row r="1886" spans="1:12" hidden="1" x14ac:dyDescent="0.3">
      <c r="A1886" s="397" t="s">
        <v>2579</v>
      </c>
      <c r="C1886" s="397" t="s">
        <v>1053</v>
      </c>
      <c r="D1886" s="397" t="s">
        <v>3040</v>
      </c>
      <c r="E1886" s="397" t="s">
        <v>2035</v>
      </c>
      <c r="F1886" s="397" t="s">
        <v>191</v>
      </c>
      <c r="G1886" s="396">
        <v>9</v>
      </c>
      <c r="H1886" s="395">
        <v>1423.52</v>
      </c>
      <c r="I1886" s="394">
        <v>1293.69</v>
      </c>
      <c r="J1886" s="394">
        <v>2033.6000000000001</v>
      </c>
      <c r="K1886" s="393" t="s">
        <v>1033</v>
      </c>
    </row>
    <row r="1887" spans="1:12" hidden="1" x14ac:dyDescent="0.3">
      <c r="A1887" s="397" t="s">
        <v>2579</v>
      </c>
      <c r="C1887" s="397" t="s">
        <v>1053</v>
      </c>
      <c r="D1887" s="397" t="s">
        <v>2988</v>
      </c>
      <c r="E1887" s="397" t="s">
        <v>2002</v>
      </c>
      <c r="F1887" s="397" t="s">
        <v>191</v>
      </c>
      <c r="G1887" s="396">
        <v>71</v>
      </c>
      <c r="H1887" s="395">
        <v>4879.3360000000002</v>
      </c>
      <c r="I1887" s="394">
        <v>161.53</v>
      </c>
      <c r="J1887" s="394">
        <v>6970.4800000000005</v>
      </c>
      <c r="K1887" s="393" t="s">
        <v>1033</v>
      </c>
      <c r="L1887" s="395">
        <v>9</v>
      </c>
    </row>
    <row r="1888" spans="1:12" hidden="1" x14ac:dyDescent="0.3">
      <c r="A1888" s="397" t="s">
        <v>2579</v>
      </c>
      <c r="C1888" s="397" t="s">
        <v>1053</v>
      </c>
      <c r="D1888" s="397" t="s">
        <v>2578</v>
      </c>
      <c r="E1888" s="397" t="s">
        <v>2577</v>
      </c>
      <c r="F1888" s="397" t="s">
        <v>191</v>
      </c>
      <c r="G1888" s="396">
        <v>5</v>
      </c>
      <c r="H1888" s="395">
        <v>4818.058</v>
      </c>
      <c r="I1888" s="394">
        <v>4477.1899999999996</v>
      </c>
      <c r="J1888" s="394">
        <v>6882.9400000000005</v>
      </c>
      <c r="K1888" s="393" t="s">
        <v>1033</v>
      </c>
    </row>
    <row r="1889" spans="1:11" hidden="1" x14ac:dyDescent="0.3">
      <c r="A1889" s="397" t="s">
        <v>2266</v>
      </c>
      <c r="C1889" s="397" t="s">
        <v>1053</v>
      </c>
      <c r="D1889" s="397" t="s">
        <v>6959</v>
      </c>
      <c r="E1889" s="397" t="s">
        <v>6958</v>
      </c>
      <c r="F1889" s="397" t="s">
        <v>191</v>
      </c>
      <c r="G1889" s="396">
        <v>10</v>
      </c>
      <c r="H1889" s="395">
        <v>1259.2650000000001</v>
      </c>
      <c r="I1889" s="394">
        <v>8.36</v>
      </c>
      <c r="J1889" s="394">
        <v>1798.95</v>
      </c>
      <c r="K1889" s="393" t="s">
        <v>1033</v>
      </c>
    </row>
    <row r="1890" spans="1:11" hidden="1" x14ac:dyDescent="0.3">
      <c r="A1890" s="397" t="s">
        <v>2266</v>
      </c>
      <c r="C1890" s="397" t="s">
        <v>1053</v>
      </c>
      <c r="D1890" s="397" t="s">
        <v>4977</v>
      </c>
      <c r="E1890" s="397" t="s">
        <v>4976</v>
      </c>
      <c r="F1890" s="397" t="s">
        <v>191</v>
      </c>
      <c r="G1890" s="396">
        <v>4</v>
      </c>
      <c r="H1890" s="395">
        <v>1405.2710000000002</v>
      </c>
      <c r="I1890" s="394">
        <v>59.85</v>
      </c>
      <c r="J1890" s="394">
        <v>2007.53</v>
      </c>
      <c r="K1890" s="393" t="s">
        <v>1033</v>
      </c>
    </row>
    <row r="1891" spans="1:11" hidden="1" x14ac:dyDescent="0.3">
      <c r="A1891" s="397" t="s">
        <v>2266</v>
      </c>
      <c r="C1891" s="397" t="s">
        <v>1053</v>
      </c>
      <c r="D1891" s="397" t="s">
        <v>3077</v>
      </c>
      <c r="E1891" s="397" t="s">
        <v>596</v>
      </c>
      <c r="F1891" s="397" t="s">
        <v>191</v>
      </c>
      <c r="G1891" s="396">
        <v>15</v>
      </c>
      <c r="H1891" s="395">
        <v>1268.4069999999999</v>
      </c>
      <c r="I1891" s="394">
        <v>1150.49</v>
      </c>
      <c r="J1891" s="394">
        <v>1812.01</v>
      </c>
      <c r="K1891" s="393" t="s">
        <v>1033</v>
      </c>
    </row>
    <row r="1892" spans="1:11" hidden="1" x14ac:dyDescent="0.3">
      <c r="A1892" s="397" t="s">
        <v>2266</v>
      </c>
      <c r="C1892" s="397" t="s">
        <v>1053</v>
      </c>
      <c r="D1892" s="397" t="s">
        <v>3059</v>
      </c>
      <c r="E1892" s="397" t="s">
        <v>596</v>
      </c>
      <c r="F1892" s="397" t="s">
        <v>191</v>
      </c>
      <c r="G1892" s="396">
        <v>6</v>
      </c>
      <c r="H1892" s="395">
        <v>1587.768</v>
      </c>
      <c r="I1892" s="394">
        <v>1467.8700000000001</v>
      </c>
      <c r="J1892" s="394">
        <v>2268.2399999999998</v>
      </c>
      <c r="K1892" s="393" t="s">
        <v>1033</v>
      </c>
    </row>
    <row r="1893" spans="1:11" hidden="1" x14ac:dyDescent="0.3">
      <c r="A1893" s="397" t="s">
        <v>2266</v>
      </c>
      <c r="C1893" s="397" t="s">
        <v>1053</v>
      </c>
      <c r="D1893" s="397" t="s">
        <v>2602</v>
      </c>
      <c r="E1893" s="397" t="s">
        <v>596</v>
      </c>
      <c r="F1893" s="397" t="s">
        <v>191</v>
      </c>
      <c r="G1893" s="396">
        <v>25</v>
      </c>
      <c r="H1893" s="395">
        <v>1587.768</v>
      </c>
      <c r="I1893" s="394">
        <v>1337.02</v>
      </c>
      <c r="J1893" s="394">
        <v>2268.2399999999998</v>
      </c>
      <c r="K1893" s="393" t="s">
        <v>1033</v>
      </c>
    </row>
    <row r="1894" spans="1:11" hidden="1" x14ac:dyDescent="0.3">
      <c r="A1894" s="397" t="s">
        <v>2266</v>
      </c>
      <c r="C1894" s="397" t="s">
        <v>1053</v>
      </c>
      <c r="D1894" s="397" t="s">
        <v>2459</v>
      </c>
      <c r="E1894" s="397" t="s">
        <v>596</v>
      </c>
      <c r="F1894" s="397" t="s">
        <v>191</v>
      </c>
      <c r="G1894" s="396">
        <v>51</v>
      </c>
      <c r="H1894" s="395">
        <v>2409.029</v>
      </c>
      <c r="I1894" s="394">
        <v>1369.94</v>
      </c>
      <c r="J1894" s="394">
        <v>3441.4700000000003</v>
      </c>
      <c r="K1894" s="393" t="s">
        <v>1033</v>
      </c>
    </row>
    <row r="1895" spans="1:11" hidden="1" x14ac:dyDescent="0.3">
      <c r="A1895" s="397" t="s">
        <v>2266</v>
      </c>
      <c r="C1895" s="397" t="s">
        <v>1053</v>
      </c>
      <c r="D1895" s="397" t="s">
        <v>2265</v>
      </c>
      <c r="E1895" s="397" t="s">
        <v>2252</v>
      </c>
      <c r="F1895" s="397" t="s">
        <v>191</v>
      </c>
      <c r="G1895" s="396">
        <v>2</v>
      </c>
      <c r="H1895" s="395">
        <v>3449.2920000000004</v>
      </c>
      <c r="I1895" s="394">
        <v>2971.15</v>
      </c>
      <c r="J1895" s="394">
        <v>4927.5600000000004</v>
      </c>
      <c r="K1895" s="393" t="s">
        <v>1033</v>
      </c>
    </row>
    <row r="1896" spans="1:11" hidden="1" x14ac:dyDescent="0.3">
      <c r="A1896" s="397" t="s">
        <v>2631</v>
      </c>
      <c r="C1896" s="397" t="s">
        <v>1053</v>
      </c>
      <c r="D1896" s="397" t="s">
        <v>4856</v>
      </c>
      <c r="E1896" s="397" t="s">
        <v>4855</v>
      </c>
      <c r="F1896" s="397" t="s">
        <v>191</v>
      </c>
      <c r="G1896" s="396">
        <v>2</v>
      </c>
      <c r="H1896" s="395">
        <v>40406.002</v>
      </c>
      <c r="I1896" s="394">
        <v>31311</v>
      </c>
      <c r="J1896" s="394">
        <v>57722.86</v>
      </c>
      <c r="K1896" s="393" t="s">
        <v>1033</v>
      </c>
    </row>
    <row r="1897" spans="1:11" hidden="1" x14ac:dyDescent="0.3">
      <c r="A1897" s="397" t="s">
        <v>2631</v>
      </c>
      <c r="C1897" s="397" t="s">
        <v>1053</v>
      </c>
      <c r="D1897" s="397" t="s">
        <v>4620</v>
      </c>
      <c r="E1897" s="397" t="s">
        <v>471</v>
      </c>
      <c r="F1897" s="397" t="s">
        <v>191</v>
      </c>
      <c r="G1897" s="396">
        <v>13</v>
      </c>
      <c r="H1897" s="395">
        <v>2777.817</v>
      </c>
      <c r="I1897" s="394">
        <v>2675.19</v>
      </c>
      <c r="J1897" s="394">
        <v>3968.31</v>
      </c>
      <c r="K1897" s="393" t="s">
        <v>1033</v>
      </c>
    </row>
    <row r="1898" spans="1:11" hidden="1" x14ac:dyDescent="0.3">
      <c r="A1898" s="397" t="s">
        <v>2631</v>
      </c>
      <c r="C1898" s="397" t="s">
        <v>1053</v>
      </c>
      <c r="D1898" s="397" t="s">
        <v>4613</v>
      </c>
      <c r="E1898" s="397" t="s">
        <v>596</v>
      </c>
      <c r="F1898" s="397" t="s">
        <v>191</v>
      </c>
      <c r="G1898" s="396">
        <v>67</v>
      </c>
      <c r="H1898" s="395">
        <v>1723.652</v>
      </c>
      <c r="I1898" s="394">
        <v>968.26</v>
      </c>
      <c r="J1898" s="394">
        <v>2462.36</v>
      </c>
      <c r="K1898" s="393" t="s">
        <v>1033</v>
      </c>
    </row>
    <row r="1899" spans="1:11" hidden="1" x14ac:dyDescent="0.3">
      <c r="A1899" s="397" t="s">
        <v>2631</v>
      </c>
      <c r="C1899" s="397" t="s">
        <v>1053</v>
      </c>
      <c r="D1899" s="397" t="s">
        <v>2652</v>
      </c>
      <c r="E1899" s="397" t="s">
        <v>596</v>
      </c>
      <c r="F1899" s="397" t="s">
        <v>191</v>
      </c>
      <c r="G1899" s="396">
        <v>15</v>
      </c>
      <c r="H1899" s="395">
        <v>1642.5220000000002</v>
      </c>
      <c r="I1899" s="394">
        <v>65.040000000000006</v>
      </c>
      <c r="J1899" s="394">
        <v>2346.46</v>
      </c>
      <c r="K1899" s="393" t="s">
        <v>1033</v>
      </c>
    </row>
    <row r="1900" spans="1:11" hidden="1" x14ac:dyDescent="0.3">
      <c r="A1900" s="397" t="s">
        <v>2631</v>
      </c>
      <c r="C1900" s="397" t="s">
        <v>1053</v>
      </c>
      <c r="D1900" s="397" t="s">
        <v>704</v>
      </c>
      <c r="E1900" s="397" t="s">
        <v>596</v>
      </c>
      <c r="F1900" s="397" t="s">
        <v>191</v>
      </c>
      <c r="G1900" s="396">
        <v>33</v>
      </c>
      <c r="H1900" s="395">
        <v>1741.2429999999999</v>
      </c>
      <c r="I1900" s="394">
        <v>143</v>
      </c>
      <c r="J1900" s="394">
        <v>2487.4899999999998</v>
      </c>
      <c r="K1900" s="393" t="s">
        <v>1033</v>
      </c>
    </row>
    <row r="1901" spans="1:11" hidden="1" x14ac:dyDescent="0.3">
      <c r="A1901" s="397" t="s">
        <v>2298</v>
      </c>
      <c r="C1901" s="397" t="s">
        <v>1053</v>
      </c>
      <c r="D1901" s="397" t="s">
        <v>3260</v>
      </c>
      <c r="E1901" s="397" t="s">
        <v>3257</v>
      </c>
      <c r="F1901" s="397" t="s">
        <v>191</v>
      </c>
      <c r="G1901" s="396">
        <v>10</v>
      </c>
      <c r="H1901" s="395">
        <v>3347.4490000000005</v>
      </c>
      <c r="I1901" s="394">
        <v>2199.96</v>
      </c>
      <c r="J1901" s="394">
        <v>4782.07</v>
      </c>
      <c r="K1901" s="393" t="s">
        <v>1033</v>
      </c>
    </row>
    <row r="1902" spans="1:11" hidden="1" x14ac:dyDescent="0.3">
      <c r="A1902" s="397" t="s">
        <v>2298</v>
      </c>
      <c r="C1902" s="397" t="s">
        <v>1053</v>
      </c>
      <c r="D1902" s="397" t="s">
        <v>2630</v>
      </c>
      <c r="E1902" s="397" t="s">
        <v>2629</v>
      </c>
      <c r="F1902" s="397" t="s">
        <v>191</v>
      </c>
      <c r="G1902" s="396">
        <v>13</v>
      </c>
      <c r="H1902" s="395">
        <v>2910.5790000000002</v>
      </c>
      <c r="I1902" s="394">
        <v>129.52000000000001</v>
      </c>
      <c r="J1902" s="394">
        <v>4157.97</v>
      </c>
      <c r="K1902" s="393" t="s">
        <v>1033</v>
      </c>
    </row>
    <row r="1903" spans="1:11" hidden="1" x14ac:dyDescent="0.3">
      <c r="A1903" s="397" t="s">
        <v>2298</v>
      </c>
      <c r="C1903" s="397" t="s">
        <v>1053</v>
      </c>
      <c r="D1903" s="397" t="s">
        <v>2297</v>
      </c>
      <c r="E1903" s="397" t="s">
        <v>2041</v>
      </c>
      <c r="F1903" s="397" t="s">
        <v>191</v>
      </c>
      <c r="G1903" s="396">
        <v>15</v>
      </c>
      <c r="H1903" s="395">
        <v>3218.1240000000003</v>
      </c>
      <c r="I1903" s="394">
        <v>184.07</v>
      </c>
      <c r="J1903" s="394">
        <v>4597.32</v>
      </c>
      <c r="K1903" s="393" t="s">
        <v>1033</v>
      </c>
    </row>
    <row r="1904" spans="1:11" hidden="1" x14ac:dyDescent="0.3">
      <c r="A1904" s="397" t="s">
        <v>6326</v>
      </c>
      <c r="C1904" s="397" t="s">
        <v>1053</v>
      </c>
      <c r="D1904" s="397" t="s">
        <v>6325</v>
      </c>
      <c r="E1904" s="397" t="s">
        <v>6322</v>
      </c>
      <c r="F1904" s="397" t="s">
        <v>191</v>
      </c>
      <c r="G1904" s="396">
        <v>67</v>
      </c>
      <c r="H1904" s="395">
        <v>3142.6290000000004</v>
      </c>
      <c r="I1904" s="394">
        <v>3033.84</v>
      </c>
      <c r="J1904" s="394">
        <v>4489.47</v>
      </c>
      <c r="K1904" s="393" t="s">
        <v>1033</v>
      </c>
    </row>
    <row r="1905" spans="1:12" hidden="1" x14ac:dyDescent="0.3">
      <c r="A1905" s="397" t="s">
        <v>2045</v>
      </c>
      <c r="C1905" s="397" t="s">
        <v>1053</v>
      </c>
      <c r="D1905" s="397" t="s">
        <v>7572</v>
      </c>
      <c r="E1905" s="397" t="s">
        <v>7571</v>
      </c>
      <c r="F1905" s="397" t="s">
        <v>191</v>
      </c>
      <c r="G1905" s="396">
        <v>1</v>
      </c>
      <c r="H1905" s="395">
        <v>4757.2280000000001</v>
      </c>
      <c r="I1905" s="394">
        <v>3826.9</v>
      </c>
      <c r="J1905" s="394">
        <v>6796.04</v>
      </c>
      <c r="K1905" s="393" t="s">
        <v>1033</v>
      </c>
    </row>
    <row r="1906" spans="1:12" hidden="1" x14ac:dyDescent="0.3">
      <c r="A1906" s="397" t="s">
        <v>2045</v>
      </c>
      <c r="C1906" s="397" t="s">
        <v>1053</v>
      </c>
      <c r="D1906" s="397" t="s">
        <v>7125</v>
      </c>
      <c r="E1906" s="397" t="s">
        <v>7124</v>
      </c>
      <c r="F1906" s="397" t="s">
        <v>191</v>
      </c>
      <c r="G1906" s="396">
        <v>6</v>
      </c>
      <c r="H1906" s="395">
        <v>1204.518</v>
      </c>
      <c r="I1906" s="394">
        <v>1098.19</v>
      </c>
      <c r="J1906" s="394">
        <v>1720.74</v>
      </c>
      <c r="K1906" s="393" t="s">
        <v>1033</v>
      </c>
    </row>
    <row r="1907" spans="1:12" hidden="1" x14ac:dyDescent="0.3">
      <c r="A1907" s="397" t="s">
        <v>2045</v>
      </c>
      <c r="C1907" s="397" t="s">
        <v>1053</v>
      </c>
      <c r="D1907" s="397" t="s">
        <v>5772</v>
      </c>
      <c r="E1907" s="397" t="s">
        <v>5771</v>
      </c>
      <c r="F1907" s="397" t="s">
        <v>191</v>
      </c>
      <c r="G1907" s="396">
        <v>4</v>
      </c>
      <c r="H1907" s="395">
        <v>8682.5480000000007</v>
      </c>
      <c r="I1907" s="394">
        <v>8257.0499999999993</v>
      </c>
      <c r="J1907" s="394">
        <v>12403.64</v>
      </c>
      <c r="K1907" s="393" t="s">
        <v>1033</v>
      </c>
    </row>
    <row r="1908" spans="1:12" hidden="1" x14ac:dyDescent="0.3">
      <c r="A1908" s="397" t="s">
        <v>2045</v>
      </c>
      <c r="C1908" s="397" t="s">
        <v>1053</v>
      </c>
      <c r="D1908" s="397" t="s">
        <v>3044</v>
      </c>
      <c r="E1908" s="397" t="s">
        <v>596</v>
      </c>
      <c r="F1908" s="397" t="s">
        <v>191</v>
      </c>
      <c r="G1908" s="396">
        <v>2</v>
      </c>
      <c r="H1908" s="395">
        <v>1516.5640000000001</v>
      </c>
      <c r="I1908" s="394">
        <v>1106.25</v>
      </c>
      <c r="J1908" s="394">
        <v>2166.52</v>
      </c>
      <c r="K1908" s="393" t="s">
        <v>1033</v>
      </c>
    </row>
    <row r="1909" spans="1:12" hidden="1" x14ac:dyDescent="0.3">
      <c r="A1909" s="397" t="s">
        <v>2045</v>
      </c>
      <c r="C1909" s="397" t="s">
        <v>1053</v>
      </c>
      <c r="D1909" s="397" t="s">
        <v>2058</v>
      </c>
      <c r="E1909" s="397" t="s">
        <v>602</v>
      </c>
      <c r="F1909" s="397" t="s">
        <v>191</v>
      </c>
      <c r="G1909" s="396">
        <v>2</v>
      </c>
      <c r="H1909" s="395">
        <v>1531.8870000000002</v>
      </c>
      <c r="I1909" s="394">
        <v>972.19</v>
      </c>
      <c r="J1909" s="394">
        <v>2188.41</v>
      </c>
      <c r="K1909" s="393" t="s">
        <v>1033</v>
      </c>
    </row>
    <row r="1910" spans="1:12" hidden="1" x14ac:dyDescent="0.3">
      <c r="A1910" s="397" t="s">
        <v>2045</v>
      </c>
      <c r="C1910" s="397" t="s">
        <v>1053</v>
      </c>
      <c r="D1910" s="397" t="s">
        <v>2044</v>
      </c>
      <c r="E1910" s="397" t="s">
        <v>2041</v>
      </c>
      <c r="F1910" s="397" t="s">
        <v>191</v>
      </c>
      <c r="G1910" s="396">
        <v>1</v>
      </c>
      <c r="H1910" s="395">
        <v>2737.5320000000002</v>
      </c>
      <c r="I1910" s="394">
        <v>2084.44</v>
      </c>
      <c r="J1910" s="394">
        <v>3910.76</v>
      </c>
      <c r="K1910" s="393" t="s">
        <v>1033</v>
      </c>
    </row>
    <row r="1911" spans="1:12" hidden="1" x14ac:dyDescent="0.3">
      <c r="A1911" s="397" t="s">
        <v>3097</v>
      </c>
      <c r="C1911" s="397" t="s">
        <v>1053</v>
      </c>
      <c r="D1911" s="397" t="s">
        <v>4618</v>
      </c>
      <c r="E1911" s="397" t="s">
        <v>4617</v>
      </c>
      <c r="F1911" s="397" t="s">
        <v>191</v>
      </c>
      <c r="G1911" s="396">
        <v>2</v>
      </c>
      <c r="H1911" s="395">
        <v>4652.3890000000001</v>
      </c>
      <c r="I1911" s="394">
        <v>3756.62</v>
      </c>
      <c r="J1911" s="394">
        <v>6646.27</v>
      </c>
      <c r="K1911" s="393" t="s">
        <v>1033</v>
      </c>
    </row>
    <row r="1912" spans="1:12" hidden="1" x14ac:dyDescent="0.3">
      <c r="A1912" s="397" t="s">
        <v>3097</v>
      </c>
      <c r="C1912" s="397" t="s">
        <v>1053</v>
      </c>
      <c r="D1912" s="397" t="s">
        <v>3330</v>
      </c>
      <c r="E1912" s="397" t="s">
        <v>676</v>
      </c>
      <c r="F1912" s="397" t="s">
        <v>191</v>
      </c>
      <c r="G1912" s="396">
        <v>6</v>
      </c>
      <c r="H1912" s="395">
        <v>1423.52</v>
      </c>
      <c r="I1912" s="394">
        <v>1185.8</v>
      </c>
      <c r="J1912" s="394">
        <v>2033.6000000000001</v>
      </c>
      <c r="K1912" s="393" t="s">
        <v>1033</v>
      </c>
    </row>
    <row r="1913" spans="1:12" hidden="1" x14ac:dyDescent="0.3">
      <c r="A1913" s="397" t="s">
        <v>3097</v>
      </c>
      <c r="C1913" s="397" t="s">
        <v>1053</v>
      </c>
      <c r="D1913" s="397" t="s">
        <v>3300</v>
      </c>
      <c r="E1913" s="397" t="s">
        <v>3299</v>
      </c>
      <c r="F1913" s="397" t="s">
        <v>191</v>
      </c>
      <c r="G1913" s="396">
        <v>4</v>
      </c>
      <c r="H1913" s="395">
        <v>2135.2800000000002</v>
      </c>
      <c r="I1913" s="394">
        <v>1453.55</v>
      </c>
      <c r="J1913" s="394">
        <v>3050.4</v>
      </c>
      <c r="K1913" s="393" t="s">
        <v>1033</v>
      </c>
      <c r="L1913" s="395">
        <v>2</v>
      </c>
    </row>
    <row r="1914" spans="1:12" hidden="1" x14ac:dyDescent="0.3">
      <c r="A1914" s="397" t="s">
        <v>3097</v>
      </c>
      <c r="C1914" s="397" t="s">
        <v>1053</v>
      </c>
      <c r="D1914" s="397" t="s">
        <v>3298</v>
      </c>
      <c r="E1914" s="397" t="s">
        <v>2061</v>
      </c>
      <c r="F1914" s="397" t="s">
        <v>191</v>
      </c>
      <c r="G1914" s="396">
        <v>15</v>
      </c>
      <c r="H1914" s="395">
        <v>2329.88</v>
      </c>
      <c r="I1914" s="394">
        <v>1544.69</v>
      </c>
      <c r="J1914" s="394">
        <v>3328.4</v>
      </c>
      <c r="K1914" s="393" t="s">
        <v>1033</v>
      </c>
      <c r="L1914" s="395">
        <v>8</v>
      </c>
    </row>
    <row r="1915" spans="1:12" hidden="1" x14ac:dyDescent="0.3">
      <c r="A1915" s="397" t="s">
        <v>3097</v>
      </c>
      <c r="C1915" s="397" t="s">
        <v>1053</v>
      </c>
      <c r="D1915" s="397" t="s">
        <v>3163</v>
      </c>
      <c r="E1915" s="397" t="s">
        <v>2041</v>
      </c>
      <c r="F1915" s="397" t="s">
        <v>191</v>
      </c>
      <c r="G1915" s="396">
        <v>3</v>
      </c>
      <c r="H1915" s="395">
        <v>1723.652</v>
      </c>
      <c r="I1915" s="394">
        <v>67.55</v>
      </c>
      <c r="J1915" s="394">
        <v>2462.36</v>
      </c>
      <c r="K1915" s="393" t="s">
        <v>1033</v>
      </c>
    </row>
    <row r="1916" spans="1:12" hidden="1" x14ac:dyDescent="0.3">
      <c r="A1916" s="397" t="s">
        <v>3097</v>
      </c>
      <c r="C1916" s="397" t="s">
        <v>1053</v>
      </c>
      <c r="D1916" s="397" t="s">
        <v>3150</v>
      </c>
      <c r="E1916" s="397" t="s">
        <v>2041</v>
      </c>
      <c r="F1916" s="397" t="s">
        <v>191</v>
      </c>
      <c r="G1916" s="396">
        <v>2</v>
      </c>
      <c r="H1916" s="395">
        <v>2463.7829999999999</v>
      </c>
      <c r="I1916" s="394">
        <v>4.84</v>
      </c>
      <c r="J1916" s="394">
        <v>3519.69</v>
      </c>
      <c r="K1916" s="393" t="s">
        <v>1033</v>
      </c>
    </row>
    <row r="1917" spans="1:12" hidden="1" x14ac:dyDescent="0.3">
      <c r="A1917" s="397" t="s">
        <v>3097</v>
      </c>
      <c r="C1917" s="397" t="s">
        <v>1053</v>
      </c>
      <c r="D1917" s="397" t="s">
        <v>3096</v>
      </c>
      <c r="E1917" s="397" t="s">
        <v>2041</v>
      </c>
      <c r="F1917" s="397" t="s">
        <v>191</v>
      </c>
      <c r="G1917" s="396">
        <v>2</v>
      </c>
      <c r="H1917" s="395">
        <v>3126.1790000000001</v>
      </c>
      <c r="I1917" s="394">
        <v>4.42</v>
      </c>
      <c r="J1917" s="394">
        <v>4465.97</v>
      </c>
      <c r="K1917" s="393" t="s">
        <v>1033</v>
      </c>
    </row>
    <row r="1918" spans="1:12" hidden="1" x14ac:dyDescent="0.3">
      <c r="A1918" s="397" t="s">
        <v>2023</v>
      </c>
      <c r="C1918" s="397" t="s">
        <v>1053</v>
      </c>
      <c r="D1918" s="397" t="s">
        <v>697</v>
      </c>
      <c r="E1918" s="397" t="s">
        <v>698</v>
      </c>
      <c r="F1918" s="397" t="s">
        <v>191</v>
      </c>
      <c r="G1918" s="396">
        <v>177</v>
      </c>
      <c r="H1918" s="395">
        <v>1647.625</v>
      </c>
      <c r="I1918" s="394">
        <v>1569.44</v>
      </c>
      <c r="J1918" s="394">
        <v>2353.75</v>
      </c>
      <c r="K1918" s="393" t="s">
        <v>1033</v>
      </c>
      <c r="L1918" s="395">
        <v>175</v>
      </c>
    </row>
    <row r="1919" spans="1:12" hidden="1" x14ac:dyDescent="0.3">
      <c r="A1919" s="397" t="s">
        <v>2023</v>
      </c>
      <c r="C1919" s="397" t="s">
        <v>1053</v>
      </c>
      <c r="D1919" s="397" t="s">
        <v>2051</v>
      </c>
      <c r="E1919" s="397" t="s">
        <v>2041</v>
      </c>
      <c r="F1919" s="397" t="s">
        <v>191</v>
      </c>
      <c r="G1919" s="396">
        <v>14</v>
      </c>
      <c r="H1919" s="395">
        <v>3058.0970000000002</v>
      </c>
      <c r="I1919" s="394">
        <v>2840.16</v>
      </c>
      <c r="J1919" s="394">
        <v>4368.71</v>
      </c>
      <c r="K1919" s="393" t="s">
        <v>1033</v>
      </c>
    </row>
    <row r="1920" spans="1:12" hidden="1" x14ac:dyDescent="0.3">
      <c r="A1920" s="397" t="s">
        <v>2023</v>
      </c>
      <c r="C1920" s="397" t="s">
        <v>1053</v>
      </c>
      <c r="D1920" s="397" t="s">
        <v>2022</v>
      </c>
      <c r="E1920" s="397" t="s">
        <v>553</v>
      </c>
      <c r="F1920" s="397" t="s">
        <v>191</v>
      </c>
      <c r="G1920" s="396">
        <v>3</v>
      </c>
      <c r="H1920" s="395">
        <v>3120.7890000000002</v>
      </c>
      <c r="I1920" s="394">
        <v>2878.19</v>
      </c>
      <c r="J1920" s="394">
        <v>4458.2700000000004</v>
      </c>
      <c r="K1920" s="393" t="s">
        <v>1033</v>
      </c>
    </row>
    <row r="1921" spans="1:12" hidden="1" x14ac:dyDescent="0.3">
      <c r="A1921" s="397" t="s">
        <v>1703</v>
      </c>
      <c r="C1921" s="397" t="s">
        <v>1053</v>
      </c>
      <c r="D1921" s="397" t="s">
        <v>3164</v>
      </c>
      <c r="E1921" s="397" t="s">
        <v>2041</v>
      </c>
      <c r="F1921" s="397" t="s">
        <v>191</v>
      </c>
      <c r="G1921" s="396">
        <v>4</v>
      </c>
      <c r="H1921" s="395">
        <v>1368.7660000000001</v>
      </c>
      <c r="I1921" s="394">
        <v>942.84</v>
      </c>
      <c r="J1921" s="394">
        <v>1955.38</v>
      </c>
      <c r="K1921" s="393" t="s">
        <v>1033</v>
      </c>
      <c r="L1921" s="395">
        <v>6</v>
      </c>
    </row>
    <row r="1922" spans="1:12" hidden="1" x14ac:dyDescent="0.3">
      <c r="A1922" s="397" t="s">
        <v>1703</v>
      </c>
      <c r="C1922" s="397" t="s">
        <v>1053</v>
      </c>
      <c r="D1922" s="397" t="s">
        <v>3110</v>
      </c>
      <c r="E1922" s="397" t="s">
        <v>2041</v>
      </c>
      <c r="F1922" s="397" t="s">
        <v>191</v>
      </c>
      <c r="G1922" s="396">
        <v>6</v>
      </c>
      <c r="H1922" s="395">
        <v>3011.288</v>
      </c>
      <c r="I1922" s="394">
        <v>12.56</v>
      </c>
      <c r="J1922" s="394">
        <v>4301.84</v>
      </c>
      <c r="K1922" s="393" t="s">
        <v>1033</v>
      </c>
    </row>
    <row r="1923" spans="1:12" hidden="1" x14ac:dyDescent="0.3">
      <c r="A1923" s="397" t="s">
        <v>1703</v>
      </c>
      <c r="C1923" s="397" t="s">
        <v>1053</v>
      </c>
      <c r="D1923" s="397" t="s">
        <v>3107</v>
      </c>
      <c r="E1923" s="397" t="s">
        <v>2041</v>
      </c>
      <c r="F1923" s="397" t="s">
        <v>191</v>
      </c>
      <c r="G1923" s="396">
        <v>8</v>
      </c>
      <c r="H1923" s="395">
        <v>2956.5340000000001</v>
      </c>
      <c r="I1923" s="394">
        <v>2800.39</v>
      </c>
      <c r="J1923" s="394">
        <v>4223.62</v>
      </c>
      <c r="K1923" s="393" t="s">
        <v>1033</v>
      </c>
    </row>
    <row r="1924" spans="1:12" hidden="1" x14ac:dyDescent="0.3">
      <c r="A1924" s="397" t="s">
        <v>1703</v>
      </c>
      <c r="C1924" s="397" t="s">
        <v>1053</v>
      </c>
      <c r="D1924" s="397" t="s">
        <v>3041</v>
      </c>
      <c r="E1924" s="397" t="s">
        <v>2035</v>
      </c>
      <c r="F1924" s="397" t="s">
        <v>191</v>
      </c>
      <c r="G1924" s="396">
        <v>6</v>
      </c>
      <c r="H1924" s="395">
        <v>2682.7849999999999</v>
      </c>
      <c r="I1924" s="394">
        <v>1846.39</v>
      </c>
      <c r="J1924" s="394">
        <v>3832.55</v>
      </c>
      <c r="K1924" s="393" t="s">
        <v>1033</v>
      </c>
    </row>
    <row r="1925" spans="1:12" hidden="1" x14ac:dyDescent="0.3">
      <c r="A1925" s="397" t="s">
        <v>1703</v>
      </c>
      <c r="C1925" s="397" t="s">
        <v>1053</v>
      </c>
      <c r="D1925" s="397" t="s">
        <v>2644</v>
      </c>
      <c r="E1925" s="397" t="s">
        <v>596</v>
      </c>
      <c r="F1925" s="397" t="s">
        <v>191</v>
      </c>
      <c r="G1925" s="396">
        <v>22</v>
      </c>
      <c r="H1925" s="395">
        <v>1815.569</v>
      </c>
      <c r="I1925" s="394">
        <v>1422.96</v>
      </c>
      <c r="J1925" s="394">
        <v>2593.67</v>
      </c>
      <c r="K1925" s="393" t="s">
        <v>1033</v>
      </c>
    </row>
    <row r="1926" spans="1:12" hidden="1" x14ac:dyDescent="0.3">
      <c r="A1926" s="397" t="s">
        <v>1703</v>
      </c>
      <c r="C1926" s="397" t="s">
        <v>1053</v>
      </c>
      <c r="D1926" s="397" t="s">
        <v>1702</v>
      </c>
      <c r="E1926" s="397" t="s">
        <v>1701</v>
      </c>
      <c r="F1926" s="397" t="s">
        <v>191</v>
      </c>
      <c r="G1926" s="396">
        <v>1</v>
      </c>
      <c r="H1926" s="395">
        <v>6024.9980000000005</v>
      </c>
      <c r="I1926" s="394">
        <v>4325.6000000000004</v>
      </c>
      <c r="J1926" s="394">
        <v>8607.14</v>
      </c>
      <c r="K1926" s="393" t="s">
        <v>1033</v>
      </c>
    </row>
    <row r="1927" spans="1:12" hidden="1" x14ac:dyDescent="0.3">
      <c r="A1927" s="397" t="s">
        <v>887</v>
      </c>
      <c r="C1927" s="397" t="s">
        <v>1053</v>
      </c>
      <c r="D1927" s="397" t="s">
        <v>7951</v>
      </c>
      <c r="E1927" s="397" t="s">
        <v>415</v>
      </c>
      <c r="F1927" s="397" t="s">
        <v>191</v>
      </c>
      <c r="G1927" s="396">
        <v>4</v>
      </c>
      <c r="H1927" s="395">
        <v>6898.5840000000007</v>
      </c>
      <c r="I1927" s="394">
        <v>36.950000000000003</v>
      </c>
      <c r="J1927" s="394">
        <v>9855.1200000000008</v>
      </c>
      <c r="K1927" s="393" t="s">
        <v>1033</v>
      </c>
    </row>
    <row r="1928" spans="1:12" hidden="1" x14ac:dyDescent="0.3">
      <c r="A1928" s="397" t="s">
        <v>887</v>
      </c>
      <c r="C1928" s="397" t="s">
        <v>1053</v>
      </c>
      <c r="D1928" s="397" t="s">
        <v>414</v>
      </c>
      <c r="E1928" s="397" t="s">
        <v>415</v>
      </c>
      <c r="F1928" s="397" t="s">
        <v>191</v>
      </c>
      <c r="G1928" s="396">
        <v>20</v>
      </c>
      <c r="H1928" s="395">
        <v>4927.5590000000002</v>
      </c>
      <c r="I1928" s="394">
        <v>4357.68</v>
      </c>
      <c r="J1928" s="394">
        <v>7039.37</v>
      </c>
      <c r="K1928" s="393" t="s">
        <v>1033</v>
      </c>
    </row>
    <row r="1929" spans="1:12" hidden="1" x14ac:dyDescent="0.3">
      <c r="A1929" s="397" t="s">
        <v>887</v>
      </c>
      <c r="C1929" s="397" t="s">
        <v>1053</v>
      </c>
      <c r="D1929" s="397" t="s">
        <v>7755</v>
      </c>
      <c r="E1929" s="397" t="s">
        <v>7754</v>
      </c>
      <c r="F1929" s="397" t="s">
        <v>1282</v>
      </c>
      <c r="G1929" s="396">
        <v>1</v>
      </c>
      <c r="H1929" s="395">
        <v>21298.018</v>
      </c>
      <c r="I1929" s="394">
        <v>20767.79</v>
      </c>
      <c r="J1929" s="394">
        <v>30425.74</v>
      </c>
      <c r="K1929" s="393" t="s">
        <v>1033</v>
      </c>
    </row>
    <row r="1930" spans="1:12" hidden="1" x14ac:dyDescent="0.3">
      <c r="A1930" s="397" t="s">
        <v>887</v>
      </c>
      <c r="C1930" s="397" t="s">
        <v>1053</v>
      </c>
      <c r="D1930" s="397" t="s">
        <v>3409</v>
      </c>
      <c r="E1930" s="397" t="s">
        <v>3408</v>
      </c>
      <c r="F1930" s="397" t="s">
        <v>191</v>
      </c>
      <c r="G1930" s="396">
        <v>9</v>
      </c>
      <c r="H1930" s="395">
        <v>5667.97</v>
      </c>
      <c r="I1930" s="394">
        <v>18.399999999999999</v>
      </c>
      <c r="J1930" s="394">
        <v>8097.1</v>
      </c>
      <c r="K1930" s="393" t="s">
        <v>1033</v>
      </c>
    </row>
    <row r="1931" spans="1:12" hidden="1" x14ac:dyDescent="0.3">
      <c r="A1931" s="397" t="s">
        <v>887</v>
      </c>
      <c r="C1931" s="397" t="s">
        <v>1053</v>
      </c>
      <c r="D1931" s="397" t="s">
        <v>3078</v>
      </c>
      <c r="E1931" s="397" t="s">
        <v>596</v>
      </c>
      <c r="F1931" s="397" t="s">
        <v>191</v>
      </c>
      <c r="G1931" s="396">
        <v>4</v>
      </c>
      <c r="H1931" s="395">
        <v>1806.77</v>
      </c>
      <c r="I1931" s="394">
        <v>906.30000000000007</v>
      </c>
      <c r="J1931" s="394">
        <v>2581.1</v>
      </c>
      <c r="K1931" s="393" t="s">
        <v>1033</v>
      </c>
    </row>
    <row r="1932" spans="1:12" hidden="1" x14ac:dyDescent="0.3">
      <c r="A1932" s="397" t="s">
        <v>887</v>
      </c>
      <c r="C1932" s="397" t="s">
        <v>1053</v>
      </c>
      <c r="D1932" s="397" t="s">
        <v>2643</v>
      </c>
      <c r="E1932" s="397" t="s">
        <v>596</v>
      </c>
      <c r="F1932" s="397" t="s">
        <v>191</v>
      </c>
      <c r="G1932" s="396">
        <v>6</v>
      </c>
      <c r="H1932" s="395">
        <v>1587.768</v>
      </c>
      <c r="I1932" s="394">
        <v>1099.98</v>
      </c>
      <c r="J1932" s="394">
        <v>2268.2399999999998</v>
      </c>
      <c r="K1932" s="393" t="s">
        <v>1033</v>
      </c>
    </row>
    <row r="1933" spans="1:12" hidden="1" x14ac:dyDescent="0.3">
      <c r="A1933" s="397" t="s">
        <v>862</v>
      </c>
      <c r="C1933" s="397" t="s">
        <v>1053</v>
      </c>
      <c r="D1933" s="397" t="s">
        <v>493</v>
      </c>
      <c r="E1933" s="397" t="s">
        <v>494</v>
      </c>
      <c r="F1933" s="397" t="s">
        <v>191</v>
      </c>
      <c r="G1933" s="396">
        <v>26</v>
      </c>
      <c r="H1933" s="395">
        <v>3594.8220000000001</v>
      </c>
      <c r="I1933" s="394">
        <v>3089.9900000000002</v>
      </c>
      <c r="J1933" s="394">
        <v>5135.46</v>
      </c>
      <c r="K1933" s="393" t="s">
        <v>1033</v>
      </c>
      <c r="L1933" s="395">
        <v>4</v>
      </c>
    </row>
    <row r="1934" spans="1:12" hidden="1" x14ac:dyDescent="0.3">
      <c r="A1934" s="397" t="s">
        <v>862</v>
      </c>
      <c r="C1934" s="397" t="s">
        <v>1053</v>
      </c>
      <c r="D1934" s="397" t="s">
        <v>2993</v>
      </c>
      <c r="E1934" s="397" t="s">
        <v>2004</v>
      </c>
      <c r="F1934" s="397" t="s">
        <v>191</v>
      </c>
      <c r="G1934" s="396">
        <v>2</v>
      </c>
      <c r="H1934" s="395">
        <v>14782.683999999999</v>
      </c>
      <c r="I1934" s="394">
        <v>14551.04</v>
      </c>
      <c r="J1934" s="394">
        <v>21118.12</v>
      </c>
      <c r="K1934" s="393" t="s">
        <v>1033</v>
      </c>
    </row>
    <row r="1935" spans="1:12" hidden="1" x14ac:dyDescent="0.3">
      <c r="A1935" s="397" t="s">
        <v>862</v>
      </c>
      <c r="C1935" s="397" t="s">
        <v>1053</v>
      </c>
      <c r="D1935" s="397" t="s">
        <v>2852</v>
      </c>
      <c r="E1935" s="397" t="s">
        <v>2851</v>
      </c>
      <c r="F1935" s="397" t="s">
        <v>191</v>
      </c>
      <c r="G1935" s="396">
        <v>4</v>
      </c>
      <c r="H1935" s="395">
        <v>4599.0559999999996</v>
      </c>
      <c r="I1935" s="394">
        <v>4502.58</v>
      </c>
      <c r="J1935" s="394">
        <v>6570.08</v>
      </c>
      <c r="K1935" s="393" t="s">
        <v>1033</v>
      </c>
      <c r="L1935" s="395">
        <v>1</v>
      </c>
    </row>
    <row r="1936" spans="1:12" hidden="1" x14ac:dyDescent="0.3">
      <c r="A1936" s="397" t="s">
        <v>862</v>
      </c>
      <c r="C1936" s="397" t="s">
        <v>1053</v>
      </c>
      <c r="D1936" s="397" t="s">
        <v>2843</v>
      </c>
      <c r="E1936" s="397" t="s">
        <v>552</v>
      </c>
      <c r="F1936" s="397" t="s">
        <v>191</v>
      </c>
      <c r="G1936" s="396">
        <v>12</v>
      </c>
      <c r="H1936" s="395">
        <v>7446.0959999999995</v>
      </c>
      <c r="I1936" s="394">
        <v>316.93</v>
      </c>
      <c r="J1936" s="394">
        <v>10637.28</v>
      </c>
      <c r="K1936" s="393" t="s">
        <v>1033</v>
      </c>
    </row>
    <row r="1937" spans="1:12" hidden="1" x14ac:dyDescent="0.3">
      <c r="A1937" s="397" t="s">
        <v>862</v>
      </c>
      <c r="C1937" s="397" t="s">
        <v>1053</v>
      </c>
      <c r="D1937" s="397" t="s">
        <v>1179</v>
      </c>
      <c r="E1937" s="397" t="s">
        <v>1178</v>
      </c>
      <c r="F1937" s="397" t="s">
        <v>191</v>
      </c>
      <c r="G1937" s="396">
        <v>3</v>
      </c>
      <c r="H1937" s="395">
        <v>1612.2610000000002</v>
      </c>
      <c r="I1937" s="394">
        <v>86.12</v>
      </c>
      <c r="J1937" s="394">
        <v>2303.23</v>
      </c>
      <c r="K1937" s="393" t="s">
        <v>1033</v>
      </c>
    </row>
    <row r="1938" spans="1:12" hidden="1" x14ac:dyDescent="0.3">
      <c r="A1938" s="397" t="s">
        <v>3003</v>
      </c>
      <c r="C1938" s="397" t="s">
        <v>1053</v>
      </c>
      <c r="D1938" s="397" t="s">
        <v>3247</v>
      </c>
      <c r="E1938" s="397" t="s">
        <v>676</v>
      </c>
      <c r="F1938" s="397" t="s">
        <v>191</v>
      </c>
      <c r="G1938" s="396">
        <v>2</v>
      </c>
      <c r="H1938" s="395">
        <v>11.997999999999999</v>
      </c>
      <c r="I1938" s="394">
        <v>8.2799999999999994</v>
      </c>
      <c r="J1938" s="394">
        <v>17.14</v>
      </c>
      <c r="K1938" s="393" t="s">
        <v>1033</v>
      </c>
    </row>
    <row r="1939" spans="1:12" hidden="1" x14ac:dyDescent="0.3">
      <c r="A1939" s="397" t="s">
        <v>3003</v>
      </c>
      <c r="C1939" s="397" t="s">
        <v>1053</v>
      </c>
      <c r="D1939" s="397" t="s">
        <v>3156</v>
      </c>
      <c r="E1939" s="397" t="s">
        <v>3155</v>
      </c>
      <c r="F1939" s="397" t="s">
        <v>191</v>
      </c>
      <c r="G1939" s="396">
        <v>30</v>
      </c>
      <c r="H1939" s="395">
        <v>1423.52</v>
      </c>
      <c r="I1939" s="394">
        <v>1393.32</v>
      </c>
      <c r="J1939" s="394">
        <v>2033.6000000000001</v>
      </c>
      <c r="K1939" s="393" t="s">
        <v>1033</v>
      </c>
    </row>
    <row r="1940" spans="1:12" hidden="1" x14ac:dyDescent="0.3">
      <c r="A1940" s="397" t="s">
        <v>3003</v>
      </c>
      <c r="C1940" s="397" t="s">
        <v>1053</v>
      </c>
      <c r="D1940" s="397" t="s">
        <v>3061</v>
      </c>
      <c r="E1940" s="397" t="s">
        <v>2041</v>
      </c>
      <c r="F1940" s="397" t="s">
        <v>191</v>
      </c>
      <c r="G1940" s="396">
        <v>8</v>
      </c>
      <c r="H1940" s="395">
        <v>1806.77</v>
      </c>
      <c r="I1940" s="394">
        <v>1217.83</v>
      </c>
      <c r="J1940" s="394">
        <v>2581.1</v>
      </c>
      <c r="K1940" s="393" t="s">
        <v>1033</v>
      </c>
    </row>
    <row r="1941" spans="1:12" hidden="1" x14ac:dyDescent="0.3">
      <c r="A1941" s="397" t="s">
        <v>3003</v>
      </c>
      <c r="C1941" s="397" t="s">
        <v>1053</v>
      </c>
      <c r="D1941" s="397" t="s">
        <v>3002</v>
      </c>
      <c r="E1941" s="397" t="s">
        <v>2566</v>
      </c>
      <c r="F1941" s="397" t="s">
        <v>191</v>
      </c>
      <c r="G1941" s="396">
        <v>1</v>
      </c>
      <c r="H1941" s="395">
        <v>4708.5569999999998</v>
      </c>
      <c r="I1941" s="394">
        <v>198.08</v>
      </c>
      <c r="J1941" s="394">
        <v>6726.51</v>
      </c>
      <c r="K1941" s="393" t="s">
        <v>1033</v>
      </c>
    </row>
    <row r="1942" spans="1:12" hidden="1" x14ac:dyDescent="0.3">
      <c r="A1942" s="397" t="s">
        <v>2839</v>
      </c>
      <c r="C1942" s="397" t="s">
        <v>1053</v>
      </c>
      <c r="D1942" s="397" t="s">
        <v>2850</v>
      </c>
      <c r="E1942" s="397" t="s">
        <v>2849</v>
      </c>
      <c r="F1942" s="397" t="s">
        <v>191</v>
      </c>
      <c r="G1942" s="396">
        <v>14</v>
      </c>
      <c r="H1942" s="395">
        <v>7099.4350000000004</v>
      </c>
      <c r="I1942" s="394">
        <v>6100.26</v>
      </c>
      <c r="J1942" s="394">
        <v>10142.049999999999</v>
      </c>
      <c r="K1942" s="393" t="s">
        <v>1033</v>
      </c>
    </row>
    <row r="1943" spans="1:12" hidden="1" x14ac:dyDescent="0.3">
      <c r="A1943" s="397" t="s">
        <v>2839</v>
      </c>
      <c r="C1943" s="397" t="s">
        <v>1053</v>
      </c>
      <c r="D1943" s="397" t="s">
        <v>2845</v>
      </c>
      <c r="E1943" s="397" t="s">
        <v>2844</v>
      </c>
      <c r="F1943" s="397" t="s">
        <v>191</v>
      </c>
      <c r="G1943" s="396">
        <v>34</v>
      </c>
      <c r="H1943" s="395">
        <v>6789.0830000000005</v>
      </c>
      <c r="I1943" s="394">
        <v>6449.29</v>
      </c>
      <c r="J1943" s="394">
        <v>9698.69</v>
      </c>
      <c r="K1943" s="393" t="s">
        <v>1033</v>
      </c>
    </row>
    <row r="1944" spans="1:12" hidden="1" x14ac:dyDescent="0.3">
      <c r="A1944" s="397" t="s">
        <v>2839</v>
      </c>
      <c r="C1944" s="397" t="s">
        <v>1053</v>
      </c>
      <c r="D1944" s="397" t="s">
        <v>2842</v>
      </c>
      <c r="E1944" s="397" t="s">
        <v>2841</v>
      </c>
      <c r="F1944" s="397" t="s">
        <v>191</v>
      </c>
      <c r="G1944" s="396">
        <v>34</v>
      </c>
      <c r="H1944" s="395">
        <v>9427.8940000000002</v>
      </c>
      <c r="I1944" s="394">
        <v>8704.15</v>
      </c>
      <c r="J1944" s="394">
        <v>13468.42</v>
      </c>
      <c r="K1944" s="393" t="s">
        <v>1033</v>
      </c>
      <c r="L1944" s="395">
        <v>1</v>
      </c>
    </row>
    <row r="1945" spans="1:12" hidden="1" x14ac:dyDescent="0.3">
      <c r="A1945" s="397" t="s">
        <v>2839</v>
      </c>
      <c r="C1945" s="397" t="s">
        <v>1053</v>
      </c>
      <c r="D1945" s="397" t="s">
        <v>2838</v>
      </c>
      <c r="E1945" s="397" t="s">
        <v>2837</v>
      </c>
      <c r="F1945" s="397" t="s">
        <v>191</v>
      </c>
      <c r="G1945" s="396">
        <v>15</v>
      </c>
      <c r="H1945" s="395">
        <v>7035.3220000000001</v>
      </c>
      <c r="I1945" s="394">
        <v>84.88</v>
      </c>
      <c r="J1945" s="394">
        <v>10050.459999999999</v>
      </c>
      <c r="K1945" s="393" t="s">
        <v>1033</v>
      </c>
      <c r="L1945" s="395">
        <v>1</v>
      </c>
    </row>
    <row r="1946" spans="1:12" hidden="1" x14ac:dyDescent="0.3">
      <c r="A1946" s="397" t="s">
        <v>2633</v>
      </c>
      <c r="C1946" s="397" t="s">
        <v>1053</v>
      </c>
      <c r="D1946" s="397" t="s">
        <v>2848</v>
      </c>
      <c r="E1946" s="397" t="s">
        <v>2301</v>
      </c>
      <c r="F1946" s="397" t="s">
        <v>191</v>
      </c>
      <c r="G1946" s="396">
        <v>3</v>
      </c>
      <c r="H1946" s="395">
        <v>4818.058</v>
      </c>
      <c r="I1946" s="394">
        <v>17.59</v>
      </c>
      <c r="J1946" s="394">
        <v>6882.9400000000005</v>
      </c>
      <c r="K1946" s="393" t="s">
        <v>1033</v>
      </c>
    </row>
    <row r="1947" spans="1:12" hidden="1" x14ac:dyDescent="0.3">
      <c r="A1947" s="397" t="s">
        <v>2633</v>
      </c>
      <c r="C1947" s="397" t="s">
        <v>1053</v>
      </c>
      <c r="D1947" s="397" t="s">
        <v>2840</v>
      </c>
      <c r="E1947" s="397" t="s">
        <v>2301</v>
      </c>
      <c r="F1947" s="397" t="s">
        <v>191</v>
      </c>
      <c r="G1947" s="396">
        <v>3</v>
      </c>
      <c r="H1947" s="395">
        <v>15658.691999999999</v>
      </c>
      <c r="I1947" s="394">
        <v>11620.27</v>
      </c>
      <c r="J1947" s="394">
        <v>22369.56</v>
      </c>
      <c r="K1947" s="393" t="s">
        <v>1033</v>
      </c>
    </row>
    <row r="1948" spans="1:12" hidden="1" x14ac:dyDescent="0.3">
      <c r="A1948" s="397" t="s">
        <v>2633</v>
      </c>
      <c r="C1948" s="397" t="s">
        <v>1053</v>
      </c>
      <c r="D1948" s="397" t="s">
        <v>2836</v>
      </c>
      <c r="E1948" s="397" t="s">
        <v>2835</v>
      </c>
      <c r="F1948" s="397" t="s">
        <v>191</v>
      </c>
      <c r="G1948" s="396">
        <v>10</v>
      </c>
      <c r="H1948" s="395">
        <v>14399.427</v>
      </c>
      <c r="I1948" s="394">
        <v>14379.18</v>
      </c>
      <c r="J1948" s="394">
        <v>20570.61</v>
      </c>
      <c r="K1948" s="393" t="s">
        <v>1033</v>
      </c>
    </row>
    <row r="1949" spans="1:12" hidden="1" x14ac:dyDescent="0.3">
      <c r="A1949" s="397" t="s">
        <v>2633</v>
      </c>
      <c r="C1949" s="397" t="s">
        <v>1053</v>
      </c>
      <c r="D1949" s="397" t="s">
        <v>2632</v>
      </c>
      <c r="E1949" s="397" t="s">
        <v>596</v>
      </c>
      <c r="F1949" s="397" t="s">
        <v>191</v>
      </c>
      <c r="G1949" s="396">
        <v>11</v>
      </c>
      <c r="H1949" s="395">
        <v>2025.7720000000002</v>
      </c>
      <c r="I1949" s="394">
        <v>1630.76</v>
      </c>
      <c r="J1949" s="394">
        <v>2893.96</v>
      </c>
      <c r="K1949" s="393" t="s">
        <v>1033</v>
      </c>
    </row>
    <row r="1950" spans="1:12" hidden="1" x14ac:dyDescent="0.3">
      <c r="A1950" s="397" t="s">
        <v>2733</v>
      </c>
      <c r="C1950" s="397" t="s">
        <v>1053</v>
      </c>
      <c r="D1950" s="397" t="s">
        <v>7174</v>
      </c>
      <c r="E1950" s="397" t="s">
        <v>7172</v>
      </c>
      <c r="F1950" s="397" t="s">
        <v>191</v>
      </c>
      <c r="G1950" s="396">
        <v>1</v>
      </c>
      <c r="H1950" s="395">
        <v>12099.898999999999</v>
      </c>
      <c r="I1950" s="394">
        <v>9831.2199999999993</v>
      </c>
      <c r="J1950" s="394">
        <v>17285.57</v>
      </c>
      <c r="K1950" s="393" t="s">
        <v>1033</v>
      </c>
    </row>
    <row r="1951" spans="1:12" hidden="1" x14ac:dyDescent="0.3">
      <c r="A1951" s="397" t="s">
        <v>2733</v>
      </c>
      <c r="C1951" s="397" t="s">
        <v>1053</v>
      </c>
      <c r="D1951" s="397" t="s">
        <v>7171</v>
      </c>
      <c r="E1951" s="397" t="s">
        <v>7170</v>
      </c>
      <c r="F1951" s="397" t="s">
        <v>191</v>
      </c>
      <c r="G1951" s="396">
        <v>4</v>
      </c>
      <c r="H1951" s="395">
        <v>2682.7849999999999</v>
      </c>
      <c r="I1951" s="394">
        <v>93.600000000000009</v>
      </c>
      <c r="J1951" s="394">
        <v>3832.55</v>
      </c>
      <c r="K1951" s="393" t="s">
        <v>1033</v>
      </c>
      <c r="L1951" s="395">
        <v>2</v>
      </c>
    </row>
    <row r="1952" spans="1:12" hidden="1" x14ac:dyDescent="0.3">
      <c r="A1952" s="397" t="s">
        <v>2733</v>
      </c>
      <c r="C1952" s="397" t="s">
        <v>1053</v>
      </c>
      <c r="D1952" s="397" t="s">
        <v>4524</v>
      </c>
      <c r="E1952" s="397" t="s">
        <v>4523</v>
      </c>
      <c r="F1952" s="397" t="s">
        <v>191</v>
      </c>
      <c r="G1952" s="396">
        <v>6</v>
      </c>
      <c r="H1952" s="395">
        <v>7446.0959999999995</v>
      </c>
      <c r="I1952" s="394">
        <v>5765.4800000000005</v>
      </c>
      <c r="J1952" s="394">
        <v>10637.28</v>
      </c>
      <c r="K1952" s="393" t="s">
        <v>1033</v>
      </c>
    </row>
    <row r="1953" spans="1:12" hidden="1" x14ac:dyDescent="0.3">
      <c r="A1953" s="397" t="s">
        <v>2733</v>
      </c>
      <c r="C1953" s="397" t="s">
        <v>1053</v>
      </c>
      <c r="D1953" s="397" t="s">
        <v>4456</v>
      </c>
      <c r="E1953" s="397" t="s">
        <v>4455</v>
      </c>
      <c r="F1953" s="397" t="s">
        <v>191</v>
      </c>
      <c r="G1953" s="396">
        <v>5</v>
      </c>
      <c r="H1953" s="395">
        <v>3558.7930000000001</v>
      </c>
      <c r="I1953" s="394">
        <v>2584.75</v>
      </c>
      <c r="J1953" s="394">
        <v>5083.99</v>
      </c>
      <c r="K1953" s="393" t="s">
        <v>1033</v>
      </c>
    </row>
    <row r="1954" spans="1:12" hidden="1" x14ac:dyDescent="0.3">
      <c r="A1954" s="397" t="s">
        <v>2733</v>
      </c>
      <c r="C1954" s="397" t="s">
        <v>1053</v>
      </c>
      <c r="D1954" s="397" t="s">
        <v>3010</v>
      </c>
      <c r="E1954" s="397" t="s">
        <v>2004</v>
      </c>
      <c r="F1954" s="397" t="s">
        <v>191</v>
      </c>
      <c r="G1954" s="396">
        <v>1</v>
      </c>
      <c r="H1954" s="395">
        <v>4708.5569999999998</v>
      </c>
      <c r="I1954" s="394">
        <v>3636.6800000000003</v>
      </c>
      <c r="J1954" s="394">
        <v>6726.51</v>
      </c>
      <c r="K1954" s="393" t="s">
        <v>1033</v>
      </c>
    </row>
    <row r="1955" spans="1:12" hidden="1" x14ac:dyDescent="0.3">
      <c r="A1955" s="397" t="s">
        <v>2733</v>
      </c>
      <c r="C1955" s="397" t="s">
        <v>1053</v>
      </c>
      <c r="D1955" s="397" t="s">
        <v>3007</v>
      </c>
      <c r="E1955" s="397" t="s">
        <v>2004</v>
      </c>
      <c r="F1955" s="397" t="s">
        <v>191</v>
      </c>
      <c r="G1955" s="396">
        <v>2</v>
      </c>
      <c r="H1955" s="395">
        <v>4708.5569999999998</v>
      </c>
      <c r="I1955" s="394">
        <v>3636.6800000000003</v>
      </c>
      <c r="J1955" s="394">
        <v>6726.51</v>
      </c>
      <c r="K1955" s="393" t="s">
        <v>1033</v>
      </c>
    </row>
    <row r="1956" spans="1:12" hidden="1" x14ac:dyDescent="0.3">
      <c r="A1956" s="397" t="s">
        <v>2733</v>
      </c>
      <c r="C1956" s="397" t="s">
        <v>1053</v>
      </c>
      <c r="D1956" s="397" t="s">
        <v>2732</v>
      </c>
      <c r="E1956" s="397" t="s">
        <v>2731</v>
      </c>
      <c r="F1956" s="397" t="s">
        <v>191</v>
      </c>
      <c r="G1956" s="396">
        <v>8</v>
      </c>
      <c r="H1956" s="395">
        <v>6837.88</v>
      </c>
      <c r="I1956" s="394">
        <v>4836.46</v>
      </c>
      <c r="J1956" s="394">
        <v>9768.4</v>
      </c>
      <c r="K1956" s="393" t="s">
        <v>1033</v>
      </c>
    </row>
    <row r="1957" spans="1:12" hidden="1" x14ac:dyDescent="0.3">
      <c r="A1957" s="397" t="s">
        <v>2006</v>
      </c>
      <c r="C1957" s="397" t="s">
        <v>1053</v>
      </c>
      <c r="D1957" s="397" t="s">
        <v>4567</v>
      </c>
      <c r="E1957" s="397" t="s">
        <v>596</v>
      </c>
      <c r="F1957" s="397" t="s">
        <v>191</v>
      </c>
      <c r="G1957" s="396">
        <v>1</v>
      </c>
      <c r="H1957" s="395">
        <v>2135.2800000000002</v>
      </c>
      <c r="I1957" s="394">
        <v>278.19</v>
      </c>
      <c r="J1957" s="394">
        <v>3050.4</v>
      </c>
      <c r="K1957" s="393" t="s">
        <v>1033</v>
      </c>
    </row>
    <row r="1958" spans="1:12" hidden="1" x14ac:dyDescent="0.3">
      <c r="A1958" s="397" t="s">
        <v>2006</v>
      </c>
      <c r="C1958" s="397" t="s">
        <v>1053</v>
      </c>
      <c r="D1958" s="397" t="s">
        <v>3106</v>
      </c>
      <c r="E1958" s="397" t="s">
        <v>676</v>
      </c>
      <c r="F1958" s="397" t="s">
        <v>191</v>
      </c>
      <c r="G1958" s="396">
        <v>3</v>
      </c>
      <c r="H1958" s="395">
        <v>2099.2510000000002</v>
      </c>
      <c r="I1958" s="394">
        <v>100.01</v>
      </c>
      <c r="J1958" s="394">
        <v>2998.93</v>
      </c>
      <c r="K1958" s="393" t="s">
        <v>1033</v>
      </c>
    </row>
    <row r="1959" spans="1:12" hidden="1" x14ac:dyDescent="0.3">
      <c r="A1959" s="397" t="s">
        <v>2006</v>
      </c>
      <c r="C1959" s="397" t="s">
        <v>1053</v>
      </c>
      <c r="D1959" s="397" t="s">
        <v>2637</v>
      </c>
      <c r="E1959" s="397" t="s">
        <v>553</v>
      </c>
      <c r="F1959" s="397" t="s">
        <v>191</v>
      </c>
      <c r="G1959" s="396">
        <v>10</v>
      </c>
      <c r="H1959" s="395">
        <v>1752.0229999999999</v>
      </c>
      <c r="I1959" s="394">
        <v>1397.8</v>
      </c>
      <c r="J1959" s="394">
        <v>2502.89</v>
      </c>
      <c r="K1959" s="393" t="s">
        <v>1033</v>
      </c>
    </row>
    <row r="1960" spans="1:12" hidden="1" x14ac:dyDescent="0.3">
      <c r="A1960" s="397" t="s">
        <v>2006</v>
      </c>
      <c r="C1960" s="397" t="s">
        <v>1053</v>
      </c>
      <c r="D1960" s="397" t="s">
        <v>2005</v>
      </c>
      <c r="E1960" s="397" t="s">
        <v>2004</v>
      </c>
      <c r="F1960" s="397" t="s">
        <v>191</v>
      </c>
      <c r="G1960" s="396">
        <v>16</v>
      </c>
      <c r="H1960" s="395">
        <v>4161.0520000000006</v>
      </c>
      <c r="I1960" s="394">
        <v>4124.26</v>
      </c>
      <c r="J1960" s="394">
        <v>5944.36</v>
      </c>
      <c r="K1960" s="393" t="s">
        <v>1033</v>
      </c>
    </row>
    <row r="1961" spans="1:12" hidden="1" x14ac:dyDescent="0.3">
      <c r="A1961" s="397" t="s">
        <v>3264</v>
      </c>
      <c r="C1961" s="397" t="s">
        <v>1053</v>
      </c>
      <c r="D1961" s="397" t="s">
        <v>7173</v>
      </c>
      <c r="E1961" s="397" t="s">
        <v>7172</v>
      </c>
      <c r="F1961" s="397" t="s">
        <v>191</v>
      </c>
      <c r="G1961" s="396">
        <v>1</v>
      </c>
      <c r="H1961" s="395">
        <v>2847.0329999999999</v>
      </c>
      <c r="I1961" s="394">
        <v>2329.67</v>
      </c>
      <c r="J1961" s="394">
        <v>4067.19</v>
      </c>
      <c r="K1961" s="393" t="s">
        <v>1033</v>
      </c>
    </row>
    <row r="1962" spans="1:12" hidden="1" x14ac:dyDescent="0.3">
      <c r="A1962" s="397" t="s">
        <v>3264</v>
      </c>
      <c r="C1962" s="397" t="s">
        <v>1053</v>
      </c>
      <c r="D1962" s="397" t="s">
        <v>6134</v>
      </c>
      <c r="E1962" s="397" t="s">
        <v>6133</v>
      </c>
      <c r="F1962" s="397" t="s">
        <v>191</v>
      </c>
      <c r="G1962" s="396">
        <v>6</v>
      </c>
      <c r="H1962" s="395">
        <v>18834.235000000001</v>
      </c>
      <c r="I1962" s="394">
        <v>18782.099999999999</v>
      </c>
      <c r="J1962" s="394">
        <v>26906.05</v>
      </c>
      <c r="K1962" s="393" t="s">
        <v>1033</v>
      </c>
    </row>
    <row r="1963" spans="1:12" hidden="1" x14ac:dyDescent="0.3">
      <c r="A1963" s="397" t="s">
        <v>3264</v>
      </c>
      <c r="C1963" s="397" t="s">
        <v>1053</v>
      </c>
      <c r="D1963" s="397" t="s">
        <v>3368</v>
      </c>
      <c r="E1963" s="397" t="s">
        <v>676</v>
      </c>
      <c r="F1963" s="397" t="s">
        <v>191</v>
      </c>
      <c r="G1963" s="396">
        <v>12</v>
      </c>
      <c r="H1963" s="395">
        <v>2463.7829999999999</v>
      </c>
      <c r="I1963" s="394">
        <v>82.34</v>
      </c>
      <c r="J1963" s="394">
        <v>3519.69</v>
      </c>
      <c r="K1963" s="393" t="s">
        <v>1033</v>
      </c>
      <c r="L1963" s="395">
        <v>2</v>
      </c>
    </row>
    <row r="1964" spans="1:12" hidden="1" x14ac:dyDescent="0.3">
      <c r="A1964" s="397" t="s">
        <v>3264</v>
      </c>
      <c r="C1964" s="397" t="s">
        <v>1053</v>
      </c>
      <c r="D1964" s="397" t="s">
        <v>3263</v>
      </c>
      <c r="E1964" s="397" t="s">
        <v>676</v>
      </c>
      <c r="F1964" s="397" t="s">
        <v>191</v>
      </c>
      <c r="G1964" s="396">
        <v>1</v>
      </c>
      <c r="H1964" s="395">
        <v>2792.2859999999996</v>
      </c>
      <c r="I1964" s="394">
        <v>133.35</v>
      </c>
      <c r="J1964" s="394">
        <v>3988.98</v>
      </c>
      <c r="K1964" s="393" t="s">
        <v>1033</v>
      </c>
    </row>
    <row r="1965" spans="1:12" hidden="1" x14ac:dyDescent="0.3">
      <c r="A1965" s="397" t="s">
        <v>2491</v>
      </c>
      <c r="C1965" s="397" t="s">
        <v>1053</v>
      </c>
      <c r="D1965" s="397" t="s">
        <v>4408</v>
      </c>
      <c r="E1965" s="397" t="s">
        <v>4407</v>
      </c>
      <c r="F1965" s="397" t="s">
        <v>191</v>
      </c>
      <c r="G1965" s="396">
        <v>1</v>
      </c>
      <c r="H1965" s="395">
        <v>10995.761</v>
      </c>
      <c r="I1965" s="394">
        <v>73.73</v>
      </c>
      <c r="J1965" s="394">
        <v>15708.23</v>
      </c>
      <c r="K1965" s="393" t="s">
        <v>1033</v>
      </c>
    </row>
    <row r="1966" spans="1:12" hidden="1" x14ac:dyDescent="0.3">
      <c r="A1966" s="397" t="s">
        <v>2491</v>
      </c>
      <c r="C1966" s="397" t="s">
        <v>1053</v>
      </c>
      <c r="D1966" s="397" t="s">
        <v>3425</v>
      </c>
      <c r="E1966" s="397" t="s">
        <v>2002</v>
      </c>
      <c r="F1966" s="397" t="s">
        <v>191</v>
      </c>
      <c r="G1966" s="396">
        <v>2</v>
      </c>
      <c r="H1966" s="395">
        <v>3011.288</v>
      </c>
      <c r="I1966" s="394">
        <v>142.44</v>
      </c>
      <c r="J1966" s="394">
        <v>4301.84</v>
      </c>
      <c r="K1966" s="393" t="s">
        <v>1033</v>
      </c>
    </row>
    <row r="1967" spans="1:12" hidden="1" x14ac:dyDescent="0.3">
      <c r="A1967" s="397" t="s">
        <v>2491</v>
      </c>
      <c r="C1967" s="397" t="s">
        <v>1053</v>
      </c>
      <c r="D1967" s="397" t="s">
        <v>2997</v>
      </c>
      <c r="E1967" s="397" t="s">
        <v>2996</v>
      </c>
      <c r="F1967" s="397" t="s">
        <v>191</v>
      </c>
      <c r="G1967" s="396">
        <v>1</v>
      </c>
      <c r="H1967" s="395">
        <v>5049.5479999999998</v>
      </c>
      <c r="I1967" s="394">
        <v>6.3900000000000006</v>
      </c>
      <c r="J1967" s="394">
        <v>7213.64</v>
      </c>
      <c r="K1967" s="393" t="s">
        <v>1033</v>
      </c>
    </row>
    <row r="1968" spans="1:12" hidden="1" x14ac:dyDescent="0.3">
      <c r="A1968" s="397" t="s">
        <v>2491</v>
      </c>
      <c r="C1968" s="397" t="s">
        <v>1053</v>
      </c>
      <c r="D1968" s="397" t="s">
        <v>2490</v>
      </c>
      <c r="E1968" s="397" t="s">
        <v>2489</v>
      </c>
      <c r="F1968" s="397" t="s">
        <v>191</v>
      </c>
      <c r="G1968" s="396">
        <v>4</v>
      </c>
      <c r="H1968" s="395">
        <v>3971.5550000000003</v>
      </c>
      <c r="I1968" s="394">
        <v>5.69</v>
      </c>
      <c r="J1968" s="394">
        <v>5673.6500000000005</v>
      </c>
      <c r="K1968" s="393" t="s">
        <v>1033</v>
      </c>
    </row>
    <row r="1969" spans="1:12" hidden="1" x14ac:dyDescent="0.3">
      <c r="A1969" s="397" t="s">
        <v>2465</v>
      </c>
      <c r="C1969" s="397" t="s">
        <v>1053</v>
      </c>
      <c r="D1969" s="397" t="s">
        <v>7628</v>
      </c>
      <c r="E1969" s="397" t="s">
        <v>437</v>
      </c>
      <c r="F1969" s="397" t="s">
        <v>191</v>
      </c>
      <c r="G1969" s="396">
        <v>3</v>
      </c>
      <c r="H1969" s="395">
        <v>5701.6750000000002</v>
      </c>
      <c r="I1969" s="394">
        <v>778.9</v>
      </c>
      <c r="J1969" s="394">
        <v>8145.25</v>
      </c>
      <c r="K1969" s="393" t="s">
        <v>1033</v>
      </c>
    </row>
    <row r="1970" spans="1:12" hidden="1" x14ac:dyDescent="0.3">
      <c r="A1970" s="397" t="s">
        <v>2465</v>
      </c>
      <c r="C1970" s="397" t="s">
        <v>1053</v>
      </c>
      <c r="D1970" s="397" t="s">
        <v>3327</v>
      </c>
      <c r="E1970" s="397" t="s">
        <v>676</v>
      </c>
      <c r="F1970" s="397" t="s">
        <v>191</v>
      </c>
      <c r="G1970" s="396">
        <v>10</v>
      </c>
      <c r="H1970" s="395">
        <v>1423.52</v>
      </c>
      <c r="I1970" s="394">
        <v>330.07</v>
      </c>
      <c r="J1970" s="394">
        <v>2033.6000000000001</v>
      </c>
      <c r="K1970" s="393" t="s">
        <v>1033</v>
      </c>
    </row>
    <row r="1971" spans="1:12" hidden="1" x14ac:dyDescent="0.3">
      <c r="A1971" s="397" t="s">
        <v>2465</v>
      </c>
      <c r="C1971" s="397" t="s">
        <v>1053</v>
      </c>
      <c r="D1971" s="397" t="s">
        <v>3297</v>
      </c>
      <c r="E1971" s="397" t="s">
        <v>3292</v>
      </c>
      <c r="F1971" s="397" t="s">
        <v>191</v>
      </c>
      <c r="G1971" s="396">
        <v>40</v>
      </c>
      <c r="H1971" s="395">
        <v>1946.0629999999999</v>
      </c>
      <c r="I1971" s="394">
        <v>1829.5900000000001</v>
      </c>
      <c r="J1971" s="394">
        <v>2780.09</v>
      </c>
      <c r="K1971" s="393" t="s">
        <v>1033</v>
      </c>
    </row>
    <row r="1972" spans="1:12" hidden="1" x14ac:dyDescent="0.3">
      <c r="A1972" s="397" t="s">
        <v>2465</v>
      </c>
      <c r="C1972" s="397" t="s">
        <v>1053</v>
      </c>
      <c r="D1972" s="397" t="s">
        <v>3001</v>
      </c>
      <c r="E1972" s="397" t="s">
        <v>3000</v>
      </c>
      <c r="F1972" s="397" t="s">
        <v>191</v>
      </c>
      <c r="G1972" s="396">
        <v>5</v>
      </c>
      <c r="H1972" s="395">
        <v>5639.3190000000004</v>
      </c>
      <c r="I1972" s="394">
        <v>4085.58</v>
      </c>
      <c r="J1972" s="394">
        <v>8056.17</v>
      </c>
      <c r="K1972" s="393" t="s">
        <v>1033</v>
      </c>
    </row>
    <row r="1973" spans="1:12" hidden="1" x14ac:dyDescent="0.3">
      <c r="A1973" s="397" t="s">
        <v>2465</v>
      </c>
      <c r="C1973" s="397" t="s">
        <v>1053</v>
      </c>
      <c r="D1973" s="397" t="s">
        <v>2805</v>
      </c>
      <c r="E1973" s="397" t="s">
        <v>677</v>
      </c>
      <c r="F1973" s="397" t="s">
        <v>191</v>
      </c>
      <c r="G1973" s="396">
        <v>2</v>
      </c>
      <c r="H1973" s="395">
        <v>19920.803</v>
      </c>
      <c r="I1973" s="394">
        <v>19568.57</v>
      </c>
      <c r="J1973" s="394">
        <v>28458.29</v>
      </c>
      <c r="K1973" s="393" t="s">
        <v>1033</v>
      </c>
    </row>
    <row r="1974" spans="1:12" hidden="1" x14ac:dyDescent="0.3">
      <c r="A1974" s="397" t="s">
        <v>2465</v>
      </c>
      <c r="C1974" s="397" t="s">
        <v>1053</v>
      </c>
      <c r="D1974" s="397" t="s">
        <v>2464</v>
      </c>
      <c r="E1974" s="397" t="s">
        <v>374</v>
      </c>
      <c r="F1974" s="397" t="s">
        <v>191</v>
      </c>
      <c r="G1974" s="396">
        <v>7</v>
      </c>
      <c r="H1974" s="395">
        <v>10621.632</v>
      </c>
      <c r="I1974" s="394">
        <v>10126.99</v>
      </c>
      <c r="J1974" s="394">
        <v>15173.76</v>
      </c>
      <c r="K1974" s="393" t="s">
        <v>1033</v>
      </c>
      <c r="L1974" s="395">
        <v>1</v>
      </c>
    </row>
    <row r="1975" spans="1:12" hidden="1" x14ac:dyDescent="0.3">
      <c r="A1975" s="397" t="s">
        <v>2646</v>
      </c>
      <c r="C1975" s="397" t="s">
        <v>1053</v>
      </c>
      <c r="D1975" s="397" t="s">
        <v>4534</v>
      </c>
      <c r="E1975" s="397" t="s">
        <v>553</v>
      </c>
      <c r="F1975" s="397" t="s">
        <v>191</v>
      </c>
      <c r="G1975" s="396">
        <v>4</v>
      </c>
      <c r="H1975" s="395">
        <v>1587.768</v>
      </c>
      <c r="I1975" s="394">
        <v>90.03</v>
      </c>
      <c r="J1975" s="394">
        <v>2268.2399999999998</v>
      </c>
      <c r="K1975" s="393" t="s">
        <v>1033</v>
      </c>
    </row>
    <row r="1976" spans="1:12" hidden="1" x14ac:dyDescent="0.3">
      <c r="A1976" s="397" t="s">
        <v>2646</v>
      </c>
      <c r="C1976" s="397" t="s">
        <v>1053</v>
      </c>
      <c r="D1976" s="397" t="s">
        <v>3901</v>
      </c>
      <c r="E1976" s="397" t="s">
        <v>3900</v>
      </c>
      <c r="F1976" s="397" t="s">
        <v>191</v>
      </c>
      <c r="G1976" s="396">
        <v>1</v>
      </c>
      <c r="H1976" s="395">
        <v>4967.8440000000001</v>
      </c>
      <c r="I1976" s="394">
        <v>2914.59</v>
      </c>
      <c r="J1976" s="394">
        <v>7096.92</v>
      </c>
      <c r="K1976" s="393" t="s">
        <v>1033</v>
      </c>
    </row>
    <row r="1977" spans="1:12" hidden="1" x14ac:dyDescent="0.3">
      <c r="A1977" s="397" t="s">
        <v>2646</v>
      </c>
      <c r="C1977" s="397" t="s">
        <v>1053</v>
      </c>
      <c r="D1977" s="397" t="s">
        <v>3085</v>
      </c>
      <c r="E1977" s="397" t="s">
        <v>555</v>
      </c>
      <c r="F1977" s="397" t="s">
        <v>191</v>
      </c>
      <c r="G1977" s="396">
        <v>7</v>
      </c>
      <c r="H1977" s="395">
        <v>1642.5220000000002</v>
      </c>
      <c r="I1977" s="394">
        <v>1111.48</v>
      </c>
      <c r="J1977" s="394">
        <v>2346.46</v>
      </c>
      <c r="K1977" s="393" t="s">
        <v>1033</v>
      </c>
    </row>
    <row r="1978" spans="1:12" hidden="1" x14ac:dyDescent="0.3">
      <c r="A1978" s="397" t="s">
        <v>2646</v>
      </c>
      <c r="C1978" s="397" t="s">
        <v>1053</v>
      </c>
      <c r="D1978" s="397" t="s">
        <v>2653</v>
      </c>
      <c r="E1978" s="397" t="s">
        <v>553</v>
      </c>
      <c r="F1978" s="397" t="s">
        <v>191</v>
      </c>
      <c r="G1978" s="396">
        <v>20</v>
      </c>
      <c r="H1978" s="395">
        <v>1752.0229999999999</v>
      </c>
      <c r="I1978" s="394">
        <v>1671.99</v>
      </c>
      <c r="J1978" s="394">
        <v>2502.89</v>
      </c>
      <c r="K1978" s="393" t="s">
        <v>1033</v>
      </c>
    </row>
    <row r="1979" spans="1:12" hidden="1" x14ac:dyDescent="0.3">
      <c r="A1979" s="397" t="s">
        <v>2646</v>
      </c>
      <c r="C1979" s="397" t="s">
        <v>1053</v>
      </c>
      <c r="D1979" s="397" t="s">
        <v>2645</v>
      </c>
      <c r="E1979" s="397" t="s">
        <v>596</v>
      </c>
      <c r="F1979" s="397" t="s">
        <v>191</v>
      </c>
      <c r="G1979" s="396">
        <v>10</v>
      </c>
      <c r="H1979" s="395">
        <v>1314.019</v>
      </c>
      <c r="I1979" s="394">
        <v>203.77</v>
      </c>
      <c r="J1979" s="394">
        <v>1877.17</v>
      </c>
      <c r="K1979" s="393" t="s">
        <v>1033</v>
      </c>
    </row>
    <row r="1980" spans="1:12" hidden="1" x14ac:dyDescent="0.3">
      <c r="A1980" s="397" t="s">
        <v>2618</v>
      </c>
      <c r="C1980" s="397" t="s">
        <v>1053</v>
      </c>
      <c r="D1980" s="397" t="s">
        <v>3267</v>
      </c>
      <c r="E1980" s="397" t="s">
        <v>676</v>
      </c>
      <c r="F1980" s="397" t="s">
        <v>191</v>
      </c>
      <c r="G1980" s="396">
        <v>1</v>
      </c>
      <c r="H1980" s="395">
        <v>2042.5160000000001</v>
      </c>
      <c r="I1980" s="394">
        <v>96.98</v>
      </c>
      <c r="J1980" s="394">
        <v>2917.88</v>
      </c>
      <c r="K1980" s="393" t="s">
        <v>1033</v>
      </c>
    </row>
    <row r="1981" spans="1:12" hidden="1" x14ac:dyDescent="0.3">
      <c r="A1981" s="397" t="s">
        <v>2618</v>
      </c>
      <c r="C1981" s="397" t="s">
        <v>1053</v>
      </c>
      <c r="D1981" s="397" t="s">
        <v>2617</v>
      </c>
      <c r="E1981" s="397" t="s">
        <v>553</v>
      </c>
      <c r="F1981" s="397" t="s">
        <v>191</v>
      </c>
      <c r="G1981" s="396">
        <v>7</v>
      </c>
      <c r="H1981" s="395">
        <v>2792.2859999999996</v>
      </c>
      <c r="I1981" s="394">
        <v>138.41</v>
      </c>
      <c r="J1981" s="394">
        <v>3988.98</v>
      </c>
      <c r="K1981" s="393" t="s">
        <v>1033</v>
      </c>
    </row>
    <row r="1982" spans="1:12" hidden="1" x14ac:dyDescent="0.3">
      <c r="A1982" s="397" t="s">
        <v>2705</v>
      </c>
      <c r="C1982" s="397" t="s">
        <v>1053</v>
      </c>
      <c r="D1982" s="397" t="s">
        <v>6142</v>
      </c>
      <c r="E1982" s="397" t="s">
        <v>6102</v>
      </c>
      <c r="F1982" s="397" t="s">
        <v>191</v>
      </c>
      <c r="G1982" s="396">
        <v>2</v>
      </c>
      <c r="H1982" s="395">
        <v>22502.528999999999</v>
      </c>
      <c r="I1982" s="394">
        <v>16021.890000000001</v>
      </c>
      <c r="J1982" s="394">
        <v>32146.47</v>
      </c>
      <c r="K1982" s="393" t="s">
        <v>1033</v>
      </c>
    </row>
    <row r="1983" spans="1:12" hidden="1" x14ac:dyDescent="0.3">
      <c r="A1983" s="397" t="s">
        <v>2705</v>
      </c>
      <c r="C1983" s="397" t="s">
        <v>1053</v>
      </c>
      <c r="D1983" s="397" t="s">
        <v>4645</v>
      </c>
      <c r="E1983" s="397" t="s">
        <v>4644</v>
      </c>
      <c r="F1983" s="397" t="s">
        <v>191</v>
      </c>
      <c r="G1983" s="396">
        <v>1</v>
      </c>
      <c r="H1983" s="395">
        <v>6144.5580000000009</v>
      </c>
      <c r="I1983" s="394">
        <v>266.60000000000002</v>
      </c>
      <c r="J1983" s="394">
        <v>8777.94</v>
      </c>
      <c r="K1983" s="393" t="s">
        <v>1033</v>
      </c>
    </row>
    <row r="1984" spans="1:12" hidden="1" x14ac:dyDescent="0.3">
      <c r="A1984" s="397" t="s">
        <v>2705</v>
      </c>
      <c r="C1984" s="397" t="s">
        <v>1053</v>
      </c>
      <c r="D1984" s="397" t="s">
        <v>3053</v>
      </c>
      <c r="E1984" s="397" t="s">
        <v>3050</v>
      </c>
      <c r="F1984" s="397" t="s">
        <v>191</v>
      </c>
      <c r="G1984" s="396">
        <v>2</v>
      </c>
      <c r="H1984" s="395">
        <v>1531.8870000000002</v>
      </c>
      <c r="I1984" s="394">
        <v>1449.06</v>
      </c>
      <c r="J1984" s="394">
        <v>2188.41</v>
      </c>
      <c r="K1984" s="393" t="s">
        <v>1033</v>
      </c>
    </row>
    <row r="1985" spans="1:11" hidden="1" x14ac:dyDescent="0.3">
      <c r="A1985" s="397" t="s">
        <v>2705</v>
      </c>
      <c r="C1985" s="397" t="s">
        <v>1053</v>
      </c>
      <c r="D1985" s="397" t="s">
        <v>2704</v>
      </c>
      <c r="E1985" s="397" t="s">
        <v>374</v>
      </c>
      <c r="F1985" s="397" t="s">
        <v>191</v>
      </c>
      <c r="G1985" s="396">
        <v>1</v>
      </c>
      <c r="H1985" s="395">
        <v>2409.029</v>
      </c>
      <c r="I1985" s="394">
        <v>2129.3200000000002</v>
      </c>
      <c r="J1985" s="394">
        <v>3441.4700000000003</v>
      </c>
      <c r="K1985" s="393" t="s">
        <v>1033</v>
      </c>
    </row>
    <row r="1986" spans="1:11" hidden="1" x14ac:dyDescent="0.3">
      <c r="A1986" s="397" t="s">
        <v>2936</v>
      </c>
      <c r="C1986" s="397" t="s">
        <v>1053</v>
      </c>
      <c r="D1986" s="397" t="s">
        <v>3424</v>
      </c>
      <c r="E1986" s="397" t="s">
        <v>3423</v>
      </c>
      <c r="F1986" s="397" t="s">
        <v>191</v>
      </c>
      <c r="G1986" s="396">
        <v>1</v>
      </c>
      <c r="H1986" s="395">
        <v>4652.3890000000001</v>
      </c>
      <c r="I1986" s="394">
        <v>162.09</v>
      </c>
      <c r="J1986" s="394">
        <v>6646.27</v>
      </c>
      <c r="K1986" s="393" t="s">
        <v>1033</v>
      </c>
    </row>
    <row r="1987" spans="1:11" hidden="1" x14ac:dyDescent="0.3">
      <c r="A1987" s="397" t="s">
        <v>2936</v>
      </c>
      <c r="C1987" s="397" t="s">
        <v>1053</v>
      </c>
      <c r="D1987" s="397" t="s">
        <v>3072</v>
      </c>
      <c r="E1987" s="397" t="s">
        <v>2629</v>
      </c>
      <c r="F1987" s="397" t="s">
        <v>191</v>
      </c>
      <c r="G1987" s="396">
        <v>16</v>
      </c>
      <c r="H1987" s="395">
        <v>1642.5220000000002</v>
      </c>
      <c r="I1987" s="394">
        <v>24.400000000000002</v>
      </c>
      <c r="J1987" s="394">
        <v>2346.46</v>
      </c>
      <c r="K1987" s="393" t="s">
        <v>1033</v>
      </c>
    </row>
    <row r="1988" spans="1:11" hidden="1" x14ac:dyDescent="0.3">
      <c r="A1988" s="397" t="s">
        <v>2936</v>
      </c>
      <c r="C1988" s="397" t="s">
        <v>1053</v>
      </c>
      <c r="D1988" s="397" t="s">
        <v>3004</v>
      </c>
      <c r="E1988" s="397" t="s">
        <v>2004</v>
      </c>
      <c r="F1988" s="397" t="s">
        <v>191</v>
      </c>
      <c r="G1988" s="396">
        <v>1</v>
      </c>
      <c r="H1988" s="395">
        <v>5913.0749999999998</v>
      </c>
      <c r="I1988" s="394">
        <v>362.66</v>
      </c>
      <c r="J1988" s="394">
        <v>8447.25</v>
      </c>
      <c r="K1988" s="393" t="s">
        <v>1033</v>
      </c>
    </row>
    <row r="1989" spans="1:11" hidden="1" x14ac:dyDescent="0.3">
      <c r="A1989" s="397" t="s">
        <v>2936</v>
      </c>
      <c r="C1989" s="397" t="s">
        <v>1053</v>
      </c>
      <c r="D1989" s="397" t="s">
        <v>2935</v>
      </c>
      <c r="E1989" s="397" t="s">
        <v>608</v>
      </c>
      <c r="F1989" s="397" t="s">
        <v>191</v>
      </c>
      <c r="G1989" s="396">
        <v>7</v>
      </c>
      <c r="H1989" s="395">
        <v>23652.292999999998</v>
      </c>
      <c r="I1989" s="394">
        <v>143.24</v>
      </c>
      <c r="J1989" s="394">
        <v>33788.99</v>
      </c>
      <c r="K1989" s="393" t="s">
        <v>1033</v>
      </c>
    </row>
    <row r="1990" spans="1:11" hidden="1" x14ac:dyDescent="0.3">
      <c r="A1990" s="397" t="s">
        <v>2745</v>
      </c>
      <c r="C1990" s="397" t="s">
        <v>1053</v>
      </c>
      <c r="D1990" s="397" t="s">
        <v>2744</v>
      </c>
      <c r="E1990" s="397" t="s">
        <v>2252</v>
      </c>
      <c r="F1990" s="397" t="s">
        <v>191</v>
      </c>
      <c r="G1990" s="396">
        <v>12</v>
      </c>
      <c r="H1990" s="395">
        <v>3723.0479999999998</v>
      </c>
      <c r="I1990" s="394">
        <v>3622.66</v>
      </c>
      <c r="J1990" s="394">
        <v>5318.64</v>
      </c>
      <c r="K1990" s="393" t="s">
        <v>1033</v>
      </c>
    </row>
    <row r="1991" spans="1:11" hidden="1" x14ac:dyDescent="0.3">
      <c r="A1991" s="397" t="s">
        <v>2743</v>
      </c>
      <c r="C1991" s="397" t="s">
        <v>1053</v>
      </c>
      <c r="D1991" s="397" t="s">
        <v>2742</v>
      </c>
      <c r="E1991" s="397" t="s">
        <v>2252</v>
      </c>
      <c r="F1991" s="397" t="s">
        <v>191</v>
      </c>
      <c r="G1991" s="396">
        <v>22</v>
      </c>
      <c r="H1991" s="395">
        <v>3033.1280000000002</v>
      </c>
      <c r="I1991" s="394">
        <v>2813.9700000000003</v>
      </c>
      <c r="J1991" s="394">
        <v>4333.04</v>
      </c>
      <c r="K1991" s="393" t="s">
        <v>1033</v>
      </c>
    </row>
    <row r="1992" spans="1:11" hidden="1" x14ac:dyDescent="0.3">
      <c r="A1992" s="397" t="s">
        <v>1184</v>
      </c>
      <c r="C1992" s="397" t="s">
        <v>1053</v>
      </c>
      <c r="D1992" s="397" t="s">
        <v>6074</v>
      </c>
      <c r="E1992" s="397" t="s">
        <v>581</v>
      </c>
      <c r="F1992" s="397" t="s">
        <v>191</v>
      </c>
      <c r="G1992" s="396">
        <v>6</v>
      </c>
      <c r="H1992" s="395">
        <v>15286.089</v>
      </c>
      <c r="I1992" s="394">
        <v>812.33</v>
      </c>
      <c r="J1992" s="394">
        <v>21837.27</v>
      </c>
      <c r="K1992" s="393" t="s">
        <v>1033</v>
      </c>
    </row>
    <row r="1993" spans="1:11" hidden="1" x14ac:dyDescent="0.3">
      <c r="A1993" s="397" t="s">
        <v>1184</v>
      </c>
      <c r="C1993" s="397" t="s">
        <v>1034</v>
      </c>
      <c r="D1993" s="397" t="s">
        <v>1183</v>
      </c>
      <c r="E1993" s="397" t="s">
        <v>1183</v>
      </c>
      <c r="F1993" s="397" t="s">
        <v>416</v>
      </c>
      <c r="G1993" s="396">
        <v>5</v>
      </c>
      <c r="H1993" s="395">
        <v>81.872</v>
      </c>
      <c r="I1993" s="394">
        <v>78.72</v>
      </c>
      <c r="J1993" s="394">
        <v>116.96000000000001</v>
      </c>
      <c r="K1993" s="393" t="s">
        <v>1033</v>
      </c>
    </row>
    <row r="1994" spans="1:11" hidden="1" x14ac:dyDescent="0.3">
      <c r="A1994" s="397" t="s">
        <v>2700</v>
      </c>
      <c r="C1994" s="397" t="s">
        <v>1053</v>
      </c>
      <c r="D1994" s="397" t="s">
        <v>4390</v>
      </c>
      <c r="E1994" s="397" t="s">
        <v>4389</v>
      </c>
      <c r="F1994" s="397" t="s">
        <v>191</v>
      </c>
      <c r="G1994" s="396">
        <v>2</v>
      </c>
      <c r="H1994" s="395">
        <v>79504.796000000002</v>
      </c>
      <c r="I1994" s="394">
        <v>293.60000000000002</v>
      </c>
      <c r="J1994" s="394">
        <v>113578.28</v>
      </c>
      <c r="K1994" s="393" t="s">
        <v>1033</v>
      </c>
    </row>
    <row r="1995" spans="1:11" hidden="1" x14ac:dyDescent="0.3">
      <c r="A1995" s="397" t="s">
        <v>2700</v>
      </c>
      <c r="C1995" s="397" t="s">
        <v>1053</v>
      </c>
      <c r="D1995" s="397" t="s">
        <v>2699</v>
      </c>
      <c r="E1995" s="397" t="s">
        <v>374</v>
      </c>
      <c r="F1995" s="397" t="s">
        <v>191</v>
      </c>
      <c r="G1995" s="396">
        <v>5</v>
      </c>
      <c r="H1995" s="395">
        <v>1750.0350000000001</v>
      </c>
      <c r="I1995" s="394">
        <v>1663.64</v>
      </c>
      <c r="J1995" s="394">
        <v>2500.0500000000002</v>
      </c>
      <c r="K1995" s="393" t="s">
        <v>1033</v>
      </c>
    </row>
    <row r="1996" spans="1:11" hidden="1" x14ac:dyDescent="0.3">
      <c r="A1996" s="397" t="s">
        <v>2758</v>
      </c>
      <c r="C1996" s="397" t="s">
        <v>1053</v>
      </c>
      <c r="D1996" s="397" t="s">
        <v>6392</v>
      </c>
      <c r="E1996" s="397" t="s">
        <v>6162</v>
      </c>
      <c r="F1996" s="397" t="s">
        <v>191</v>
      </c>
      <c r="G1996" s="396">
        <v>2</v>
      </c>
      <c r="H1996" s="395">
        <v>105449.81300000001</v>
      </c>
      <c r="I1996" s="394">
        <v>3217.85</v>
      </c>
      <c r="J1996" s="394">
        <v>150642.59</v>
      </c>
      <c r="K1996" s="393" t="s">
        <v>1033</v>
      </c>
    </row>
    <row r="1997" spans="1:11" hidden="1" x14ac:dyDescent="0.3">
      <c r="A1997" s="397" t="s">
        <v>2758</v>
      </c>
      <c r="C1997" s="397" t="s">
        <v>1053</v>
      </c>
      <c r="D1997" s="397" t="s">
        <v>2757</v>
      </c>
      <c r="E1997" s="397" t="s">
        <v>2240</v>
      </c>
      <c r="F1997" s="397" t="s">
        <v>191</v>
      </c>
      <c r="G1997" s="396">
        <v>8</v>
      </c>
      <c r="H1997" s="395">
        <v>7227.0869999999995</v>
      </c>
      <c r="I1997" s="394">
        <v>326.61</v>
      </c>
      <c r="J1997" s="394">
        <v>10324.41</v>
      </c>
      <c r="K1997" s="393" t="s">
        <v>1033</v>
      </c>
    </row>
    <row r="1998" spans="1:11" hidden="1" x14ac:dyDescent="0.3">
      <c r="A1998" s="397" t="s">
        <v>2096</v>
      </c>
      <c r="C1998" s="397" t="s">
        <v>1053</v>
      </c>
      <c r="D1998" s="397" t="s">
        <v>8056</v>
      </c>
      <c r="E1998" s="397" t="s">
        <v>8055</v>
      </c>
      <c r="F1998" s="397" t="s">
        <v>191</v>
      </c>
      <c r="G1998" s="396">
        <v>2</v>
      </c>
      <c r="H1998" s="395">
        <v>38188.597999999998</v>
      </c>
      <c r="I1998" s="394">
        <v>38106.06</v>
      </c>
      <c r="J1998" s="394">
        <v>54555.14</v>
      </c>
      <c r="K1998" s="393" t="s">
        <v>1033</v>
      </c>
    </row>
    <row r="1999" spans="1:11" hidden="1" x14ac:dyDescent="0.3">
      <c r="A1999" s="397" t="s">
        <v>2096</v>
      </c>
      <c r="C1999" s="397" t="s">
        <v>1053</v>
      </c>
      <c r="D1999" s="397" t="s">
        <v>6078</v>
      </c>
      <c r="E1999" s="397" t="s">
        <v>6077</v>
      </c>
      <c r="F1999" s="397" t="s">
        <v>191</v>
      </c>
      <c r="G1999" s="396">
        <v>2</v>
      </c>
      <c r="H1999" s="395">
        <v>114483.677</v>
      </c>
      <c r="I1999" s="394">
        <v>112.42</v>
      </c>
      <c r="J1999" s="394">
        <v>163548.10999999999</v>
      </c>
      <c r="K1999" s="393" t="s">
        <v>1033</v>
      </c>
    </row>
    <row r="2000" spans="1:11" hidden="1" x14ac:dyDescent="0.3">
      <c r="A2000" s="397" t="s">
        <v>2096</v>
      </c>
      <c r="C2000" s="397" t="s">
        <v>1053</v>
      </c>
      <c r="D2000" s="397" t="s">
        <v>2506</v>
      </c>
      <c r="E2000" s="397" t="s">
        <v>2505</v>
      </c>
      <c r="F2000" s="397" t="s">
        <v>191</v>
      </c>
      <c r="G2000" s="396">
        <v>2</v>
      </c>
      <c r="H2000" s="395">
        <v>7336.5880000000006</v>
      </c>
      <c r="I2000" s="394">
        <v>4058.2400000000002</v>
      </c>
      <c r="J2000" s="394">
        <v>10480.84</v>
      </c>
      <c r="K2000" s="393" t="s">
        <v>1033</v>
      </c>
    </row>
    <row r="2001" spans="1:12" hidden="1" x14ac:dyDescent="0.3">
      <c r="A2001" s="397" t="s">
        <v>2096</v>
      </c>
      <c r="C2001" s="397" t="s">
        <v>1053</v>
      </c>
      <c r="D2001" s="397" t="s">
        <v>2259</v>
      </c>
      <c r="E2001" s="397" t="s">
        <v>2252</v>
      </c>
      <c r="F2001" s="397" t="s">
        <v>191</v>
      </c>
      <c r="G2001" s="396">
        <v>1</v>
      </c>
      <c r="H2001" s="395">
        <v>18177.228999999999</v>
      </c>
      <c r="I2001" s="394">
        <v>16817.939999999999</v>
      </c>
      <c r="J2001" s="394">
        <v>25967.47</v>
      </c>
      <c r="K2001" s="393" t="s">
        <v>1033</v>
      </c>
    </row>
    <row r="2002" spans="1:12" hidden="1" x14ac:dyDescent="0.3">
      <c r="A2002" s="397" t="s">
        <v>2096</v>
      </c>
      <c r="C2002" s="397" t="s">
        <v>1053</v>
      </c>
      <c r="D2002" s="397" t="s">
        <v>2095</v>
      </c>
      <c r="E2002" s="397" t="s">
        <v>2094</v>
      </c>
      <c r="F2002" s="397" t="s">
        <v>191</v>
      </c>
      <c r="G2002" s="396">
        <v>17</v>
      </c>
      <c r="H2002" s="395">
        <v>2792.2859999999996</v>
      </c>
      <c r="I2002" s="394">
        <v>1885.68</v>
      </c>
      <c r="J2002" s="394">
        <v>3988.98</v>
      </c>
      <c r="K2002" s="393" t="s">
        <v>1033</v>
      </c>
    </row>
    <row r="2003" spans="1:12" hidden="1" x14ac:dyDescent="0.3">
      <c r="A2003" s="397" t="s">
        <v>2655</v>
      </c>
      <c r="C2003" s="397" t="s">
        <v>1053</v>
      </c>
      <c r="D2003" s="397" t="s">
        <v>2759</v>
      </c>
      <c r="E2003" s="397" t="s">
        <v>2240</v>
      </c>
      <c r="F2003" s="397" t="s">
        <v>191</v>
      </c>
      <c r="G2003" s="396">
        <v>8</v>
      </c>
      <c r="H2003" s="395">
        <v>8048.3480000000009</v>
      </c>
      <c r="I2003" s="394">
        <v>360.40000000000003</v>
      </c>
      <c r="J2003" s="394">
        <v>11497.64</v>
      </c>
      <c r="K2003" s="393" t="s">
        <v>1033</v>
      </c>
    </row>
    <row r="2004" spans="1:12" hidden="1" x14ac:dyDescent="0.3">
      <c r="A2004" s="397" t="s">
        <v>2655</v>
      </c>
      <c r="C2004" s="397" t="s">
        <v>1053</v>
      </c>
      <c r="D2004" s="397" t="s">
        <v>2654</v>
      </c>
      <c r="E2004" s="397" t="s">
        <v>553</v>
      </c>
      <c r="F2004" s="397" t="s">
        <v>191</v>
      </c>
      <c r="G2004" s="396">
        <v>42</v>
      </c>
      <c r="H2004" s="395">
        <v>1706.635</v>
      </c>
      <c r="I2004" s="394">
        <v>1624.07</v>
      </c>
      <c r="J2004" s="394">
        <v>2438.0500000000002</v>
      </c>
      <c r="K2004" s="393" t="s">
        <v>1033</v>
      </c>
      <c r="L2004" s="395">
        <v>2</v>
      </c>
    </row>
    <row r="2005" spans="1:12" hidden="1" x14ac:dyDescent="0.3">
      <c r="A2005" s="397" t="s">
        <v>3030</v>
      </c>
      <c r="C2005" s="397" t="s">
        <v>1053</v>
      </c>
      <c r="D2005" s="397" t="s">
        <v>7717</v>
      </c>
      <c r="E2005" s="397" t="s">
        <v>5208</v>
      </c>
      <c r="F2005" s="397" t="s">
        <v>191</v>
      </c>
      <c r="G2005" s="396">
        <v>2</v>
      </c>
      <c r="H2005" s="395">
        <v>1423.52</v>
      </c>
      <c r="I2005" s="394">
        <v>1372.74</v>
      </c>
      <c r="J2005" s="394">
        <v>2033.6000000000001</v>
      </c>
      <c r="K2005" s="393" t="s">
        <v>1033</v>
      </c>
    </row>
    <row r="2006" spans="1:12" hidden="1" x14ac:dyDescent="0.3">
      <c r="A2006" s="397" t="s">
        <v>3030</v>
      </c>
      <c r="C2006" s="397" t="s">
        <v>1053</v>
      </c>
      <c r="D2006" s="397" t="s">
        <v>3296</v>
      </c>
      <c r="E2006" s="397" t="s">
        <v>3295</v>
      </c>
      <c r="F2006" s="397" t="s">
        <v>191</v>
      </c>
      <c r="G2006" s="396">
        <v>2</v>
      </c>
      <c r="H2006" s="395">
        <v>3066.0349999999999</v>
      </c>
      <c r="I2006" s="394">
        <v>2069.65</v>
      </c>
      <c r="J2006" s="394">
        <v>4380.05</v>
      </c>
      <c r="K2006" s="393" t="s">
        <v>1033</v>
      </c>
    </row>
    <row r="2007" spans="1:12" hidden="1" x14ac:dyDescent="0.3">
      <c r="A2007" s="397" t="s">
        <v>3030</v>
      </c>
      <c r="C2007" s="397" t="s">
        <v>1053</v>
      </c>
      <c r="D2007" s="397" t="s">
        <v>3238</v>
      </c>
      <c r="E2007" s="397" t="s">
        <v>3237</v>
      </c>
      <c r="F2007" s="397" t="s">
        <v>191</v>
      </c>
      <c r="G2007" s="396">
        <v>2</v>
      </c>
      <c r="H2007" s="395">
        <v>1361.675</v>
      </c>
      <c r="I2007" s="394">
        <v>1041.99</v>
      </c>
      <c r="J2007" s="394">
        <v>1945.25</v>
      </c>
      <c r="K2007" s="393" t="s">
        <v>1033</v>
      </c>
    </row>
    <row r="2008" spans="1:12" hidden="1" x14ac:dyDescent="0.3">
      <c r="A2008" s="397" t="s">
        <v>3030</v>
      </c>
      <c r="C2008" s="397" t="s">
        <v>1053</v>
      </c>
      <c r="D2008" s="397" t="s">
        <v>3236</v>
      </c>
      <c r="E2008" s="397" t="s">
        <v>676</v>
      </c>
      <c r="F2008" s="397" t="s">
        <v>191</v>
      </c>
      <c r="G2008" s="396">
        <v>4</v>
      </c>
      <c r="H2008" s="395">
        <v>1368.7660000000001</v>
      </c>
      <c r="I2008" s="394">
        <v>919.84</v>
      </c>
      <c r="J2008" s="394">
        <v>1955.38</v>
      </c>
      <c r="K2008" s="393" t="s">
        <v>1033</v>
      </c>
    </row>
    <row r="2009" spans="1:12" hidden="1" x14ac:dyDescent="0.3">
      <c r="A2009" s="397" t="s">
        <v>3030</v>
      </c>
      <c r="C2009" s="397" t="s">
        <v>1053</v>
      </c>
      <c r="D2009" s="397" t="s">
        <v>3029</v>
      </c>
      <c r="E2009" s="397" t="s">
        <v>2035</v>
      </c>
      <c r="F2009" s="397" t="s">
        <v>191</v>
      </c>
      <c r="G2009" s="396">
        <v>8</v>
      </c>
      <c r="H2009" s="395">
        <v>1645.3570000000002</v>
      </c>
      <c r="I2009" s="394">
        <v>1034.82</v>
      </c>
      <c r="J2009" s="394">
        <v>2350.5100000000002</v>
      </c>
      <c r="K2009" s="393" t="s">
        <v>1033</v>
      </c>
    </row>
    <row r="2010" spans="1:12" hidden="1" x14ac:dyDescent="0.3">
      <c r="A2010" s="397" t="s">
        <v>3384</v>
      </c>
      <c r="C2010" s="397" t="s">
        <v>1053</v>
      </c>
      <c r="D2010" s="397" t="s">
        <v>5364</v>
      </c>
      <c r="E2010" s="397" t="s">
        <v>5363</v>
      </c>
      <c r="F2010" s="397" t="s">
        <v>191</v>
      </c>
      <c r="G2010" s="396">
        <v>8</v>
      </c>
      <c r="H2010" s="395">
        <v>9851.1490000000013</v>
      </c>
      <c r="I2010" s="394">
        <v>9320.9</v>
      </c>
      <c r="J2010" s="394">
        <v>14073.07</v>
      </c>
      <c r="K2010" s="393" t="s">
        <v>1033</v>
      </c>
    </row>
    <row r="2011" spans="1:12" hidden="1" x14ac:dyDescent="0.3">
      <c r="A2011" s="397" t="s">
        <v>3384</v>
      </c>
      <c r="C2011" s="397" t="s">
        <v>1053</v>
      </c>
      <c r="D2011" s="397" t="s">
        <v>4466</v>
      </c>
      <c r="E2011" s="397" t="s">
        <v>4465</v>
      </c>
      <c r="F2011" s="397" t="s">
        <v>191</v>
      </c>
      <c r="G2011" s="396">
        <v>1</v>
      </c>
      <c r="H2011" s="395">
        <v>1929.039</v>
      </c>
      <c r="I2011" s="394">
        <v>4.6399999999999997</v>
      </c>
      <c r="J2011" s="394">
        <v>2755.77</v>
      </c>
      <c r="K2011" s="393" t="s">
        <v>1033</v>
      </c>
    </row>
    <row r="2012" spans="1:12" hidden="1" x14ac:dyDescent="0.3">
      <c r="A2012" s="397" t="s">
        <v>3384</v>
      </c>
      <c r="C2012" s="397" t="s">
        <v>1053</v>
      </c>
      <c r="D2012" s="397" t="s">
        <v>3418</v>
      </c>
      <c r="E2012" s="397" t="s">
        <v>677</v>
      </c>
      <c r="F2012" s="397" t="s">
        <v>191</v>
      </c>
      <c r="G2012" s="396">
        <v>2</v>
      </c>
      <c r="H2012" s="395">
        <v>113759.751</v>
      </c>
      <c r="I2012" s="394">
        <v>79748.66</v>
      </c>
      <c r="J2012" s="394">
        <v>162513.93</v>
      </c>
      <c r="K2012" s="393" t="s">
        <v>1033</v>
      </c>
    </row>
    <row r="2013" spans="1:12" hidden="1" x14ac:dyDescent="0.3">
      <c r="A2013" s="397" t="s">
        <v>3384</v>
      </c>
      <c r="C2013" s="397" t="s">
        <v>1053</v>
      </c>
      <c r="D2013" s="397" t="s">
        <v>3383</v>
      </c>
      <c r="E2013" s="397" t="s">
        <v>677</v>
      </c>
      <c r="F2013" s="397" t="s">
        <v>191</v>
      </c>
      <c r="G2013" s="396">
        <v>1</v>
      </c>
      <c r="H2013" s="395">
        <v>23293.465999999997</v>
      </c>
      <c r="I2013" s="394">
        <v>146.01</v>
      </c>
      <c r="J2013" s="394">
        <v>33276.379999999997</v>
      </c>
      <c r="K2013" s="393" t="s">
        <v>1033</v>
      </c>
    </row>
    <row r="2014" spans="1:12" hidden="1" x14ac:dyDescent="0.3">
      <c r="A2014" s="397" t="s">
        <v>7792</v>
      </c>
      <c r="C2014" s="397" t="s">
        <v>1053</v>
      </c>
      <c r="D2014" s="397" t="s">
        <v>7791</v>
      </c>
      <c r="E2014" s="397" t="s">
        <v>7784</v>
      </c>
      <c r="F2014" s="397" t="s">
        <v>191</v>
      </c>
      <c r="G2014" s="396">
        <v>6</v>
      </c>
      <c r="H2014" s="395">
        <v>48673.359000000004</v>
      </c>
      <c r="I2014" s="394">
        <v>48543.67</v>
      </c>
      <c r="J2014" s="394">
        <v>69533.37</v>
      </c>
      <c r="K2014" s="393" t="s">
        <v>1033</v>
      </c>
    </row>
    <row r="2015" spans="1:12" hidden="1" x14ac:dyDescent="0.3">
      <c r="A2015" s="397" t="s">
        <v>2741</v>
      </c>
      <c r="C2015" s="397" t="s">
        <v>1053</v>
      </c>
      <c r="D2015" s="397" t="s">
        <v>3333</v>
      </c>
      <c r="E2015" s="397" t="s">
        <v>602</v>
      </c>
      <c r="F2015" s="397" t="s">
        <v>191</v>
      </c>
      <c r="G2015" s="396">
        <v>2</v>
      </c>
      <c r="H2015" s="395">
        <v>8103.1019999999999</v>
      </c>
      <c r="I2015" s="394">
        <v>6982.2</v>
      </c>
      <c r="J2015" s="394">
        <v>11575.86</v>
      </c>
      <c r="K2015" s="393" t="s">
        <v>1033</v>
      </c>
    </row>
    <row r="2016" spans="1:12" hidden="1" x14ac:dyDescent="0.3">
      <c r="A2016" s="397" t="s">
        <v>2741</v>
      </c>
      <c r="C2016" s="397" t="s">
        <v>1053</v>
      </c>
      <c r="D2016" s="397" t="s">
        <v>2740</v>
      </c>
      <c r="E2016" s="397" t="s">
        <v>2739</v>
      </c>
      <c r="F2016" s="397" t="s">
        <v>191</v>
      </c>
      <c r="G2016" s="396">
        <v>9</v>
      </c>
      <c r="H2016" s="395">
        <v>3033.1280000000002</v>
      </c>
      <c r="I2016" s="394">
        <v>2364.61</v>
      </c>
      <c r="J2016" s="394">
        <v>4333.04</v>
      </c>
      <c r="K2016" s="393" t="s">
        <v>1033</v>
      </c>
    </row>
    <row r="2017" spans="1:12" hidden="1" x14ac:dyDescent="0.3">
      <c r="A2017" s="397" t="s">
        <v>3105</v>
      </c>
      <c r="C2017" s="397" t="s">
        <v>1053</v>
      </c>
      <c r="D2017" s="397" t="s">
        <v>3104</v>
      </c>
      <c r="E2017" s="397" t="s">
        <v>2041</v>
      </c>
      <c r="F2017" s="397" t="s">
        <v>191</v>
      </c>
      <c r="G2017" s="396">
        <v>3</v>
      </c>
      <c r="H2017" s="395">
        <v>3175.5430000000001</v>
      </c>
      <c r="I2017" s="394">
        <v>311.62</v>
      </c>
      <c r="J2017" s="394">
        <v>4536.49</v>
      </c>
      <c r="K2017" s="393" t="s">
        <v>1033</v>
      </c>
    </row>
    <row r="2018" spans="1:12" hidden="1" x14ac:dyDescent="0.3">
      <c r="A2018" s="397" t="s">
        <v>787</v>
      </c>
      <c r="C2018" s="397" t="s">
        <v>1053</v>
      </c>
      <c r="D2018" s="397" t="s">
        <v>786</v>
      </c>
      <c r="E2018" s="397" t="s">
        <v>785</v>
      </c>
      <c r="F2018" s="397" t="s">
        <v>191</v>
      </c>
      <c r="G2018" s="396">
        <v>18</v>
      </c>
      <c r="H2018" s="395">
        <v>11661.895</v>
      </c>
      <c r="I2018" s="394">
        <v>10340.19</v>
      </c>
      <c r="J2018" s="394">
        <v>16659.849999999999</v>
      </c>
      <c r="K2018" s="393" t="s">
        <v>1033</v>
      </c>
      <c r="L2018" s="395">
        <v>1</v>
      </c>
    </row>
    <row r="2019" spans="1:12" hidden="1" x14ac:dyDescent="0.3">
      <c r="A2019" s="397" t="s">
        <v>2021</v>
      </c>
      <c r="C2019" s="397" t="s">
        <v>1053</v>
      </c>
      <c r="D2019" s="397" t="s">
        <v>2020</v>
      </c>
      <c r="E2019" s="397" t="s">
        <v>553</v>
      </c>
      <c r="F2019" s="397" t="s">
        <v>191</v>
      </c>
      <c r="G2019" s="396">
        <v>4</v>
      </c>
      <c r="H2019" s="395">
        <v>8907.6260000000002</v>
      </c>
      <c r="I2019" s="394">
        <v>13.27</v>
      </c>
      <c r="J2019" s="394">
        <v>12725.18</v>
      </c>
      <c r="K2019" s="393" t="s">
        <v>1033</v>
      </c>
    </row>
    <row r="2020" spans="1:12" hidden="1" x14ac:dyDescent="0.3">
      <c r="A2020" s="397" t="s">
        <v>2689</v>
      </c>
      <c r="C2020" s="397" t="s">
        <v>1053</v>
      </c>
      <c r="D2020" s="397" t="s">
        <v>2688</v>
      </c>
      <c r="E2020" s="397" t="s">
        <v>2685</v>
      </c>
      <c r="F2020" s="397" t="s">
        <v>191</v>
      </c>
      <c r="G2020" s="396">
        <v>1</v>
      </c>
      <c r="H2020" s="395">
        <v>10950.135</v>
      </c>
      <c r="I2020" s="394">
        <v>65.06</v>
      </c>
      <c r="J2020" s="394">
        <v>15643.050000000001</v>
      </c>
      <c r="K2020" s="393" t="s">
        <v>1033</v>
      </c>
    </row>
    <row r="2021" spans="1:12" hidden="1" x14ac:dyDescent="0.3">
      <c r="A2021" s="397" t="s">
        <v>816</v>
      </c>
      <c r="C2021" s="397" t="s">
        <v>1053</v>
      </c>
      <c r="D2021" s="397" t="s">
        <v>616</v>
      </c>
      <c r="E2021" s="397" t="s">
        <v>617</v>
      </c>
      <c r="F2021" s="397" t="s">
        <v>191</v>
      </c>
      <c r="G2021" s="396">
        <v>3</v>
      </c>
      <c r="H2021" s="395">
        <v>4767.875</v>
      </c>
      <c r="I2021" s="394">
        <v>4597.99</v>
      </c>
      <c r="J2021" s="394">
        <v>6811.25</v>
      </c>
      <c r="K2021" s="393" t="s">
        <v>1033</v>
      </c>
      <c r="L2021" s="395">
        <v>4</v>
      </c>
    </row>
    <row r="2022" spans="1:12" hidden="1" x14ac:dyDescent="0.3">
      <c r="A2022" s="397" t="s">
        <v>7060</v>
      </c>
      <c r="C2022" s="397" t="s">
        <v>1053</v>
      </c>
      <c r="D2022" s="397" t="s">
        <v>7059</v>
      </c>
      <c r="E2022" s="397" t="s">
        <v>7058</v>
      </c>
      <c r="F2022" s="397" t="s">
        <v>191</v>
      </c>
      <c r="G2022" s="396">
        <v>1</v>
      </c>
      <c r="H2022" s="395">
        <v>164416.30100000001</v>
      </c>
      <c r="I2022" s="394">
        <v>163967.25</v>
      </c>
      <c r="J2022" s="394">
        <v>234880.43</v>
      </c>
      <c r="K2022" s="393" t="s">
        <v>1033</v>
      </c>
    </row>
    <row r="2023" spans="1:12" hidden="1" x14ac:dyDescent="0.3">
      <c r="A2023" s="397" t="s">
        <v>2612</v>
      </c>
      <c r="C2023" s="397" t="s">
        <v>1053</v>
      </c>
      <c r="D2023" s="397" t="s">
        <v>2611</v>
      </c>
      <c r="E2023" s="397" t="s">
        <v>2610</v>
      </c>
      <c r="F2023" s="397" t="s">
        <v>191</v>
      </c>
      <c r="G2023" s="396">
        <v>2</v>
      </c>
      <c r="H2023" s="395">
        <v>9909.8719999999994</v>
      </c>
      <c r="I2023" s="394">
        <v>23.45</v>
      </c>
      <c r="J2023" s="394">
        <v>14156.960000000001</v>
      </c>
      <c r="K2023" s="393" t="s">
        <v>1033</v>
      </c>
    </row>
    <row r="2024" spans="1:12" hidden="1" x14ac:dyDescent="0.3">
      <c r="A2024" s="397" t="s">
        <v>3314</v>
      </c>
      <c r="C2024" s="397" t="s">
        <v>1053</v>
      </c>
      <c r="D2024" s="397" t="s">
        <v>3313</v>
      </c>
      <c r="E2024" s="397" t="s">
        <v>676</v>
      </c>
      <c r="F2024" s="397" t="s">
        <v>191</v>
      </c>
      <c r="G2024" s="396">
        <v>9</v>
      </c>
      <c r="H2024" s="395">
        <v>1368.7660000000001</v>
      </c>
      <c r="I2024" s="394">
        <v>195.84</v>
      </c>
      <c r="J2024" s="394">
        <v>1955.38</v>
      </c>
      <c r="K2024" s="393" t="s">
        <v>1033</v>
      </c>
    </row>
    <row r="2025" spans="1:12" hidden="1" x14ac:dyDescent="0.3">
      <c r="A2025" s="397" t="s">
        <v>2528</v>
      </c>
      <c r="C2025" s="397" t="s">
        <v>1053</v>
      </c>
      <c r="D2025" s="397" t="s">
        <v>2527</v>
      </c>
      <c r="E2025" s="397" t="s">
        <v>2526</v>
      </c>
      <c r="F2025" s="397" t="s">
        <v>191</v>
      </c>
      <c r="G2025" s="396">
        <v>9</v>
      </c>
      <c r="H2025" s="395">
        <v>4380.0540000000001</v>
      </c>
      <c r="I2025" s="394">
        <v>4036.3</v>
      </c>
      <c r="J2025" s="394">
        <v>6257.22</v>
      </c>
      <c r="K2025" s="393" t="s">
        <v>1033</v>
      </c>
    </row>
    <row r="2026" spans="1:12" hidden="1" x14ac:dyDescent="0.3">
      <c r="A2026" s="397" t="s">
        <v>2796</v>
      </c>
      <c r="C2026" s="397" t="s">
        <v>1053</v>
      </c>
      <c r="D2026" s="397" t="s">
        <v>2795</v>
      </c>
      <c r="E2026" s="397" t="s">
        <v>677</v>
      </c>
      <c r="F2026" s="397" t="s">
        <v>191</v>
      </c>
      <c r="G2026" s="396">
        <v>1</v>
      </c>
      <c r="H2026" s="395">
        <v>126459.26300000001</v>
      </c>
      <c r="I2026" s="394">
        <v>121115.26000000001</v>
      </c>
      <c r="J2026" s="394">
        <v>180656.09</v>
      </c>
      <c r="K2026" s="393" t="s">
        <v>1033</v>
      </c>
      <c r="L2026" s="395">
        <v>-1</v>
      </c>
    </row>
    <row r="2027" spans="1:12" hidden="1" x14ac:dyDescent="0.3">
      <c r="A2027" s="397" t="s">
        <v>6112</v>
      </c>
      <c r="C2027" s="397" t="s">
        <v>1053</v>
      </c>
      <c r="D2027" s="397" t="s">
        <v>6111</v>
      </c>
      <c r="E2027" s="397" t="s">
        <v>6110</v>
      </c>
      <c r="F2027" s="397" t="s">
        <v>191</v>
      </c>
      <c r="G2027" s="396">
        <v>2</v>
      </c>
      <c r="H2027" s="395">
        <v>28908.362000000001</v>
      </c>
      <c r="I2027" s="394">
        <v>63.35</v>
      </c>
      <c r="J2027" s="394">
        <v>41297.660000000003</v>
      </c>
      <c r="K2027" s="393" t="s">
        <v>1033</v>
      </c>
    </row>
    <row r="2028" spans="1:12" hidden="1" x14ac:dyDescent="0.3">
      <c r="A2028" s="397" t="s">
        <v>6988</v>
      </c>
      <c r="C2028" s="397" t="s">
        <v>1053</v>
      </c>
      <c r="D2028" s="397" t="s">
        <v>6987</v>
      </c>
      <c r="E2028" s="397" t="s">
        <v>6986</v>
      </c>
      <c r="F2028" s="397" t="s">
        <v>191</v>
      </c>
      <c r="G2028" s="396">
        <v>1</v>
      </c>
      <c r="H2028" s="395">
        <v>37230.466</v>
      </c>
      <c r="I2028" s="394">
        <v>68.28</v>
      </c>
      <c r="J2028" s="394">
        <v>53186.380000000005</v>
      </c>
      <c r="K2028" s="393" t="s">
        <v>1033</v>
      </c>
    </row>
    <row r="2029" spans="1:12" hidden="1" x14ac:dyDescent="0.3">
      <c r="A2029" s="397" t="s">
        <v>5585</v>
      </c>
      <c r="C2029" s="397" t="s">
        <v>1053</v>
      </c>
      <c r="D2029" s="397" t="s">
        <v>5584</v>
      </c>
      <c r="E2029" s="397" t="s">
        <v>5583</v>
      </c>
      <c r="F2029" s="397" t="s">
        <v>191</v>
      </c>
      <c r="G2029" s="396">
        <v>1</v>
      </c>
      <c r="H2029" s="395">
        <v>25646.131000000001</v>
      </c>
      <c r="I2029" s="394">
        <v>2041.3500000000001</v>
      </c>
      <c r="J2029" s="394">
        <v>36637.33</v>
      </c>
      <c r="K2029" s="393" t="s">
        <v>1033</v>
      </c>
    </row>
    <row r="2030" spans="1:12" hidden="1" x14ac:dyDescent="0.3">
      <c r="A2030" s="397" t="s">
        <v>3341</v>
      </c>
      <c r="C2030" s="397" t="s">
        <v>1053</v>
      </c>
      <c r="D2030" s="397" t="s">
        <v>3340</v>
      </c>
      <c r="E2030" s="397" t="s">
        <v>676</v>
      </c>
      <c r="F2030" s="397" t="s">
        <v>191</v>
      </c>
      <c r="G2030" s="396">
        <v>3</v>
      </c>
      <c r="H2030" s="395">
        <v>5639.3190000000004</v>
      </c>
      <c r="I2030" s="394">
        <v>5383.29</v>
      </c>
      <c r="J2030" s="394">
        <v>8056.17</v>
      </c>
      <c r="K2030" s="393" t="s">
        <v>1033</v>
      </c>
    </row>
    <row r="2031" spans="1:12" hidden="1" x14ac:dyDescent="0.3">
      <c r="A2031" s="397" t="s">
        <v>7034</v>
      </c>
      <c r="C2031" s="397" t="s">
        <v>1053</v>
      </c>
      <c r="D2031" s="397" t="s">
        <v>7788</v>
      </c>
      <c r="E2031" s="397" t="s">
        <v>7787</v>
      </c>
      <c r="F2031" s="397" t="s">
        <v>191</v>
      </c>
      <c r="G2031" s="396">
        <v>1</v>
      </c>
      <c r="H2031" s="395">
        <v>109274.417</v>
      </c>
      <c r="I2031" s="394">
        <v>485.47</v>
      </c>
      <c r="J2031" s="394">
        <v>156106.31</v>
      </c>
      <c r="K2031" s="393" t="s">
        <v>1033</v>
      </c>
    </row>
    <row r="2032" spans="1:12" hidden="1" x14ac:dyDescent="0.3">
      <c r="A2032" s="397" t="s">
        <v>7034</v>
      </c>
      <c r="C2032" s="397" t="s">
        <v>1053</v>
      </c>
      <c r="D2032" s="397" t="s">
        <v>7033</v>
      </c>
      <c r="E2032" s="397" t="s">
        <v>7032</v>
      </c>
      <c r="F2032" s="397" t="s">
        <v>191</v>
      </c>
      <c r="G2032" s="396">
        <v>1</v>
      </c>
      <c r="H2032" s="395">
        <v>22831.032000000003</v>
      </c>
      <c r="I2032" s="394">
        <v>22794.9</v>
      </c>
      <c r="J2032" s="394">
        <v>32615.760000000002</v>
      </c>
      <c r="K2032" s="393" t="s">
        <v>1033</v>
      </c>
    </row>
    <row r="2033" spans="1:11" hidden="1" x14ac:dyDescent="0.3">
      <c r="A2033" s="397" t="s">
        <v>6461</v>
      </c>
      <c r="C2033" s="397" t="s">
        <v>1053</v>
      </c>
      <c r="D2033" s="397" t="s">
        <v>6460</v>
      </c>
      <c r="E2033" s="397" t="s">
        <v>6459</v>
      </c>
      <c r="F2033" s="397" t="s">
        <v>191</v>
      </c>
      <c r="G2033" s="396">
        <v>4</v>
      </c>
      <c r="H2033" s="395">
        <v>2847.0329999999999</v>
      </c>
      <c r="I2033" s="394">
        <v>7.13</v>
      </c>
      <c r="J2033" s="394">
        <v>4067.19</v>
      </c>
      <c r="K2033" s="393" t="s">
        <v>1033</v>
      </c>
    </row>
    <row r="2034" spans="1:11" hidden="1" x14ac:dyDescent="0.3">
      <c r="A2034" s="397" t="s">
        <v>6991</v>
      </c>
      <c r="C2034" s="397" t="s">
        <v>1053</v>
      </c>
      <c r="D2034" s="397" t="s">
        <v>6990</v>
      </c>
      <c r="E2034" s="397" t="s">
        <v>6989</v>
      </c>
      <c r="F2034" s="397" t="s">
        <v>191</v>
      </c>
      <c r="G2034" s="396">
        <v>8</v>
      </c>
      <c r="H2034" s="395">
        <v>4380.0540000000001</v>
      </c>
      <c r="I2034" s="394">
        <v>538.5</v>
      </c>
      <c r="J2034" s="394">
        <v>6257.22</v>
      </c>
      <c r="K2034" s="393" t="s">
        <v>1033</v>
      </c>
    </row>
    <row r="2035" spans="1:11" hidden="1" x14ac:dyDescent="0.3">
      <c r="A2035" s="397" t="s">
        <v>3028</v>
      </c>
      <c r="C2035" s="397" t="s">
        <v>1053</v>
      </c>
      <c r="D2035" s="397" t="s">
        <v>3027</v>
      </c>
      <c r="E2035" s="397" t="s">
        <v>3026</v>
      </c>
      <c r="F2035" s="397" t="s">
        <v>191</v>
      </c>
      <c r="G2035" s="396">
        <v>1</v>
      </c>
      <c r="H2035" s="395">
        <v>2463.7829999999999</v>
      </c>
      <c r="I2035" s="394">
        <v>3.96</v>
      </c>
      <c r="J2035" s="394">
        <v>3519.69</v>
      </c>
      <c r="K2035" s="393" t="s">
        <v>1033</v>
      </c>
    </row>
    <row r="2036" spans="1:11" hidden="1" x14ac:dyDescent="0.3">
      <c r="A2036" s="397" t="s">
        <v>3316</v>
      </c>
      <c r="C2036" s="397" t="s">
        <v>1053</v>
      </c>
      <c r="D2036" s="397" t="s">
        <v>3315</v>
      </c>
      <c r="E2036" s="397" t="s">
        <v>676</v>
      </c>
      <c r="F2036" s="397" t="s">
        <v>191</v>
      </c>
      <c r="G2036" s="396">
        <v>2</v>
      </c>
      <c r="H2036" s="395">
        <v>5639.3190000000004</v>
      </c>
      <c r="I2036" s="394">
        <v>769.12</v>
      </c>
      <c r="J2036" s="394">
        <v>8056.17</v>
      </c>
      <c r="K2036" s="393" t="s">
        <v>1033</v>
      </c>
    </row>
    <row r="2037" spans="1:11" hidden="1" x14ac:dyDescent="0.3">
      <c r="A2037" s="397" t="s">
        <v>7683</v>
      </c>
      <c r="C2037" s="397" t="s">
        <v>1053</v>
      </c>
      <c r="D2037" s="397" t="s">
        <v>7682</v>
      </c>
      <c r="E2037" s="397" t="s">
        <v>7681</v>
      </c>
      <c r="F2037" s="397" t="s">
        <v>191</v>
      </c>
      <c r="G2037" s="396">
        <v>1</v>
      </c>
      <c r="H2037" s="395">
        <v>30257.352999999999</v>
      </c>
      <c r="I2037" s="394">
        <v>2685.51</v>
      </c>
      <c r="J2037" s="394">
        <v>43224.79</v>
      </c>
      <c r="K2037" s="393" t="s">
        <v>1033</v>
      </c>
    </row>
    <row r="2038" spans="1:11" hidden="1" x14ac:dyDescent="0.3">
      <c r="A2038" s="397" t="s">
        <v>7685</v>
      </c>
      <c r="C2038" s="397" t="s">
        <v>1053</v>
      </c>
      <c r="D2038" s="397" t="s">
        <v>7684</v>
      </c>
      <c r="E2038" s="397" t="s">
        <v>7681</v>
      </c>
      <c r="F2038" s="397" t="s">
        <v>191</v>
      </c>
      <c r="G2038" s="396">
        <v>1</v>
      </c>
      <c r="H2038" s="395">
        <v>33265.602999999996</v>
      </c>
      <c r="I2038" s="394">
        <v>2975.93</v>
      </c>
      <c r="J2038" s="394">
        <v>47522.29</v>
      </c>
      <c r="K2038" s="393" t="s">
        <v>1033</v>
      </c>
    </row>
    <row r="2039" spans="1:11" hidden="1" x14ac:dyDescent="0.3">
      <c r="A2039" s="397" t="s">
        <v>7223</v>
      </c>
      <c r="C2039" s="397" t="s">
        <v>1053</v>
      </c>
      <c r="D2039" s="397" t="s">
        <v>7222</v>
      </c>
      <c r="E2039" s="397" t="s">
        <v>7221</v>
      </c>
      <c r="F2039" s="397" t="s">
        <v>191</v>
      </c>
      <c r="G2039" s="396">
        <v>1</v>
      </c>
      <c r="H2039" s="395">
        <v>6898.5840000000007</v>
      </c>
      <c r="I2039" s="394">
        <v>6808.79</v>
      </c>
      <c r="J2039" s="394">
        <v>9855.1200000000008</v>
      </c>
      <c r="K2039" s="393" t="s">
        <v>1033</v>
      </c>
    </row>
    <row r="2040" spans="1:11" hidden="1" x14ac:dyDescent="0.3">
      <c r="A2040" s="397" t="s">
        <v>4011</v>
      </c>
      <c r="C2040" s="397" t="s">
        <v>1053</v>
      </c>
      <c r="D2040" s="397" t="s">
        <v>4010</v>
      </c>
      <c r="E2040" s="397" t="s">
        <v>645</v>
      </c>
      <c r="F2040" s="397" t="s">
        <v>191</v>
      </c>
      <c r="G2040" s="396">
        <v>1</v>
      </c>
      <c r="H2040" s="395">
        <v>98312.934999999998</v>
      </c>
      <c r="I2040" s="394">
        <v>3473.75</v>
      </c>
      <c r="J2040" s="394">
        <v>140447.04999999999</v>
      </c>
      <c r="K2040" s="393" t="s">
        <v>1033</v>
      </c>
    </row>
    <row r="2041" spans="1:11" hidden="1" x14ac:dyDescent="0.3">
      <c r="A2041" s="397" t="s">
        <v>2080</v>
      </c>
      <c r="C2041" s="397" t="s">
        <v>1053</v>
      </c>
      <c r="D2041" s="397" t="s">
        <v>2079</v>
      </c>
      <c r="E2041" s="397" t="s">
        <v>676</v>
      </c>
      <c r="F2041" s="397" t="s">
        <v>191</v>
      </c>
      <c r="G2041" s="396">
        <v>12</v>
      </c>
      <c r="H2041" s="395">
        <v>2099.2510000000002</v>
      </c>
      <c r="I2041" s="394">
        <v>514.37</v>
      </c>
      <c r="J2041" s="394">
        <v>2998.93</v>
      </c>
      <c r="K2041" s="393" t="s">
        <v>1033</v>
      </c>
    </row>
    <row r="2042" spans="1:11" hidden="1" x14ac:dyDescent="0.3">
      <c r="A2042" s="397" t="s">
        <v>2254</v>
      </c>
      <c r="C2042" s="397" t="s">
        <v>1053</v>
      </c>
      <c r="D2042" s="397" t="s">
        <v>2253</v>
      </c>
      <c r="E2042" s="397" t="s">
        <v>2252</v>
      </c>
      <c r="F2042" s="397" t="s">
        <v>191</v>
      </c>
      <c r="G2042" s="396">
        <v>9</v>
      </c>
      <c r="H2042" s="395">
        <v>6467.9580000000005</v>
      </c>
      <c r="I2042" s="394">
        <v>5743.97</v>
      </c>
      <c r="J2042" s="394">
        <v>9239.94</v>
      </c>
      <c r="K2042" s="393" t="s">
        <v>1033</v>
      </c>
    </row>
    <row r="2043" spans="1:11" hidden="1" x14ac:dyDescent="0.3">
      <c r="A2043" s="397" t="s">
        <v>2482</v>
      </c>
      <c r="C2043" s="397" t="s">
        <v>1053</v>
      </c>
      <c r="D2043" s="397" t="s">
        <v>2481</v>
      </c>
      <c r="E2043" s="397" t="s">
        <v>2478</v>
      </c>
      <c r="F2043" s="397" t="s">
        <v>191</v>
      </c>
      <c r="G2043" s="396">
        <v>7</v>
      </c>
      <c r="H2043" s="395">
        <v>4368.7070000000003</v>
      </c>
      <c r="I2043" s="394">
        <v>23.21</v>
      </c>
      <c r="J2043" s="394">
        <v>6241.01</v>
      </c>
      <c r="K2043" s="393" t="s">
        <v>1033</v>
      </c>
    </row>
    <row r="2044" spans="1:11" hidden="1" x14ac:dyDescent="0.3">
      <c r="A2044" s="397" t="s">
        <v>2480</v>
      </c>
      <c r="C2044" s="397" t="s">
        <v>1053</v>
      </c>
      <c r="D2044" s="397" t="s">
        <v>2479</v>
      </c>
      <c r="E2044" s="397" t="s">
        <v>2478</v>
      </c>
      <c r="F2044" s="397" t="s">
        <v>191</v>
      </c>
      <c r="G2044" s="396">
        <v>1</v>
      </c>
      <c r="H2044" s="395">
        <v>4368.7070000000003</v>
      </c>
      <c r="I2044" s="394">
        <v>17.149999999999999</v>
      </c>
      <c r="J2044" s="394">
        <v>6241.01</v>
      </c>
      <c r="K2044" s="393" t="s">
        <v>1033</v>
      </c>
    </row>
    <row r="2045" spans="1:11" hidden="1" x14ac:dyDescent="0.3">
      <c r="A2045" s="397" t="s">
        <v>3170</v>
      </c>
      <c r="C2045" s="397" t="s">
        <v>1053</v>
      </c>
      <c r="D2045" s="397" t="s">
        <v>3169</v>
      </c>
      <c r="E2045" s="397" t="s">
        <v>596</v>
      </c>
      <c r="F2045" s="397" t="s">
        <v>191</v>
      </c>
      <c r="G2045" s="396">
        <v>6</v>
      </c>
      <c r="H2045" s="395">
        <v>1418.41</v>
      </c>
      <c r="I2045" s="394">
        <v>104.9</v>
      </c>
      <c r="J2045" s="394">
        <v>2026.3</v>
      </c>
      <c r="K2045" s="393" t="s">
        <v>1033</v>
      </c>
    </row>
    <row r="2046" spans="1:11" hidden="1" x14ac:dyDescent="0.3">
      <c r="A2046" s="397" t="s">
        <v>7014</v>
      </c>
      <c r="C2046" s="397" t="s">
        <v>1053</v>
      </c>
      <c r="D2046" s="397" t="s">
        <v>7236</v>
      </c>
      <c r="E2046" s="397" t="s">
        <v>7235</v>
      </c>
      <c r="F2046" s="397" t="s">
        <v>191</v>
      </c>
      <c r="G2046" s="396">
        <v>3</v>
      </c>
      <c r="H2046" s="395">
        <v>2956.5340000000001</v>
      </c>
      <c r="I2046" s="394">
        <v>2800.39</v>
      </c>
      <c r="J2046" s="394">
        <v>4223.62</v>
      </c>
      <c r="K2046" s="393" t="s">
        <v>1033</v>
      </c>
    </row>
    <row r="2047" spans="1:11" hidden="1" x14ac:dyDescent="0.3">
      <c r="A2047" s="397" t="s">
        <v>7014</v>
      </c>
      <c r="C2047" s="397" t="s">
        <v>1053</v>
      </c>
      <c r="D2047" s="397" t="s">
        <v>7013</v>
      </c>
      <c r="E2047" s="397" t="s">
        <v>7011</v>
      </c>
      <c r="F2047" s="397" t="s">
        <v>191</v>
      </c>
      <c r="G2047" s="396">
        <v>1</v>
      </c>
      <c r="H2047" s="395">
        <v>4161.0520000000006</v>
      </c>
      <c r="I2047" s="394">
        <v>171.67000000000002</v>
      </c>
      <c r="J2047" s="394">
        <v>5944.36</v>
      </c>
      <c r="K2047" s="393" t="s">
        <v>1033</v>
      </c>
    </row>
    <row r="2048" spans="1:11" hidden="1" x14ac:dyDescent="0.3">
      <c r="A2048" s="397" t="s">
        <v>6888</v>
      </c>
      <c r="C2048" s="397" t="s">
        <v>1053</v>
      </c>
      <c r="D2048" s="397" t="s">
        <v>6887</v>
      </c>
      <c r="E2048" s="397" t="s">
        <v>6886</v>
      </c>
      <c r="F2048" s="397" t="s">
        <v>191</v>
      </c>
      <c r="G2048" s="396">
        <v>2</v>
      </c>
      <c r="H2048" s="395">
        <v>4434.808</v>
      </c>
      <c r="I2048" s="394">
        <v>18.760000000000002</v>
      </c>
      <c r="J2048" s="394">
        <v>6335.4400000000005</v>
      </c>
      <c r="K2048" s="393" t="s">
        <v>1033</v>
      </c>
    </row>
    <row r="2049" spans="1:11" hidden="1" x14ac:dyDescent="0.3">
      <c r="A2049" s="397" t="s">
        <v>2807</v>
      </c>
      <c r="C2049" s="397" t="s">
        <v>1053</v>
      </c>
      <c r="D2049" s="397" t="s">
        <v>2806</v>
      </c>
      <c r="E2049" s="397" t="s">
        <v>677</v>
      </c>
      <c r="F2049" s="397" t="s">
        <v>191</v>
      </c>
      <c r="G2049" s="396">
        <v>1</v>
      </c>
      <c r="H2049" s="395">
        <v>53080.110999999997</v>
      </c>
      <c r="I2049" s="394">
        <v>36710.769999999997</v>
      </c>
      <c r="J2049" s="394">
        <v>75828.73</v>
      </c>
      <c r="K2049" s="393" t="s">
        <v>1033</v>
      </c>
    </row>
    <row r="2050" spans="1:11" hidden="1" x14ac:dyDescent="0.3">
      <c r="A2050" s="397" t="s">
        <v>4009</v>
      </c>
      <c r="C2050" s="397" t="s">
        <v>1053</v>
      </c>
      <c r="D2050" s="397" t="s">
        <v>4008</v>
      </c>
      <c r="E2050" s="397" t="s">
        <v>645</v>
      </c>
      <c r="F2050" s="397" t="s">
        <v>191</v>
      </c>
      <c r="G2050" s="396">
        <v>1</v>
      </c>
      <c r="H2050" s="395">
        <v>91269.388000000006</v>
      </c>
      <c r="I2050" s="394">
        <v>8629.82</v>
      </c>
      <c r="J2050" s="394">
        <v>130384.84</v>
      </c>
      <c r="K2050" s="393" t="s">
        <v>1033</v>
      </c>
    </row>
    <row r="2051" spans="1:11" hidden="1" x14ac:dyDescent="0.3">
      <c r="A2051" s="397" t="s">
        <v>901</v>
      </c>
      <c r="C2051" s="397" t="s">
        <v>1053</v>
      </c>
      <c r="D2051" s="397" t="s">
        <v>2003</v>
      </c>
      <c r="E2051" s="397" t="s">
        <v>2002</v>
      </c>
      <c r="F2051" s="397" t="s">
        <v>191</v>
      </c>
      <c r="G2051" s="396">
        <v>8</v>
      </c>
      <c r="H2051" s="395">
        <v>5529.8180000000002</v>
      </c>
      <c r="I2051" s="394">
        <v>5517.59</v>
      </c>
      <c r="J2051" s="394">
        <v>7899.74</v>
      </c>
      <c r="K2051" s="393" t="s">
        <v>1033</v>
      </c>
    </row>
    <row r="2052" spans="1:11" hidden="1" x14ac:dyDescent="0.3">
      <c r="A2052" s="397" t="s">
        <v>7738</v>
      </c>
      <c r="C2052" s="397" t="s">
        <v>1053</v>
      </c>
      <c r="D2052" s="397" t="s">
        <v>7737</v>
      </c>
      <c r="E2052" s="397" t="s">
        <v>7736</v>
      </c>
      <c r="F2052" s="397" t="s">
        <v>191</v>
      </c>
      <c r="G2052" s="396">
        <v>1</v>
      </c>
      <c r="H2052" s="395">
        <v>8103.1019999999999</v>
      </c>
      <c r="I2052" s="394">
        <v>66.59</v>
      </c>
      <c r="J2052" s="394">
        <v>11575.86</v>
      </c>
      <c r="K2052" s="393" t="s">
        <v>1033</v>
      </c>
    </row>
    <row r="2053" spans="1:11" hidden="1" x14ac:dyDescent="0.3">
      <c r="A2053" s="397" t="s">
        <v>3903</v>
      </c>
      <c r="C2053" s="397" t="s">
        <v>1053</v>
      </c>
      <c r="D2053" s="397" t="s">
        <v>3902</v>
      </c>
      <c r="E2053" s="397" t="s">
        <v>374</v>
      </c>
      <c r="F2053" s="397" t="s">
        <v>191</v>
      </c>
      <c r="G2053" s="396">
        <v>1</v>
      </c>
      <c r="H2053" s="395">
        <v>21446.382999999998</v>
      </c>
      <c r="I2053" s="394">
        <v>62.1</v>
      </c>
      <c r="J2053" s="394">
        <v>30637.690000000002</v>
      </c>
      <c r="K2053" s="393" t="s">
        <v>1033</v>
      </c>
    </row>
    <row r="2054" spans="1:11" hidden="1" x14ac:dyDescent="0.3">
      <c r="A2054" s="397" t="s">
        <v>2532</v>
      </c>
      <c r="C2054" s="397" t="s">
        <v>1053</v>
      </c>
      <c r="D2054" s="397" t="s">
        <v>2531</v>
      </c>
      <c r="E2054" s="397" t="s">
        <v>2035</v>
      </c>
      <c r="F2054" s="397" t="s">
        <v>191</v>
      </c>
      <c r="G2054" s="396">
        <v>9</v>
      </c>
      <c r="H2054" s="395">
        <v>4255.2370000000001</v>
      </c>
      <c r="I2054" s="394">
        <v>337.07</v>
      </c>
      <c r="J2054" s="394">
        <v>6078.91</v>
      </c>
      <c r="K2054" s="393" t="s">
        <v>1033</v>
      </c>
    </row>
    <row r="2055" spans="1:11" hidden="1" x14ac:dyDescent="0.3">
      <c r="A2055" s="397" t="s">
        <v>8105</v>
      </c>
      <c r="C2055" s="397" t="s">
        <v>1053</v>
      </c>
      <c r="D2055" s="397" t="s">
        <v>8104</v>
      </c>
      <c r="E2055" s="397" t="s">
        <v>8052</v>
      </c>
      <c r="F2055" s="397" t="s">
        <v>191</v>
      </c>
      <c r="G2055" s="396">
        <v>2</v>
      </c>
      <c r="H2055" s="395">
        <v>97756.918000000005</v>
      </c>
      <c r="I2055" s="394">
        <v>4101.7299999999996</v>
      </c>
      <c r="J2055" s="394">
        <v>139652.74</v>
      </c>
      <c r="K2055" s="393" t="s">
        <v>1033</v>
      </c>
    </row>
    <row r="2056" spans="1:11" hidden="1" x14ac:dyDescent="0.3">
      <c r="A2056" s="397" t="s">
        <v>6879</v>
      </c>
      <c r="C2056" s="397" t="s">
        <v>1053</v>
      </c>
      <c r="D2056" s="397" t="s">
        <v>6878</v>
      </c>
      <c r="E2056" s="397" t="s">
        <v>6875</v>
      </c>
      <c r="F2056" s="397" t="s">
        <v>191</v>
      </c>
      <c r="G2056" s="396">
        <v>6</v>
      </c>
      <c r="H2056" s="395">
        <v>40515.502999999997</v>
      </c>
      <c r="I2056" s="394">
        <v>106.4</v>
      </c>
      <c r="J2056" s="394">
        <v>57879.29</v>
      </c>
      <c r="K2056" s="393" t="s">
        <v>1033</v>
      </c>
    </row>
    <row r="2057" spans="1:11" hidden="1" x14ac:dyDescent="0.3">
      <c r="A2057" s="397" t="s">
        <v>3251</v>
      </c>
      <c r="C2057" s="397" t="s">
        <v>1053</v>
      </c>
      <c r="D2057" s="397" t="s">
        <v>3250</v>
      </c>
      <c r="E2057" s="397" t="s">
        <v>2083</v>
      </c>
      <c r="F2057" s="397" t="s">
        <v>191</v>
      </c>
      <c r="G2057" s="396">
        <v>4</v>
      </c>
      <c r="H2057" s="395">
        <v>1642.5220000000002</v>
      </c>
      <c r="I2057" s="394">
        <v>1139.26</v>
      </c>
      <c r="J2057" s="394">
        <v>2346.46</v>
      </c>
      <c r="K2057" s="393" t="s">
        <v>1033</v>
      </c>
    </row>
    <row r="2058" spans="1:11" hidden="1" x14ac:dyDescent="0.3">
      <c r="A2058" s="397" t="s">
        <v>6877</v>
      </c>
      <c r="C2058" s="397" t="s">
        <v>1053</v>
      </c>
      <c r="D2058" s="397" t="s">
        <v>6876</v>
      </c>
      <c r="E2058" s="397" t="s">
        <v>6875</v>
      </c>
      <c r="F2058" s="397" t="s">
        <v>191</v>
      </c>
      <c r="G2058" s="396">
        <v>1</v>
      </c>
      <c r="H2058" s="395">
        <v>40515.502999999997</v>
      </c>
      <c r="I2058" s="394">
        <v>72.87</v>
      </c>
      <c r="J2058" s="394">
        <v>57879.29</v>
      </c>
      <c r="K2058" s="393" t="s">
        <v>1033</v>
      </c>
    </row>
    <row r="2059" spans="1:11" hidden="1" x14ac:dyDescent="0.3">
      <c r="A2059" s="397" t="s">
        <v>2802</v>
      </c>
      <c r="C2059" s="397" t="s">
        <v>1053</v>
      </c>
      <c r="D2059" s="397" t="s">
        <v>2801</v>
      </c>
      <c r="E2059" s="397" t="s">
        <v>677</v>
      </c>
      <c r="F2059" s="397" t="s">
        <v>191</v>
      </c>
      <c r="G2059" s="396">
        <v>1</v>
      </c>
      <c r="H2059" s="395">
        <v>39053.595000000001</v>
      </c>
      <c r="I2059" s="394">
        <v>28094.170000000002</v>
      </c>
      <c r="J2059" s="394">
        <v>55790.85</v>
      </c>
      <c r="K2059" s="393" t="s">
        <v>1033</v>
      </c>
    </row>
    <row r="2060" spans="1:11" hidden="1" x14ac:dyDescent="0.3">
      <c r="A2060" s="397" t="s">
        <v>7213</v>
      </c>
      <c r="C2060" s="397" t="s">
        <v>1053</v>
      </c>
      <c r="D2060" s="397" t="s">
        <v>7212</v>
      </c>
      <c r="E2060" s="397" t="s">
        <v>7211</v>
      </c>
      <c r="F2060" s="397" t="s">
        <v>191</v>
      </c>
      <c r="G2060" s="396">
        <v>1</v>
      </c>
      <c r="H2060" s="395">
        <v>123955.545</v>
      </c>
      <c r="I2060" s="394">
        <v>98948.25</v>
      </c>
      <c r="J2060" s="394">
        <v>177079.35</v>
      </c>
      <c r="K2060" s="393" t="s">
        <v>1033</v>
      </c>
    </row>
    <row r="2061" spans="1:11" hidden="1" x14ac:dyDescent="0.3">
      <c r="A2061" s="397" t="s">
        <v>6890</v>
      </c>
      <c r="C2061" s="397" t="s">
        <v>1053</v>
      </c>
      <c r="D2061" s="397" t="s">
        <v>6889</v>
      </c>
      <c r="E2061" s="397" t="s">
        <v>6886</v>
      </c>
      <c r="F2061" s="397" t="s">
        <v>191</v>
      </c>
      <c r="G2061" s="396">
        <v>3</v>
      </c>
      <c r="H2061" s="395">
        <v>3230.29</v>
      </c>
      <c r="I2061" s="394">
        <v>116.43</v>
      </c>
      <c r="J2061" s="394">
        <v>4614.7</v>
      </c>
      <c r="K2061" s="393" t="s">
        <v>1033</v>
      </c>
    </row>
    <row r="2062" spans="1:11" hidden="1" x14ac:dyDescent="0.3">
      <c r="A2062" s="397" t="s">
        <v>7931</v>
      </c>
      <c r="C2062" s="397" t="s">
        <v>1053</v>
      </c>
      <c r="D2062" s="397" t="s">
        <v>7930</v>
      </c>
      <c r="E2062" s="397" t="s">
        <v>7929</v>
      </c>
      <c r="F2062" s="397" t="s">
        <v>191</v>
      </c>
      <c r="G2062" s="396">
        <v>6</v>
      </c>
      <c r="H2062" s="395">
        <v>20940.339</v>
      </c>
      <c r="I2062" s="394">
        <v>20266.080000000002</v>
      </c>
      <c r="J2062" s="394">
        <v>29914.77</v>
      </c>
      <c r="K2062" s="393" t="s">
        <v>1033</v>
      </c>
    </row>
    <row r="2063" spans="1:11" hidden="1" x14ac:dyDescent="0.3">
      <c r="A2063" s="397" t="s">
        <v>6874</v>
      </c>
      <c r="C2063" s="397" t="s">
        <v>1053</v>
      </c>
      <c r="D2063" s="397" t="s">
        <v>6873</v>
      </c>
      <c r="E2063" s="397" t="s">
        <v>6872</v>
      </c>
      <c r="F2063" s="397" t="s">
        <v>191</v>
      </c>
      <c r="G2063" s="396">
        <v>2</v>
      </c>
      <c r="H2063" s="395">
        <v>32795.657999999996</v>
      </c>
      <c r="I2063" s="394">
        <v>1207.75</v>
      </c>
      <c r="J2063" s="394">
        <v>46850.94</v>
      </c>
      <c r="K2063" s="393" t="s">
        <v>1033</v>
      </c>
    </row>
    <row r="2064" spans="1:11" hidden="1" x14ac:dyDescent="0.3">
      <c r="A2064" s="397" t="s">
        <v>2025</v>
      </c>
      <c r="C2064" s="397" t="s">
        <v>1053</v>
      </c>
      <c r="D2064" s="397" t="s">
        <v>2024</v>
      </c>
      <c r="E2064" s="397" t="s">
        <v>717</v>
      </c>
      <c r="F2064" s="397" t="s">
        <v>191</v>
      </c>
      <c r="G2064" s="396">
        <v>2</v>
      </c>
      <c r="H2064" s="395">
        <v>2666.6150000000002</v>
      </c>
      <c r="I2064" s="394">
        <v>232.01</v>
      </c>
      <c r="J2064" s="394">
        <v>3809.4500000000003</v>
      </c>
      <c r="K2064" s="393" t="s">
        <v>1033</v>
      </c>
    </row>
    <row r="2065" spans="1:11" hidden="1" x14ac:dyDescent="0.3">
      <c r="A2065" s="397" t="s">
        <v>4704</v>
      </c>
      <c r="C2065" s="397" t="s">
        <v>1053</v>
      </c>
      <c r="D2065" s="397" t="s">
        <v>4703</v>
      </c>
      <c r="E2065" s="397" t="s">
        <v>4702</v>
      </c>
      <c r="F2065" s="397" t="s">
        <v>191</v>
      </c>
      <c r="G2065" s="396">
        <v>6</v>
      </c>
      <c r="H2065" s="395">
        <v>27914.340999999997</v>
      </c>
      <c r="I2065" s="394">
        <v>6989.4000000000005</v>
      </c>
      <c r="J2065" s="394">
        <v>39877.629999999997</v>
      </c>
      <c r="K2065" s="393" t="s">
        <v>1033</v>
      </c>
    </row>
    <row r="2066" spans="1:11" hidden="1" x14ac:dyDescent="0.3">
      <c r="A2066" s="397" t="s">
        <v>6885</v>
      </c>
      <c r="C2066" s="397" t="s">
        <v>1053</v>
      </c>
      <c r="D2066" s="397" t="s">
        <v>6884</v>
      </c>
      <c r="E2066" s="397" t="s">
        <v>2035</v>
      </c>
      <c r="F2066" s="397" t="s">
        <v>191</v>
      </c>
      <c r="G2066" s="396">
        <v>1</v>
      </c>
      <c r="H2066" s="395">
        <v>3744.6080000000002</v>
      </c>
      <c r="I2066" s="394">
        <v>4.54</v>
      </c>
      <c r="J2066" s="394">
        <v>5349.4400000000005</v>
      </c>
      <c r="K2066" s="393" t="s">
        <v>1033</v>
      </c>
    </row>
    <row r="2067" spans="1:11" hidden="1" x14ac:dyDescent="0.3">
      <c r="A2067" s="397" t="s">
        <v>6464</v>
      </c>
      <c r="C2067" s="397" t="s">
        <v>1053</v>
      </c>
      <c r="D2067" s="397" t="s">
        <v>6463</v>
      </c>
      <c r="E2067" s="397" t="s">
        <v>6462</v>
      </c>
      <c r="F2067" s="397" t="s">
        <v>191</v>
      </c>
      <c r="G2067" s="396">
        <v>2</v>
      </c>
      <c r="H2067" s="395">
        <v>4255.2370000000001</v>
      </c>
      <c r="I2067" s="394">
        <v>921.46</v>
      </c>
      <c r="J2067" s="394">
        <v>6078.91</v>
      </c>
      <c r="K2067" s="393" t="s">
        <v>1033</v>
      </c>
    </row>
    <row r="2068" spans="1:11" hidden="1" x14ac:dyDescent="0.3">
      <c r="A2068" s="397" t="s">
        <v>2244</v>
      </c>
      <c r="C2068" s="397" t="s">
        <v>1053</v>
      </c>
      <c r="D2068" s="397" t="s">
        <v>2243</v>
      </c>
      <c r="E2068" s="397" t="s">
        <v>2240</v>
      </c>
      <c r="F2068" s="397" t="s">
        <v>191</v>
      </c>
      <c r="G2068" s="396">
        <v>2</v>
      </c>
      <c r="H2068" s="395">
        <v>27971.076000000001</v>
      </c>
      <c r="I2068" s="394">
        <v>5588.03</v>
      </c>
      <c r="J2068" s="394">
        <v>39958.68</v>
      </c>
      <c r="K2068" s="393" t="s">
        <v>1033</v>
      </c>
    </row>
    <row r="2069" spans="1:11" hidden="1" x14ac:dyDescent="0.3">
      <c r="A2069" s="397" t="s">
        <v>3417</v>
      </c>
      <c r="C2069" s="397" t="s">
        <v>1053</v>
      </c>
      <c r="D2069" s="397" t="s">
        <v>3416</v>
      </c>
      <c r="E2069" s="397" t="s">
        <v>501</v>
      </c>
      <c r="F2069" s="397" t="s">
        <v>191</v>
      </c>
      <c r="G2069" s="396">
        <v>2</v>
      </c>
      <c r="H2069" s="395">
        <v>2042.5160000000001</v>
      </c>
      <c r="I2069" s="394">
        <v>934.61</v>
      </c>
      <c r="J2069" s="394">
        <v>2917.88</v>
      </c>
      <c r="K2069" s="393" t="s">
        <v>1033</v>
      </c>
    </row>
    <row r="2070" spans="1:11" hidden="1" x14ac:dyDescent="0.3">
      <c r="A2070" s="397" t="s">
        <v>7631</v>
      </c>
      <c r="C2070" s="397" t="s">
        <v>1053</v>
      </c>
      <c r="D2070" s="397" t="s">
        <v>7630</v>
      </c>
      <c r="E2070" s="397" t="s">
        <v>7629</v>
      </c>
      <c r="F2070" s="397" t="s">
        <v>191</v>
      </c>
      <c r="G2070" s="396">
        <v>2</v>
      </c>
      <c r="H2070" s="395">
        <v>4372.4520000000002</v>
      </c>
      <c r="I2070" s="394">
        <v>501.13</v>
      </c>
      <c r="J2070" s="394">
        <v>6246.3600000000006</v>
      </c>
      <c r="K2070" s="393" t="s">
        <v>1033</v>
      </c>
    </row>
    <row r="2071" spans="1:11" hidden="1" x14ac:dyDescent="0.3">
      <c r="A2071" s="397" t="s">
        <v>3430</v>
      </c>
      <c r="C2071" s="397" t="s">
        <v>1053</v>
      </c>
      <c r="D2071" s="397" t="s">
        <v>3429</v>
      </c>
      <c r="E2071" s="397" t="s">
        <v>2035</v>
      </c>
      <c r="F2071" s="397" t="s">
        <v>191</v>
      </c>
      <c r="G2071" s="396">
        <v>1</v>
      </c>
      <c r="H2071" s="395">
        <v>12.432</v>
      </c>
      <c r="I2071" s="394">
        <v>19.399999999999999</v>
      </c>
      <c r="J2071" s="394">
        <v>17.760000000000002</v>
      </c>
      <c r="K2071" s="393" t="s">
        <v>1033</v>
      </c>
    </row>
    <row r="2072" spans="1:11" hidden="1" x14ac:dyDescent="0.3">
      <c r="A2072" s="397" t="s">
        <v>6158</v>
      </c>
      <c r="C2072" s="397" t="s">
        <v>1053</v>
      </c>
      <c r="D2072" s="397" t="s">
        <v>6157</v>
      </c>
      <c r="E2072" s="397" t="s">
        <v>6156</v>
      </c>
      <c r="F2072" s="397" t="s">
        <v>191</v>
      </c>
      <c r="G2072" s="396">
        <v>2</v>
      </c>
      <c r="H2072" s="395">
        <v>20533.03</v>
      </c>
      <c r="I2072" s="394">
        <v>14649.27</v>
      </c>
      <c r="J2072" s="394">
        <v>29332.9</v>
      </c>
      <c r="K2072" s="393" t="s">
        <v>1033</v>
      </c>
    </row>
    <row r="2073" spans="1:11" hidden="1" x14ac:dyDescent="0.3">
      <c r="A2073" s="397" t="s">
        <v>2015</v>
      </c>
      <c r="C2073" s="397" t="s">
        <v>1053</v>
      </c>
      <c r="D2073" s="397" t="s">
        <v>2014</v>
      </c>
      <c r="E2073" s="397" t="s">
        <v>717</v>
      </c>
      <c r="F2073" s="397" t="s">
        <v>191</v>
      </c>
      <c r="G2073" s="396">
        <v>7</v>
      </c>
      <c r="H2073" s="395">
        <v>3285.0440000000003</v>
      </c>
      <c r="I2073" s="394">
        <v>98.76</v>
      </c>
      <c r="J2073" s="394">
        <v>4692.92</v>
      </c>
      <c r="K2073" s="393" t="s">
        <v>1033</v>
      </c>
    </row>
    <row r="2074" spans="1:11" hidden="1" x14ac:dyDescent="0.3">
      <c r="A2074" s="397" t="s">
        <v>7954</v>
      </c>
      <c r="C2074" s="397" t="s">
        <v>1053</v>
      </c>
      <c r="D2074" s="397" t="s">
        <v>8109</v>
      </c>
      <c r="E2074" s="397" t="s">
        <v>8108</v>
      </c>
      <c r="F2074" s="397" t="s">
        <v>191</v>
      </c>
      <c r="G2074" s="396">
        <v>3</v>
      </c>
      <c r="H2074" s="395">
        <v>106271.07400000001</v>
      </c>
      <c r="I2074" s="394">
        <v>50056.83</v>
      </c>
      <c r="J2074" s="394">
        <v>151815.82</v>
      </c>
      <c r="K2074" s="393" t="s">
        <v>1033</v>
      </c>
    </row>
    <row r="2075" spans="1:11" hidden="1" x14ac:dyDescent="0.3">
      <c r="A2075" s="397" t="s">
        <v>7954</v>
      </c>
      <c r="C2075" s="397" t="s">
        <v>1053</v>
      </c>
      <c r="D2075" s="397" t="s">
        <v>7953</v>
      </c>
      <c r="E2075" s="397" t="s">
        <v>7952</v>
      </c>
      <c r="F2075" s="397" t="s">
        <v>191</v>
      </c>
      <c r="G2075" s="396">
        <v>8</v>
      </c>
      <c r="H2075" s="395">
        <v>6843.8369999999995</v>
      </c>
      <c r="I2075" s="394">
        <v>6698.97</v>
      </c>
      <c r="J2075" s="394">
        <v>9776.91</v>
      </c>
      <c r="K2075" s="393" t="s">
        <v>1033</v>
      </c>
    </row>
    <row r="2076" spans="1:11" hidden="1" x14ac:dyDescent="0.3">
      <c r="A2076" s="397" t="s">
        <v>7240</v>
      </c>
      <c r="C2076" s="397" t="s">
        <v>1053</v>
      </c>
      <c r="D2076" s="397" t="s">
        <v>7239</v>
      </c>
      <c r="E2076" s="397" t="s">
        <v>374</v>
      </c>
      <c r="F2076" s="397" t="s">
        <v>191</v>
      </c>
      <c r="G2076" s="396">
        <v>4</v>
      </c>
      <c r="H2076" s="395">
        <v>4872.8119999999999</v>
      </c>
      <c r="I2076" s="394">
        <v>4637.09</v>
      </c>
      <c r="J2076" s="394">
        <v>6961.16</v>
      </c>
      <c r="K2076" s="393" t="s">
        <v>1033</v>
      </c>
    </row>
    <row r="2077" spans="1:11" hidden="1" x14ac:dyDescent="0.3">
      <c r="A2077" s="397" t="s">
        <v>2013</v>
      </c>
      <c r="C2077" s="397" t="s">
        <v>1053</v>
      </c>
      <c r="D2077" s="397" t="s">
        <v>2012</v>
      </c>
      <c r="E2077" s="397" t="s">
        <v>717</v>
      </c>
      <c r="F2077" s="397" t="s">
        <v>191</v>
      </c>
      <c r="G2077" s="396">
        <v>8</v>
      </c>
      <c r="H2077" s="395">
        <v>4765.866</v>
      </c>
      <c r="I2077" s="394">
        <v>430.08</v>
      </c>
      <c r="J2077" s="394">
        <v>6808.38</v>
      </c>
      <c r="K2077" s="393" t="s">
        <v>1033</v>
      </c>
    </row>
    <row r="2078" spans="1:11" hidden="1" x14ac:dyDescent="0.3">
      <c r="A2078" s="397" t="s">
        <v>6871</v>
      </c>
      <c r="C2078" s="397" t="s">
        <v>1053</v>
      </c>
      <c r="D2078" s="397" t="s">
        <v>6870</v>
      </c>
      <c r="E2078" s="397" t="s">
        <v>6869</v>
      </c>
      <c r="F2078" s="397" t="s">
        <v>191</v>
      </c>
      <c r="G2078" s="396">
        <v>6</v>
      </c>
      <c r="H2078" s="395">
        <v>16370.451999999999</v>
      </c>
      <c r="I2078" s="394">
        <v>103.2</v>
      </c>
      <c r="J2078" s="394">
        <v>23386.36</v>
      </c>
      <c r="K2078" s="393" t="s">
        <v>1033</v>
      </c>
    </row>
    <row r="2079" spans="1:11" hidden="1" x14ac:dyDescent="0.3">
      <c r="A2079" s="397" t="s">
        <v>2485</v>
      </c>
      <c r="C2079" s="397" t="s">
        <v>1053</v>
      </c>
      <c r="D2079" s="397" t="s">
        <v>2484</v>
      </c>
      <c r="E2079" s="397" t="s">
        <v>2483</v>
      </c>
      <c r="F2079" s="397" t="s">
        <v>191</v>
      </c>
      <c r="G2079" s="396">
        <v>8</v>
      </c>
      <c r="H2079" s="395">
        <v>2042.5160000000001</v>
      </c>
      <c r="I2079" s="394">
        <v>361.84000000000003</v>
      </c>
      <c r="J2079" s="394">
        <v>2917.88</v>
      </c>
      <c r="K2079" s="393" t="s">
        <v>1033</v>
      </c>
    </row>
    <row r="2080" spans="1:11" hidden="1" x14ac:dyDescent="0.3">
      <c r="A2080" s="397" t="s">
        <v>2065</v>
      </c>
      <c r="C2080" s="397" t="s">
        <v>1053</v>
      </c>
      <c r="D2080" s="397" t="s">
        <v>2064</v>
      </c>
      <c r="E2080" s="397" t="s">
        <v>676</v>
      </c>
      <c r="F2080" s="397" t="s">
        <v>191</v>
      </c>
      <c r="G2080" s="396">
        <v>2</v>
      </c>
      <c r="H2080" s="395">
        <v>2409.029</v>
      </c>
      <c r="I2080" s="394">
        <v>1099.54</v>
      </c>
      <c r="J2080" s="394">
        <v>3441.4700000000003</v>
      </c>
      <c r="K2080" s="393" t="s">
        <v>1033</v>
      </c>
    </row>
    <row r="2081" spans="1:12" hidden="1" x14ac:dyDescent="0.3">
      <c r="A2081" s="397" t="s">
        <v>2472</v>
      </c>
      <c r="C2081" s="397" t="s">
        <v>1053</v>
      </c>
      <c r="D2081" s="397" t="s">
        <v>2475</v>
      </c>
      <c r="E2081" s="397" t="s">
        <v>2035</v>
      </c>
      <c r="F2081" s="397" t="s">
        <v>191</v>
      </c>
      <c r="G2081" s="396">
        <v>2</v>
      </c>
      <c r="H2081" s="395">
        <v>11552.393999999998</v>
      </c>
      <c r="I2081" s="394">
        <v>10927.56</v>
      </c>
      <c r="J2081" s="394">
        <v>16503.419999999998</v>
      </c>
      <c r="K2081" s="393" t="s">
        <v>1033</v>
      </c>
    </row>
    <row r="2082" spans="1:12" hidden="1" x14ac:dyDescent="0.3">
      <c r="A2082" s="397" t="s">
        <v>2472</v>
      </c>
      <c r="C2082" s="397" t="s">
        <v>1053</v>
      </c>
      <c r="D2082" s="397" t="s">
        <v>2471</v>
      </c>
      <c r="E2082" s="397" t="s">
        <v>2035</v>
      </c>
      <c r="F2082" s="397" t="s">
        <v>191</v>
      </c>
      <c r="G2082" s="396">
        <v>2</v>
      </c>
      <c r="H2082" s="395">
        <v>11552.393999999998</v>
      </c>
      <c r="I2082" s="394">
        <v>10927.56</v>
      </c>
      <c r="J2082" s="394">
        <v>16503.419999999998</v>
      </c>
      <c r="K2082" s="393" t="s">
        <v>1033</v>
      </c>
    </row>
    <row r="2083" spans="1:12" hidden="1" x14ac:dyDescent="0.3">
      <c r="A2083" s="397" t="s">
        <v>2766</v>
      </c>
      <c r="C2083" s="397" t="s">
        <v>1053</v>
      </c>
      <c r="D2083" s="397" t="s">
        <v>2765</v>
      </c>
      <c r="E2083" s="397" t="s">
        <v>2764</v>
      </c>
      <c r="F2083" s="397" t="s">
        <v>191</v>
      </c>
      <c r="G2083" s="396">
        <v>1</v>
      </c>
      <c r="H2083" s="395">
        <v>123955.545</v>
      </c>
      <c r="I2083" s="394">
        <v>28386.720000000001</v>
      </c>
      <c r="J2083" s="394">
        <v>177079.35</v>
      </c>
      <c r="K2083" s="393" t="s">
        <v>1033</v>
      </c>
    </row>
    <row r="2084" spans="1:12" hidden="1" x14ac:dyDescent="0.3">
      <c r="A2084" s="397" t="s">
        <v>2696</v>
      </c>
      <c r="C2084" s="397" t="s">
        <v>1053</v>
      </c>
      <c r="D2084" s="397" t="s">
        <v>2695</v>
      </c>
      <c r="E2084" s="397" t="s">
        <v>2685</v>
      </c>
      <c r="F2084" s="397" t="s">
        <v>191</v>
      </c>
      <c r="G2084" s="396">
        <v>1</v>
      </c>
      <c r="H2084" s="395">
        <v>10566.885</v>
      </c>
      <c r="I2084" s="394">
        <v>7670.88</v>
      </c>
      <c r="J2084" s="394">
        <v>15095.550000000001</v>
      </c>
      <c r="K2084" s="393" t="s">
        <v>1033</v>
      </c>
    </row>
    <row r="2085" spans="1:12" hidden="1" x14ac:dyDescent="0.3">
      <c r="A2085" s="397" t="s">
        <v>6456</v>
      </c>
      <c r="C2085" s="397" t="s">
        <v>1053</v>
      </c>
      <c r="D2085" s="397" t="s">
        <v>6455</v>
      </c>
      <c r="E2085" s="397" t="s">
        <v>6454</v>
      </c>
      <c r="F2085" s="397" t="s">
        <v>191</v>
      </c>
      <c r="G2085" s="396">
        <v>1</v>
      </c>
      <c r="H2085" s="395">
        <v>94528.574000000008</v>
      </c>
      <c r="I2085" s="394">
        <v>70410.95</v>
      </c>
      <c r="J2085" s="394">
        <v>135040.82</v>
      </c>
      <c r="K2085" s="393" t="s">
        <v>1033</v>
      </c>
    </row>
    <row r="2086" spans="1:12" hidden="1" x14ac:dyDescent="0.3">
      <c r="A2086" s="397" t="s">
        <v>3130</v>
      </c>
      <c r="C2086" s="397" t="s">
        <v>1053</v>
      </c>
      <c r="D2086" s="397" t="s">
        <v>3129</v>
      </c>
      <c r="E2086" s="397" t="s">
        <v>2041</v>
      </c>
      <c r="F2086" s="397" t="s">
        <v>191</v>
      </c>
      <c r="G2086" s="396">
        <v>3</v>
      </c>
      <c r="H2086" s="395">
        <v>5037.0600000000004</v>
      </c>
      <c r="I2086" s="394">
        <v>2281.5500000000002</v>
      </c>
      <c r="J2086" s="394">
        <v>7195.8</v>
      </c>
      <c r="K2086" s="393" t="s">
        <v>1033</v>
      </c>
    </row>
    <row r="2087" spans="1:12" hidden="1" x14ac:dyDescent="0.3">
      <c r="A2087" s="397" t="s">
        <v>6881</v>
      </c>
      <c r="C2087" s="397" t="s">
        <v>1053</v>
      </c>
      <c r="D2087" s="397" t="s">
        <v>6880</v>
      </c>
      <c r="E2087" s="397" t="s">
        <v>6875</v>
      </c>
      <c r="F2087" s="397" t="s">
        <v>191</v>
      </c>
      <c r="G2087" s="396">
        <v>1</v>
      </c>
      <c r="H2087" s="395">
        <v>9471.8680000000004</v>
      </c>
      <c r="I2087" s="394">
        <v>232.77</v>
      </c>
      <c r="J2087" s="394">
        <v>13531.24</v>
      </c>
      <c r="K2087" s="393" t="s">
        <v>1033</v>
      </c>
    </row>
    <row r="2088" spans="1:12" hidden="1" x14ac:dyDescent="0.3">
      <c r="A2088" s="397" t="s">
        <v>5761</v>
      </c>
      <c r="C2088" s="397" t="s">
        <v>1053</v>
      </c>
      <c r="D2088" s="397" t="s">
        <v>5760</v>
      </c>
      <c r="E2088" s="397" t="s">
        <v>471</v>
      </c>
      <c r="F2088" s="397" t="s">
        <v>191</v>
      </c>
      <c r="G2088" s="396">
        <v>2</v>
      </c>
      <c r="H2088" s="395">
        <v>28869.876</v>
      </c>
      <c r="I2088" s="394">
        <v>176.9</v>
      </c>
      <c r="J2088" s="394">
        <v>41242.68</v>
      </c>
      <c r="K2088" s="393" t="s">
        <v>1033</v>
      </c>
    </row>
    <row r="2089" spans="1:12" hidden="1" x14ac:dyDescent="0.3">
      <c r="A2089" s="397" t="s">
        <v>2087</v>
      </c>
      <c r="C2089" s="397" t="s">
        <v>1053</v>
      </c>
      <c r="D2089" s="397" t="s">
        <v>2086</v>
      </c>
      <c r="E2089" s="397" t="s">
        <v>676</v>
      </c>
      <c r="F2089" s="397" t="s">
        <v>191</v>
      </c>
      <c r="G2089" s="396">
        <v>45</v>
      </c>
      <c r="H2089" s="395">
        <v>1475.145</v>
      </c>
      <c r="I2089" s="394">
        <v>10.64</v>
      </c>
      <c r="J2089" s="394">
        <v>2107.35</v>
      </c>
      <c r="K2089" s="393" t="s">
        <v>1033</v>
      </c>
    </row>
    <row r="2090" spans="1:12" hidden="1" x14ac:dyDescent="0.3">
      <c r="A2090" s="397" t="s">
        <v>7169</v>
      </c>
      <c r="C2090" s="397" t="s">
        <v>1053</v>
      </c>
      <c r="D2090" s="397" t="s">
        <v>7168</v>
      </c>
      <c r="E2090" s="397" t="s">
        <v>2486</v>
      </c>
      <c r="F2090" s="397" t="s">
        <v>191</v>
      </c>
      <c r="G2090" s="396">
        <v>2</v>
      </c>
      <c r="H2090" s="395">
        <v>2682.7849999999999</v>
      </c>
      <c r="I2090" s="394">
        <v>2483.88</v>
      </c>
      <c r="J2090" s="394">
        <v>3832.55</v>
      </c>
      <c r="K2090" s="393" t="s">
        <v>1033</v>
      </c>
    </row>
    <row r="2091" spans="1:12" hidden="1" x14ac:dyDescent="0.3">
      <c r="A2091" s="397" t="s">
        <v>3116</v>
      </c>
      <c r="C2091" s="397" t="s">
        <v>1053</v>
      </c>
      <c r="D2091" s="397" t="s">
        <v>3115</v>
      </c>
      <c r="E2091" s="397" t="s">
        <v>2041</v>
      </c>
      <c r="F2091" s="397" t="s">
        <v>191</v>
      </c>
      <c r="G2091" s="396">
        <v>10</v>
      </c>
      <c r="H2091" s="395">
        <v>2135.2800000000002</v>
      </c>
      <c r="I2091" s="394">
        <v>278.19</v>
      </c>
      <c r="J2091" s="394">
        <v>3050.4</v>
      </c>
      <c r="K2091" s="393" t="s">
        <v>1033</v>
      </c>
    </row>
    <row r="2092" spans="1:12" hidden="1" x14ac:dyDescent="0.3">
      <c r="A2092" s="397" t="s">
        <v>2616</v>
      </c>
      <c r="C2092" s="397" t="s">
        <v>1053</v>
      </c>
      <c r="D2092" s="397" t="s">
        <v>2615</v>
      </c>
      <c r="E2092" s="397" t="s">
        <v>553</v>
      </c>
      <c r="F2092" s="397" t="s">
        <v>191</v>
      </c>
      <c r="G2092" s="396">
        <v>8</v>
      </c>
      <c r="H2092" s="395">
        <v>2299.5279999999998</v>
      </c>
      <c r="I2092" s="394">
        <v>559.75</v>
      </c>
      <c r="J2092" s="394">
        <v>3285.04</v>
      </c>
      <c r="K2092" s="393" t="s">
        <v>1033</v>
      </c>
    </row>
    <row r="2093" spans="1:12" hidden="1" x14ac:dyDescent="0.3">
      <c r="A2093" s="397" t="s">
        <v>2800</v>
      </c>
      <c r="C2093" s="397" t="s">
        <v>1053</v>
      </c>
      <c r="D2093" s="397" t="s">
        <v>2799</v>
      </c>
      <c r="E2093" s="397" t="s">
        <v>677</v>
      </c>
      <c r="F2093" s="397" t="s">
        <v>191</v>
      </c>
      <c r="G2093" s="396">
        <v>1</v>
      </c>
      <c r="H2093" s="395">
        <v>31755.395</v>
      </c>
      <c r="I2093" s="394">
        <v>23577.79</v>
      </c>
      <c r="J2093" s="394">
        <v>45364.85</v>
      </c>
      <c r="K2093" s="393" t="s">
        <v>1033</v>
      </c>
    </row>
    <row r="2094" spans="1:12" hidden="1" x14ac:dyDescent="0.3">
      <c r="A2094" s="397" t="s">
        <v>7006</v>
      </c>
      <c r="C2094" s="397" t="s">
        <v>1053</v>
      </c>
      <c r="D2094" s="397" t="s">
        <v>7005</v>
      </c>
      <c r="E2094" s="397" t="s">
        <v>6992</v>
      </c>
      <c r="F2094" s="397" t="s">
        <v>191</v>
      </c>
      <c r="G2094" s="396">
        <v>1</v>
      </c>
      <c r="H2094" s="395">
        <v>46921.335999999996</v>
      </c>
      <c r="I2094" s="394">
        <v>46815.93</v>
      </c>
      <c r="J2094" s="394">
        <v>67030.48</v>
      </c>
      <c r="K2094" s="393" t="s">
        <v>1033</v>
      </c>
    </row>
    <row r="2095" spans="1:12" hidden="1" x14ac:dyDescent="0.3">
      <c r="A2095" s="397" t="s">
        <v>2804</v>
      </c>
      <c r="C2095" s="397" t="s">
        <v>1053</v>
      </c>
      <c r="D2095" s="397" t="s">
        <v>2803</v>
      </c>
      <c r="E2095" s="397" t="s">
        <v>677</v>
      </c>
      <c r="F2095" s="397" t="s">
        <v>191</v>
      </c>
      <c r="G2095" s="396">
        <v>1</v>
      </c>
      <c r="H2095" s="395">
        <v>36505.287000000004</v>
      </c>
      <c r="I2095" s="394">
        <v>3082.82</v>
      </c>
      <c r="J2095" s="394">
        <v>52150.41</v>
      </c>
      <c r="K2095" s="393" t="s">
        <v>1033</v>
      </c>
    </row>
    <row r="2096" spans="1:12" hidden="1" x14ac:dyDescent="0.3">
      <c r="A2096" s="397" t="s">
        <v>7139</v>
      </c>
      <c r="C2096" s="397" t="s">
        <v>1053</v>
      </c>
      <c r="D2096" s="397" t="s">
        <v>7138</v>
      </c>
      <c r="E2096" s="397" t="s">
        <v>484</v>
      </c>
      <c r="F2096" s="397" t="s">
        <v>191</v>
      </c>
      <c r="G2096" s="396">
        <v>3</v>
      </c>
      <c r="H2096" s="395">
        <v>94379.138000000006</v>
      </c>
      <c r="I2096" s="394">
        <v>89149.6</v>
      </c>
      <c r="J2096" s="394">
        <v>134827.34</v>
      </c>
      <c r="K2096" s="393" t="s">
        <v>1033</v>
      </c>
      <c r="L2096" s="395">
        <v>2</v>
      </c>
    </row>
    <row r="2097" spans="1:12" hidden="1" x14ac:dyDescent="0.3">
      <c r="A2097" s="397" t="s">
        <v>2809</v>
      </c>
      <c r="C2097" s="397" t="s">
        <v>1053</v>
      </c>
      <c r="D2097" s="397" t="s">
        <v>2808</v>
      </c>
      <c r="E2097" s="397" t="s">
        <v>677</v>
      </c>
      <c r="F2097" s="397" t="s">
        <v>191</v>
      </c>
      <c r="G2097" s="396">
        <v>1</v>
      </c>
      <c r="H2097" s="395">
        <v>61929.105000000003</v>
      </c>
      <c r="I2097" s="394">
        <v>45951.22</v>
      </c>
      <c r="J2097" s="394">
        <v>88470.150000000009</v>
      </c>
      <c r="K2097" s="393" t="s">
        <v>1033</v>
      </c>
      <c r="L2097" s="395">
        <v>1</v>
      </c>
    </row>
    <row r="2098" spans="1:12" hidden="1" x14ac:dyDescent="0.3">
      <c r="A2098" s="397" t="s">
        <v>2768</v>
      </c>
      <c r="C2098" s="397" t="s">
        <v>1053</v>
      </c>
      <c r="D2098" s="397" t="s">
        <v>2767</v>
      </c>
      <c r="E2098" s="397" t="s">
        <v>2754</v>
      </c>
      <c r="F2098" s="397" t="s">
        <v>191</v>
      </c>
      <c r="G2098" s="396">
        <v>1</v>
      </c>
      <c r="H2098" s="395">
        <v>148921.85699999999</v>
      </c>
      <c r="I2098" s="394">
        <v>34218.1</v>
      </c>
      <c r="J2098" s="394">
        <v>212745.51</v>
      </c>
      <c r="K2098" s="393" t="s">
        <v>1033</v>
      </c>
    </row>
    <row r="2099" spans="1:12" hidden="1" x14ac:dyDescent="0.3">
      <c r="A2099" s="397" t="s">
        <v>6655</v>
      </c>
      <c r="C2099" s="397" t="s">
        <v>1053</v>
      </c>
      <c r="D2099" s="397" t="s">
        <v>6654</v>
      </c>
      <c r="E2099" s="397" t="s">
        <v>6653</v>
      </c>
      <c r="F2099" s="397" t="s">
        <v>191</v>
      </c>
      <c r="G2099" s="396">
        <v>2</v>
      </c>
      <c r="H2099" s="395">
        <v>7695.5130000000008</v>
      </c>
      <c r="I2099" s="394">
        <v>7321.34</v>
      </c>
      <c r="J2099" s="394">
        <v>10993.59</v>
      </c>
      <c r="K2099" s="393" t="s">
        <v>1033</v>
      </c>
    </row>
    <row r="2100" spans="1:12" hidden="1" x14ac:dyDescent="0.3">
      <c r="A2100" s="397" t="s">
        <v>7141</v>
      </c>
      <c r="C2100" s="397" t="s">
        <v>1053</v>
      </c>
      <c r="D2100" s="397" t="s">
        <v>7140</v>
      </c>
      <c r="E2100" s="397" t="s">
        <v>484</v>
      </c>
      <c r="F2100" s="397" t="s">
        <v>191</v>
      </c>
      <c r="G2100" s="396">
        <v>1</v>
      </c>
      <c r="H2100" s="395">
        <v>117348.66500000001</v>
      </c>
      <c r="I2100" s="394">
        <v>117.78</v>
      </c>
      <c r="J2100" s="394">
        <v>167640.95000000001</v>
      </c>
      <c r="K2100" s="393" t="s">
        <v>1033</v>
      </c>
    </row>
    <row r="2101" spans="1:12" hidden="1" x14ac:dyDescent="0.3">
      <c r="A2101" s="397" t="s">
        <v>6708</v>
      </c>
      <c r="C2101" s="397" t="s">
        <v>1053</v>
      </c>
      <c r="D2101" s="397" t="s">
        <v>6707</v>
      </c>
      <c r="E2101" s="397" t="s">
        <v>6706</v>
      </c>
      <c r="F2101" s="397" t="s">
        <v>191</v>
      </c>
      <c r="G2101" s="396">
        <v>1</v>
      </c>
      <c r="H2101" s="395">
        <v>906.20600000000013</v>
      </c>
      <c r="I2101" s="394">
        <v>443.91</v>
      </c>
      <c r="J2101" s="394">
        <v>1294.58</v>
      </c>
      <c r="K2101" s="393" t="s">
        <v>1033</v>
      </c>
    </row>
    <row r="2102" spans="1:12" hidden="1" x14ac:dyDescent="0.3">
      <c r="A2102" s="397" t="s">
        <v>2777</v>
      </c>
      <c r="C2102" s="397" t="s">
        <v>1053</v>
      </c>
      <c r="D2102" s="397" t="s">
        <v>691</v>
      </c>
      <c r="E2102" s="397" t="s">
        <v>677</v>
      </c>
      <c r="F2102" s="397" t="s">
        <v>191</v>
      </c>
      <c r="G2102" s="396">
        <v>5</v>
      </c>
      <c r="H2102" s="395">
        <v>71569.574999999997</v>
      </c>
      <c r="I2102" s="394">
        <v>62124.270000000004</v>
      </c>
      <c r="J2102" s="394">
        <v>102242.25</v>
      </c>
      <c r="K2102" s="393" t="s">
        <v>1033</v>
      </c>
    </row>
    <row r="2103" spans="1:12" hidden="1" x14ac:dyDescent="0.3">
      <c r="A2103" s="397" t="s">
        <v>7128</v>
      </c>
      <c r="C2103" s="397" t="s">
        <v>1053</v>
      </c>
      <c r="D2103" s="397" t="s">
        <v>7127</v>
      </c>
      <c r="E2103" s="397" t="s">
        <v>7126</v>
      </c>
      <c r="F2103" s="397" t="s">
        <v>191</v>
      </c>
      <c r="G2103" s="396">
        <v>3</v>
      </c>
      <c r="H2103" s="395">
        <v>26882.582999999999</v>
      </c>
      <c r="I2103" s="394">
        <v>26150.02</v>
      </c>
      <c r="J2103" s="394">
        <v>38403.69</v>
      </c>
      <c r="K2103" s="393" t="s">
        <v>1033</v>
      </c>
      <c r="L2103" s="395">
        <v>1</v>
      </c>
    </row>
    <row r="2104" spans="1:12" hidden="1" x14ac:dyDescent="0.3">
      <c r="A2104" s="397" t="s">
        <v>7143</v>
      </c>
      <c r="C2104" s="397" t="s">
        <v>1053</v>
      </c>
      <c r="D2104" s="397" t="s">
        <v>7142</v>
      </c>
      <c r="E2104" s="397" t="s">
        <v>484</v>
      </c>
      <c r="F2104" s="397" t="s">
        <v>191</v>
      </c>
      <c r="G2104" s="396">
        <v>1</v>
      </c>
      <c r="H2104" s="395">
        <v>103162.64</v>
      </c>
      <c r="J2104" s="394">
        <v>147375.20000000001</v>
      </c>
      <c r="K2104" s="393" t="s">
        <v>1033</v>
      </c>
    </row>
    <row r="2105" spans="1:12" hidden="1" x14ac:dyDescent="0.3">
      <c r="A2105" s="397" t="s">
        <v>2251</v>
      </c>
      <c r="C2105" s="397" t="s">
        <v>1053</v>
      </c>
      <c r="D2105" s="397" t="s">
        <v>2250</v>
      </c>
      <c r="E2105" s="397" t="s">
        <v>2249</v>
      </c>
      <c r="F2105" s="397" t="s">
        <v>191</v>
      </c>
      <c r="G2105" s="396">
        <v>2</v>
      </c>
      <c r="H2105" s="395">
        <v>2666.6150000000002</v>
      </c>
      <c r="I2105" s="394">
        <v>3.0700000000000003</v>
      </c>
      <c r="J2105" s="394">
        <v>3809.4500000000003</v>
      </c>
      <c r="K2105" s="393" t="s">
        <v>1033</v>
      </c>
    </row>
    <row r="2106" spans="1:12" hidden="1" x14ac:dyDescent="0.3">
      <c r="A2106" s="397" t="s">
        <v>2258</v>
      </c>
      <c r="C2106" s="397" t="s">
        <v>1053</v>
      </c>
      <c r="D2106" s="397" t="s">
        <v>2257</v>
      </c>
      <c r="E2106" s="397" t="s">
        <v>2035</v>
      </c>
      <c r="F2106" s="397" t="s">
        <v>191</v>
      </c>
      <c r="G2106" s="396">
        <v>7</v>
      </c>
      <c r="H2106" s="395">
        <v>6231.085</v>
      </c>
      <c r="I2106" s="394">
        <v>5925.57</v>
      </c>
      <c r="J2106" s="394">
        <v>8901.5499999999993</v>
      </c>
      <c r="K2106" s="393" t="s">
        <v>1033</v>
      </c>
    </row>
    <row r="2107" spans="1:12" hidden="1" x14ac:dyDescent="0.3">
      <c r="A2107" s="397" t="s">
        <v>2256</v>
      </c>
      <c r="C2107" s="397" t="s">
        <v>1053</v>
      </c>
      <c r="D2107" s="397" t="s">
        <v>2255</v>
      </c>
      <c r="E2107" s="397" t="s">
        <v>2035</v>
      </c>
      <c r="F2107" s="397" t="s">
        <v>191</v>
      </c>
      <c r="G2107" s="396">
        <v>18</v>
      </c>
      <c r="H2107" s="395">
        <v>4063.7520000000004</v>
      </c>
      <c r="I2107" s="394">
        <v>3938.6600000000003</v>
      </c>
      <c r="J2107" s="394">
        <v>5805.36</v>
      </c>
      <c r="K2107" s="393" t="s">
        <v>1033</v>
      </c>
    </row>
    <row r="2108" spans="1:12" hidden="1" x14ac:dyDescent="0.3">
      <c r="A2108" s="397" t="s">
        <v>5525</v>
      </c>
      <c r="C2108" s="397" t="s">
        <v>1053</v>
      </c>
      <c r="D2108" s="397" t="s">
        <v>5524</v>
      </c>
      <c r="E2108" s="397" t="s">
        <v>5514</v>
      </c>
      <c r="F2108" s="397" t="s">
        <v>191</v>
      </c>
      <c r="G2108" s="396">
        <v>3</v>
      </c>
      <c r="H2108" s="395">
        <v>53381.915999999997</v>
      </c>
      <c r="I2108" s="394">
        <v>51943.39</v>
      </c>
      <c r="J2108" s="394">
        <v>76259.88</v>
      </c>
      <c r="K2108" s="393" t="s">
        <v>1033</v>
      </c>
    </row>
    <row r="2109" spans="1:12" hidden="1" x14ac:dyDescent="0.3">
      <c r="A2109" s="397" t="s">
        <v>5516</v>
      </c>
      <c r="C2109" s="397" t="s">
        <v>1053</v>
      </c>
      <c r="D2109" s="397" t="s">
        <v>5515</v>
      </c>
      <c r="E2109" s="397" t="s">
        <v>5514</v>
      </c>
      <c r="F2109" s="397" t="s">
        <v>191</v>
      </c>
      <c r="G2109" s="396">
        <v>3</v>
      </c>
      <c r="H2109" s="395">
        <v>53381.915999999997</v>
      </c>
      <c r="I2109" s="394">
        <v>51943.39</v>
      </c>
      <c r="J2109" s="394">
        <v>76259.88</v>
      </c>
      <c r="K2109" s="393" t="s">
        <v>1033</v>
      </c>
    </row>
    <row r="2110" spans="1:12" hidden="1" x14ac:dyDescent="0.3">
      <c r="A2110" s="397" t="s">
        <v>2063</v>
      </c>
      <c r="C2110" s="397" t="s">
        <v>1053</v>
      </c>
      <c r="D2110" s="397" t="s">
        <v>2062</v>
      </c>
      <c r="E2110" s="397" t="s">
        <v>2061</v>
      </c>
      <c r="F2110" s="397" t="s">
        <v>191</v>
      </c>
      <c r="G2110" s="396">
        <v>2</v>
      </c>
      <c r="H2110" s="395">
        <v>3504.0459999999998</v>
      </c>
      <c r="I2110" s="394">
        <v>12.59</v>
      </c>
      <c r="J2110" s="394">
        <v>5005.78</v>
      </c>
      <c r="K2110" s="393" t="s">
        <v>1033</v>
      </c>
    </row>
    <row r="2111" spans="1:12" hidden="1" x14ac:dyDescent="0.3">
      <c r="A2111" s="397" t="s">
        <v>2687</v>
      </c>
      <c r="C2111" s="397" t="s">
        <v>1053</v>
      </c>
      <c r="D2111" s="397" t="s">
        <v>2686</v>
      </c>
      <c r="E2111" s="397" t="s">
        <v>2685</v>
      </c>
      <c r="F2111" s="397" t="s">
        <v>191</v>
      </c>
      <c r="G2111" s="396">
        <v>4</v>
      </c>
      <c r="H2111" s="395">
        <v>13333.068000000001</v>
      </c>
      <c r="I2111" s="394">
        <v>520.38</v>
      </c>
      <c r="J2111" s="394">
        <v>19047.240000000002</v>
      </c>
      <c r="K2111" s="393" t="s">
        <v>1033</v>
      </c>
    </row>
    <row r="2112" spans="1:12" hidden="1" x14ac:dyDescent="0.3">
      <c r="A2112" s="397" t="s">
        <v>2262</v>
      </c>
      <c r="C2112" s="397" t="s">
        <v>1053</v>
      </c>
      <c r="D2112" s="397" t="s">
        <v>2261</v>
      </c>
      <c r="E2112" s="397" t="s">
        <v>2260</v>
      </c>
      <c r="F2112" s="397" t="s">
        <v>191</v>
      </c>
      <c r="G2112" s="396">
        <v>1</v>
      </c>
      <c r="H2112" s="395">
        <v>4380.0540000000001</v>
      </c>
      <c r="I2112" s="394">
        <v>6.72</v>
      </c>
      <c r="J2112" s="394">
        <v>6257.22</v>
      </c>
      <c r="K2112" s="393" t="s">
        <v>1033</v>
      </c>
    </row>
    <row r="2113" spans="1:12" hidden="1" x14ac:dyDescent="0.3">
      <c r="A2113" s="397" t="s">
        <v>7702</v>
      </c>
      <c r="C2113" s="397" t="s">
        <v>1053</v>
      </c>
      <c r="D2113" s="397" t="s">
        <v>7701</v>
      </c>
      <c r="E2113" s="397" t="s">
        <v>7700</v>
      </c>
      <c r="F2113" s="397" t="s">
        <v>191</v>
      </c>
      <c r="G2113" s="396">
        <v>8</v>
      </c>
      <c r="H2113" s="395">
        <v>3394.5450000000001</v>
      </c>
      <c r="I2113" s="394">
        <v>11.61</v>
      </c>
      <c r="J2113" s="394">
        <v>4849.3500000000004</v>
      </c>
      <c r="K2113" s="393" t="s">
        <v>1033</v>
      </c>
    </row>
    <row r="2114" spans="1:12" hidden="1" x14ac:dyDescent="0.3">
      <c r="A2114" s="397" t="s">
        <v>6650</v>
      </c>
      <c r="C2114" s="397" t="s">
        <v>1053</v>
      </c>
      <c r="D2114" s="397" t="s">
        <v>6649</v>
      </c>
      <c r="E2114" s="397" t="s">
        <v>6648</v>
      </c>
      <c r="F2114" s="397" t="s">
        <v>191</v>
      </c>
      <c r="G2114" s="396">
        <v>5</v>
      </c>
      <c r="H2114" s="395">
        <v>3323.0609999999997</v>
      </c>
      <c r="I2114" s="394">
        <v>25.46</v>
      </c>
      <c r="J2114" s="394">
        <v>4747.2299999999996</v>
      </c>
      <c r="K2114" s="393" t="s">
        <v>1033</v>
      </c>
    </row>
    <row r="2115" spans="1:12" hidden="1" x14ac:dyDescent="0.3">
      <c r="A2115" s="397" t="s">
        <v>5822</v>
      </c>
      <c r="C2115" s="397" t="s">
        <v>1053</v>
      </c>
      <c r="D2115" s="397" t="s">
        <v>8206</v>
      </c>
      <c r="E2115" s="397" t="s">
        <v>8205</v>
      </c>
      <c r="F2115" s="397" t="s">
        <v>191</v>
      </c>
      <c r="G2115" s="396">
        <v>1</v>
      </c>
      <c r="H2115" s="395">
        <v>39573.681000000004</v>
      </c>
      <c r="I2115" s="394">
        <v>1094.1600000000001</v>
      </c>
      <c r="J2115" s="394">
        <v>56533.83</v>
      </c>
      <c r="K2115" s="393" t="s">
        <v>1033</v>
      </c>
    </row>
    <row r="2116" spans="1:12" hidden="1" x14ac:dyDescent="0.3">
      <c r="A2116" s="397" t="s">
        <v>5822</v>
      </c>
      <c r="C2116" s="397" t="s">
        <v>1053</v>
      </c>
      <c r="D2116" s="397" t="s">
        <v>591</v>
      </c>
      <c r="E2116" s="397" t="s">
        <v>592</v>
      </c>
      <c r="F2116" s="397" t="s">
        <v>191</v>
      </c>
      <c r="G2116" s="396">
        <v>1</v>
      </c>
      <c r="H2116" s="395">
        <v>12423.509</v>
      </c>
      <c r="I2116" s="394">
        <v>11890.92</v>
      </c>
      <c r="J2116" s="394">
        <v>17747.87</v>
      </c>
      <c r="K2116" s="393" t="s">
        <v>1033</v>
      </c>
      <c r="L2116" s="395">
        <v>3</v>
      </c>
    </row>
    <row r="2117" spans="1:12" hidden="1" x14ac:dyDescent="0.3">
      <c r="A2117" s="397" t="s">
        <v>7225</v>
      </c>
      <c r="C2117" s="397" t="s">
        <v>1053</v>
      </c>
      <c r="D2117" s="397" t="s">
        <v>7224</v>
      </c>
      <c r="E2117" s="397" t="s">
        <v>374</v>
      </c>
      <c r="F2117" s="397" t="s">
        <v>191</v>
      </c>
      <c r="G2117" s="396">
        <v>4</v>
      </c>
      <c r="H2117" s="395">
        <v>6953.3380000000006</v>
      </c>
      <c r="I2117" s="394">
        <v>6808.79</v>
      </c>
      <c r="J2117" s="394">
        <v>9933.34</v>
      </c>
      <c r="K2117" s="393" t="s">
        <v>1033</v>
      </c>
    </row>
    <row r="2118" spans="1:12" hidden="1" x14ac:dyDescent="0.3">
      <c r="A2118" s="397" t="s">
        <v>2011</v>
      </c>
      <c r="C2118" s="397" t="s">
        <v>1053</v>
      </c>
      <c r="D2118" s="397" t="s">
        <v>2010</v>
      </c>
      <c r="E2118" s="397" t="s">
        <v>717</v>
      </c>
      <c r="F2118" s="397" t="s">
        <v>191</v>
      </c>
      <c r="G2118" s="396">
        <v>8</v>
      </c>
      <c r="H2118" s="395">
        <v>6241.5780000000004</v>
      </c>
      <c r="I2118" s="394">
        <v>999.45</v>
      </c>
      <c r="J2118" s="394">
        <v>8916.5400000000009</v>
      </c>
      <c r="K2118" s="393" t="s">
        <v>1033</v>
      </c>
    </row>
    <row r="2119" spans="1:12" hidden="1" x14ac:dyDescent="0.3">
      <c r="A2119" s="397" t="s">
        <v>6122</v>
      </c>
      <c r="C2119" s="397" t="s">
        <v>1053</v>
      </c>
      <c r="D2119" s="397" t="s">
        <v>6121</v>
      </c>
      <c r="E2119" s="397" t="s">
        <v>581</v>
      </c>
      <c r="F2119" s="397" t="s">
        <v>191</v>
      </c>
      <c r="G2119" s="396">
        <v>1</v>
      </c>
      <c r="H2119" s="395">
        <v>39803.743000000002</v>
      </c>
      <c r="I2119" s="394">
        <v>38002.86</v>
      </c>
      <c r="J2119" s="394">
        <v>56862.49</v>
      </c>
      <c r="K2119" s="393" t="s">
        <v>1033</v>
      </c>
    </row>
    <row r="2120" spans="1:12" hidden="1" x14ac:dyDescent="0.3">
      <c r="A2120" s="397" t="s">
        <v>3194</v>
      </c>
      <c r="C2120" s="397" t="s">
        <v>1053</v>
      </c>
      <c r="D2120" s="397" t="s">
        <v>3193</v>
      </c>
      <c r="E2120" s="397" t="s">
        <v>602</v>
      </c>
      <c r="F2120" s="397" t="s">
        <v>191</v>
      </c>
      <c r="G2120" s="396">
        <v>4</v>
      </c>
      <c r="H2120" s="395">
        <v>1540.9590000000001</v>
      </c>
      <c r="I2120" s="394">
        <v>119.21000000000001</v>
      </c>
      <c r="J2120" s="394">
        <v>2201.37</v>
      </c>
      <c r="K2120" s="393" t="s">
        <v>1033</v>
      </c>
    </row>
    <row r="2121" spans="1:12" hidden="1" x14ac:dyDescent="0.3">
      <c r="A2121" s="397" t="s">
        <v>6893</v>
      </c>
      <c r="C2121" s="397" t="s">
        <v>1053</v>
      </c>
      <c r="D2121" s="397" t="s">
        <v>6892</v>
      </c>
      <c r="E2121" s="397" t="s">
        <v>6891</v>
      </c>
      <c r="F2121" s="397" t="s">
        <v>191</v>
      </c>
      <c r="G2121" s="396">
        <v>2</v>
      </c>
      <c r="H2121" s="395">
        <v>6624.835</v>
      </c>
      <c r="I2121" s="394">
        <v>89.53</v>
      </c>
      <c r="J2121" s="394">
        <v>9464.0499999999993</v>
      </c>
      <c r="K2121" s="393" t="s">
        <v>1033</v>
      </c>
    </row>
    <row r="2122" spans="1:12" hidden="1" x14ac:dyDescent="0.3">
      <c r="A2122" s="397" t="s">
        <v>8107</v>
      </c>
      <c r="C2122" s="397" t="s">
        <v>1053</v>
      </c>
      <c r="D2122" s="397" t="s">
        <v>8106</v>
      </c>
      <c r="E2122" s="397" t="s">
        <v>8052</v>
      </c>
      <c r="F2122" s="397" t="s">
        <v>191</v>
      </c>
      <c r="G2122" s="396">
        <v>1</v>
      </c>
      <c r="H2122" s="395">
        <v>76907.592999999993</v>
      </c>
      <c r="I2122" s="394">
        <v>1077.94</v>
      </c>
      <c r="J2122" s="394">
        <v>109867.99</v>
      </c>
      <c r="K2122" s="393" t="s">
        <v>1033</v>
      </c>
    </row>
    <row r="2123" spans="1:12" hidden="1" x14ac:dyDescent="0.3">
      <c r="A2123" s="397" t="s">
        <v>8211</v>
      </c>
      <c r="C2123" s="397" t="s">
        <v>1053</v>
      </c>
      <c r="D2123" s="397" t="s">
        <v>8210</v>
      </c>
      <c r="E2123" s="397" t="s">
        <v>8209</v>
      </c>
      <c r="F2123" s="397" t="s">
        <v>191</v>
      </c>
      <c r="G2123" s="396">
        <v>3</v>
      </c>
      <c r="H2123" s="395">
        <v>21074.452000000001</v>
      </c>
      <c r="I2123" s="394">
        <v>642.76</v>
      </c>
      <c r="J2123" s="394">
        <v>30106.36</v>
      </c>
      <c r="K2123" s="393" t="s">
        <v>1033</v>
      </c>
    </row>
    <row r="2124" spans="1:12" hidden="1" x14ac:dyDescent="0.3">
      <c r="A2124" s="397" t="s">
        <v>7615</v>
      </c>
      <c r="C2124" s="397" t="s">
        <v>1053</v>
      </c>
      <c r="D2124" s="397" t="s">
        <v>438</v>
      </c>
      <c r="E2124" s="397" t="s">
        <v>437</v>
      </c>
      <c r="F2124" s="397" t="s">
        <v>191</v>
      </c>
      <c r="G2124" s="396">
        <v>4</v>
      </c>
      <c r="H2124" s="395">
        <v>4092.6129999999998</v>
      </c>
      <c r="I2124" s="394">
        <v>4059.23</v>
      </c>
      <c r="J2124" s="394">
        <v>5846.59</v>
      </c>
      <c r="K2124" s="393" t="s">
        <v>1033</v>
      </c>
      <c r="L2124" s="395">
        <v>1</v>
      </c>
    </row>
    <row r="2125" spans="1:12" hidden="1" x14ac:dyDescent="0.3">
      <c r="A2125" s="397" t="s">
        <v>3180</v>
      </c>
      <c r="C2125" s="397" t="s">
        <v>1053</v>
      </c>
      <c r="D2125" s="397" t="s">
        <v>3179</v>
      </c>
      <c r="E2125" s="397" t="s">
        <v>602</v>
      </c>
      <c r="F2125" s="397" t="s">
        <v>191</v>
      </c>
      <c r="G2125" s="396">
        <v>16</v>
      </c>
      <c r="H2125" s="395">
        <v>1580.6770000000001</v>
      </c>
      <c r="I2125" s="394">
        <v>1390.2</v>
      </c>
      <c r="J2125" s="394">
        <v>2258.11</v>
      </c>
      <c r="K2125" s="393" t="s">
        <v>1033</v>
      </c>
    </row>
    <row r="2126" spans="1:12" hidden="1" x14ac:dyDescent="0.3">
      <c r="A2126" s="397" t="s">
        <v>8243</v>
      </c>
      <c r="C2126" s="397" t="s">
        <v>1053</v>
      </c>
      <c r="D2126" s="397" t="s">
        <v>8242</v>
      </c>
      <c r="E2126" s="397" t="s">
        <v>8241</v>
      </c>
      <c r="F2126" s="397" t="s">
        <v>191</v>
      </c>
      <c r="G2126" s="396">
        <v>2</v>
      </c>
      <c r="H2126" s="395">
        <v>28287.853999999999</v>
      </c>
      <c r="I2126" s="394">
        <v>27787.670000000002</v>
      </c>
      <c r="J2126" s="394">
        <v>40411.22</v>
      </c>
      <c r="K2126" s="393" t="s">
        <v>1033</v>
      </c>
    </row>
    <row r="2127" spans="1:12" hidden="1" x14ac:dyDescent="0.3">
      <c r="A2127" s="397" t="s">
        <v>7229</v>
      </c>
      <c r="C2127" s="397" t="s">
        <v>1053</v>
      </c>
      <c r="D2127" s="397" t="s">
        <v>7228</v>
      </c>
      <c r="E2127" s="397" t="s">
        <v>374</v>
      </c>
      <c r="F2127" s="397" t="s">
        <v>191</v>
      </c>
      <c r="G2127" s="396">
        <v>4</v>
      </c>
      <c r="H2127" s="395">
        <v>6679.5819999999994</v>
      </c>
      <c r="I2127" s="394">
        <v>234.77</v>
      </c>
      <c r="J2127" s="394">
        <v>9542.26</v>
      </c>
      <c r="K2127" s="393" t="s">
        <v>1033</v>
      </c>
      <c r="L2127" s="395">
        <v>1</v>
      </c>
    </row>
    <row r="2128" spans="1:12" hidden="1" x14ac:dyDescent="0.3">
      <c r="A2128" s="397" t="s">
        <v>6124</v>
      </c>
      <c r="C2128" s="397" t="s">
        <v>1053</v>
      </c>
      <c r="D2128" s="397" t="s">
        <v>6123</v>
      </c>
      <c r="E2128" s="397" t="s">
        <v>581</v>
      </c>
      <c r="F2128" s="397" t="s">
        <v>191</v>
      </c>
      <c r="G2128" s="396">
        <v>4</v>
      </c>
      <c r="H2128" s="395">
        <v>39803.743000000002</v>
      </c>
      <c r="I2128" s="394">
        <v>39737.81</v>
      </c>
      <c r="J2128" s="394">
        <v>56862.49</v>
      </c>
      <c r="K2128" s="393" t="s">
        <v>1033</v>
      </c>
    </row>
    <row r="2129" spans="1:12" hidden="1" x14ac:dyDescent="0.3">
      <c r="A2129" s="397" t="s">
        <v>6652</v>
      </c>
      <c r="C2129" s="397" t="s">
        <v>1053</v>
      </c>
      <c r="D2129" s="397" t="s">
        <v>6651</v>
      </c>
      <c r="E2129" s="397" t="s">
        <v>6648</v>
      </c>
      <c r="F2129" s="397" t="s">
        <v>191</v>
      </c>
      <c r="G2129" s="396">
        <v>1</v>
      </c>
      <c r="H2129" s="395">
        <v>3878.567</v>
      </c>
      <c r="J2129" s="394">
        <v>5540.81</v>
      </c>
      <c r="K2129" s="393" t="s">
        <v>1033</v>
      </c>
    </row>
    <row r="2130" spans="1:12" hidden="1" x14ac:dyDescent="0.3">
      <c r="A2130" s="397" t="s">
        <v>2992</v>
      </c>
      <c r="C2130" s="397" t="s">
        <v>1053</v>
      </c>
      <c r="D2130" s="397" t="s">
        <v>2991</v>
      </c>
      <c r="E2130" s="397" t="s">
        <v>2002</v>
      </c>
      <c r="F2130" s="397" t="s">
        <v>191</v>
      </c>
      <c r="G2130" s="396">
        <v>6</v>
      </c>
      <c r="H2130" s="395">
        <v>7062.8389999999999</v>
      </c>
      <c r="I2130" s="394">
        <v>6715.79</v>
      </c>
      <c r="J2130" s="394">
        <v>10089.77</v>
      </c>
      <c r="K2130" s="393" t="s">
        <v>1033</v>
      </c>
    </row>
    <row r="2131" spans="1:12" hidden="1" x14ac:dyDescent="0.3">
      <c r="A2131" s="397" t="s">
        <v>2995</v>
      </c>
      <c r="C2131" s="397" t="s">
        <v>1053</v>
      </c>
      <c r="D2131" s="397" t="s">
        <v>2994</v>
      </c>
      <c r="E2131" s="397" t="s">
        <v>2004</v>
      </c>
      <c r="F2131" s="397" t="s">
        <v>191</v>
      </c>
      <c r="G2131" s="396">
        <v>6</v>
      </c>
      <c r="H2131" s="395">
        <v>4872.8119999999999</v>
      </c>
      <c r="I2131" s="394">
        <v>4848.79</v>
      </c>
      <c r="J2131" s="394">
        <v>6961.16</v>
      </c>
      <c r="K2131" s="393" t="s">
        <v>1033</v>
      </c>
    </row>
    <row r="2132" spans="1:12" hidden="1" x14ac:dyDescent="0.3">
      <c r="A2132" s="397" t="s">
        <v>8086</v>
      </c>
      <c r="C2132" s="397" t="s">
        <v>1053</v>
      </c>
      <c r="D2132" s="397" t="s">
        <v>8085</v>
      </c>
      <c r="E2132" s="397" t="s">
        <v>8062</v>
      </c>
      <c r="F2132" s="397" t="s">
        <v>191</v>
      </c>
      <c r="G2132" s="396">
        <v>2</v>
      </c>
      <c r="H2132" s="395">
        <v>10488.499</v>
      </c>
      <c r="I2132" s="394">
        <v>946.51</v>
      </c>
      <c r="J2132" s="394">
        <v>14983.57</v>
      </c>
      <c r="K2132" s="393" t="s">
        <v>1033</v>
      </c>
    </row>
    <row r="2133" spans="1:12" hidden="1" x14ac:dyDescent="0.3">
      <c r="A2133" s="397" t="s">
        <v>6430</v>
      </c>
      <c r="C2133" s="397" t="s">
        <v>1053</v>
      </c>
      <c r="D2133" s="397" t="s">
        <v>6429</v>
      </c>
      <c r="E2133" s="397" t="s">
        <v>6428</v>
      </c>
      <c r="F2133" s="397" t="s">
        <v>191</v>
      </c>
      <c r="G2133" s="396">
        <v>1</v>
      </c>
      <c r="H2133" s="395">
        <v>7575.89</v>
      </c>
      <c r="I2133" s="394">
        <v>19.57</v>
      </c>
      <c r="J2133" s="394">
        <v>10822.7</v>
      </c>
      <c r="K2133" s="393" t="s">
        <v>1033</v>
      </c>
    </row>
    <row r="2134" spans="1:12" hidden="1" x14ac:dyDescent="0.3">
      <c r="A2134" s="397" t="s">
        <v>6450</v>
      </c>
      <c r="C2134" s="397" t="s">
        <v>1053</v>
      </c>
      <c r="D2134" s="397" t="s">
        <v>6449</v>
      </c>
      <c r="E2134" s="397" t="s">
        <v>6448</v>
      </c>
      <c r="F2134" s="397" t="s">
        <v>191</v>
      </c>
      <c r="G2134" s="396">
        <v>2</v>
      </c>
      <c r="H2134" s="395">
        <v>10656.996000000001</v>
      </c>
      <c r="I2134" s="394">
        <v>435.35</v>
      </c>
      <c r="J2134" s="394">
        <v>15224.28</v>
      </c>
      <c r="K2134" s="393" t="s">
        <v>1033</v>
      </c>
    </row>
    <row r="2135" spans="1:12" hidden="1" x14ac:dyDescent="0.3">
      <c r="A2135" s="397" t="s">
        <v>5831</v>
      </c>
      <c r="C2135" s="397" t="s">
        <v>1053</v>
      </c>
      <c r="D2135" s="397" t="s">
        <v>5830</v>
      </c>
      <c r="E2135" s="397" t="s">
        <v>5829</v>
      </c>
      <c r="F2135" s="397" t="s">
        <v>191</v>
      </c>
      <c r="G2135" s="396">
        <v>1</v>
      </c>
      <c r="H2135" s="395">
        <v>12423.509</v>
      </c>
      <c r="I2135" s="394">
        <v>11890.92</v>
      </c>
      <c r="J2135" s="394">
        <v>17747.87</v>
      </c>
      <c r="K2135" s="393" t="s">
        <v>1033</v>
      </c>
      <c r="L2135" s="395">
        <v>1</v>
      </c>
    </row>
    <row r="2136" spans="1:12" hidden="1" x14ac:dyDescent="0.3">
      <c r="A2136" s="397" t="s">
        <v>3009</v>
      </c>
      <c r="C2136" s="397" t="s">
        <v>1053</v>
      </c>
      <c r="D2136" s="397" t="s">
        <v>3008</v>
      </c>
      <c r="E2136" s="397" t="s">
        <v>2004</v>
      </c>
      <c r="F2136" s="397" t="s">
        <v>191</v>
      </c>
      <c r="G2136" s="396">
        <v>2</v>
      </c>
      <c r="H2136" s="395">
        <v>4708.5569999999998</v>
      </c>
      <c r="I2136" s="394">
        <v>3636.6800000000003</v>
      </c>
      <c r="J2136" s="394">
        <v>6726.51</v>
      </c>
      <c r="K2136" s="393" t="s">
        <v>1033</v>
      </c>
      <c r="L2136" s="395">
        <v>1</v>
      </c>
    </row>
    <row r="2137" spans="1:12" hidden="1" x14ac:dyDescent="0.3">
      <c r="A2137" s="397" t="s">
        <v>8059</v>
      </c>
      <c r="C2137" s="397" t="s">
        <v>1053</v>
      </c>
      <c r="D2137" s="397" t="s">
        <v>8061</v>
      </c>
      <c r="E2137" s="397" t="s">
        <v>8060</v>
      </c>
      <c r="F2137" s="397" t="s">
        <v>191</v>
      </c>
      <c r="G2137" s="396">
        <v>2</v>
      </c>
      <c r="H2137" s="395">
        <v>8863.5259999999998</v>
      </c>
      <c r="I2137" s="394">
        <v>8638.65</v>
      </c>
      <c r="J2137" s="394">
        <v>12662.18</v>
      </c>
      <c r="K2137" s="393" t="s">
        <v>1033</v>
      </c>
    </row>
    <row r="2138" spans="1:12" hidden="1" x14ac:dyDescent="0.3">
      <c r="A2138" s="397" t="s">
        <v>8059</v>
      </c>
      <c r="C2138" s="397" t="s">
        <v>1053</v>
      </c>
      <c r="D2138" s="397" t="s">
        <v>8058</v>
      </c>
      <c r="E2138" s="397" t="s">
        <v>8057</v>
      </c>
      <c r="F2138" s="397" t="s">
        <v>191</v>
      </c>
      <c r="G2138" s="396">
        <v>1</v>
      </c>
      <c r="H2138" s="395">
        <v>108955.37800000001</v>
      </c>
      <c r="I2138" s="394">
        <v>82623.820000000007</v>
      </c>
      <c r="J2138" s="394">
        <v>155650.54</v>
      </c>
      <c r="K2138" s="393" t="s">
        <v>1033</v>
      </c>
    </row>
    <row r="2139" spans="1:12" hidden="1" x14ac:dyDescent="0.3">
      <c r="A2139" s="397" t="s">
        <v>4859</v>
      </c>
      <c r="C2139" s="397" t="s">
        <v>1053</v>
      </c>
      <c r="D2139" s="397" t="s">
        <v>4858</v>
      </c>
      <c r="E2139" s="397" t="s">
        <v>4857</v>
      </c>
      <c r="F2139" s="397" t="s">
        <v>191</v>
      </c>
      <c r="G2139" s="396">
        <v>1</v>
      </c>
      <c r="H2139" s="395">
        <v>70012.789000000004</v>
      </c>
      <c r="I2139" s="394">
        <v>8414.06</v>
      </c>
      <c r="J2139" s="394">
        <v>100018.27</v>
      </c>
      <c r="K2139" s="393" t="s">
        <v>1033</v>
      </c>
    </row>
    <row r="2140" spans="1:12" hidden="1" x14ac:dyDescent="0.3">
      <c r="A2140" s="397" t="s">
        <v>7002</v>
      </c>
      <c r="C2140" s="397" t="s">
        <v>1053</v>
      </c>
      <c r="D2140" s="397" t="s">
        <v>7001</v>
      </c>
      <c r="E2140" s="397" t="s">
        <v>7000</v>
      </c>
      <c r="F2140" s="397" t="s">
        <v>191</v>
      </c>
      <c r="G2140" s="396">
        <v>1</v>
      </c>
      <c r="H2140" s="395">
        <v>54228.705999999998</v>
      </c>
      <c r="I2140" s="394">
        <v>202.25</v>
      </c>
      <c r="J2140" s="394">
        <v>77469.58</v>
      </c>
      <c r="K2140" s="393" t="s">
        <v>1033</v>
      </c>
    </row>
    <row r="2141" spans="1:12" hidden="1" x14ac:dyDescent="0.3">
      <c r="A2141" s="397" t="s">
        <v>2990</v>
      </c>
      <c r="C2141" s="397" t="s">
        <v>1053</v>
      </c>
      <c r="D2141" s="397" t="s">
        <v>2989</v>
      </c>
      <c r="E2141" s="397" t="s">
        <v>2002</v>
      </c>
      <c r="F2141" s="397" t="s">
        <v>191</v>
      </c>
      <c r="G2141" s="396">
        <v>4</v>
      </c>
      <c r="H2141" s="395">
        <v>6221.152</v>
      </c>
      <c r="I2141" s="394">
        <v>908.02</v>
      </c>
      <c r="J2141" s="394">
        <v>8887.36</v>
      </c>
      <c r="K2141" s="393" t="s">
        <v>1033</v>
      </c>
    </row>
    <row r="2142" spans="1:12" hidden="1" x14ac:dyDescent="0.3">
      <c r="A2142" s="397" t="s">
        <v>7636</v>
      </c>
      <c r="C2142" s="397" t="s">
        <v>1053</v>
      </c>
      <c r="D2142" s="397" t="s">
        <v>7635</v>
      </c>
      <c r="E2142" s="397" t="s">
        <v>374</v>
      </c>
      <c r="F2142" s="397" t="s">
        <v>191</v>
      </c>
      <c r="G2142" s="396">
        <v>1</v>
      </c>
      <c r="H2142" s="395">
        <v>4372.4520000000002</v>
      </c>
      <c r="I2142" s="394">
        <v>13.42</v>
      </c>
      <c r="J2142" s="394">
        <v>6246.3600000000006</v>
      </c>
      <c r="K2142" s="393" t="s">
        <v>1033</v>
      </c>
    </row>
    <row r="2143" spans="1:12" hidden="1" x14ac:dyDescent="0.3">
      <c r="A2143" s="397" t="s">
        <v>2999</v>
      </c>
      <c r="C2143" s="397" t="s">
        <v>1053</v>
      </c>
      <c r="D2143" s="397" t="s">
        <v>2998</v>
      </c>
      <c r="E2143" s="397" t="s">
        <v>2004</v>
      </c>
      <c r="F2143" s="397" t="s">
        <v>191</v>
      </c>
      <c r="G2143" s="396">
        <v>9</v>
      </c>
      <c r="H2143" s="395">
        <v>5256.0690000000004</v>
      </c>
      <c r="I2143" s="394">
        <v>3915.98</v>
      </c>
      <c r="J2143" s="394">
        <v>7508.67</v>
      </c>
      <c r="K2143" s="393" t="s">
        <v>1033</v>
      </c>
    </row>
    <row r="2144" spans="1:12" hidden="1" x14ac:dyDescent="0.3">
      <c r="A2144" s="397" t="s">
        <v>3259</v>
      </c>
      <c r="C2144" s="397" t="s">
        <v>1053</v>
      </c>
      <c r="D2144" s="397" t="s">
        <v>3258</v>
      </c>
      <c r="E2144" s="397" t="s">
        <v>3257</v>
      </c>
      <c r="F2144" s="397" t="s">
        <v>191</v>
      </c>
      <c r="G2144" s="396">
        <v>2</v>
      </c>
      <c r="H2144" s="395">
        <v>7172.34</v>
      </c>
      <c r="I2144" s="394">
        <v>1474.44</v>
      </c>
      <c r="J2144" s="394">
        <v>10246.200000000001</v>
      </c>
      <c r="K2144" s="393" t="s">
        <v>1033</v>
      </c>
    </row>
    <row r="2145" spans="1:11" hidden="1" x14ac:dyDescent="0.3">
      <c r="A2145" s="397" t="s">
        <v>2708</v>
      </c>
      <c r="C2145" s="397" t="s">
        <v>1053</v>
      </c>
      <c r="D2145" s="397" t="s">
        <v>2707</v>
      </c>
      <c r="E2145" s="397" t="s">
        <v>2706</v>
      </c>
      <c r="F2145" s="397" t="s">
        <v>191</v>
      </c>
      <c r="G2145" s="396">
        <v>2</v>
      </c>
      <c r="H2145" s="395">
        <v>1478.2670000000001</v>
      </c>
      <c r="I2145" s="394">
        <v>1427.65</v>
      </c>
      <c r="J2145" s="394">
        <v>2111.81</v>
      </c>
      <c r="K2145" s="393" t="s">
        <v>1033</v>
      </c>
    </row>
    <row r="2146" spans="1:11" hidden="1" x14ac:dyDescent="0.3">
      <c r="A2146" s="397" t="s">
        <v>2360</v>
      </c>
      <c r="C2146" s="397" t="s">
        <v>1053</v>
      </c>
      <c r="D2146" s="397" t="s">
        <v>957</v>
      </c>
      <c r="E2146" s="397" t="s">
        <v>956</v>
      </c>
      <c r="F2146" s="397" t="s">
        <v>191</v>
      </c>
      <c r="G2146" s="396">
        <v>1</v>
      </c>
      <c r="H2146" s="395">
        <v>13919.346000000001</v>
      </c>
      <c r="I2146" s="394">
        <v>30.75</v>
      </c>
      <c r="J2146" s="394">
        <v>19884.78</v>
      </c>
      <c r="K2146" s="393" t="s">
        <v>1033</v>
      </c>
    </row>
    <row r="2147" spans="1:11" hidden="1" x14ac:dyDescent="0.3">
      <c r="A2147" s="397" t="s">
        <v>8208</v>
      </c>
      <c r="C2147" s="397" t="s">
        <v>1053</v>
      </c>
      <c r="D2147" s="397" t="s">
        <v>8207</v>
      </c>
      <c r="E2147" s="397" t="s">
        <v>8205</v>
      </c>
      <c r="F2147" s="397" t="s">
        <v>191</v>
      </c>
      <c r="G2147" s="396">
        <v>1</v>
      </c>
      <c r="H2147" s="395">
        <v>59946.795999999995</v>
      </c>
      <c r="I2147" s="394">
        <v>56.15</v>
      </c>
      <c r="J2147" s="394">
        <v>85638.28</v>
      </c>
      <c r="K2147" s="393" t="s">
        <v>1033</v>
      </c>
    </row>
    <row r="2148" spans="1:11" hidden="1" x14ac:dyDescent="0.3">
      <c r="A2148" s="397" t="s">
        <v>2359</v>
      </c>
      <c r="C2148" s="397" t="s">
        <v>1053</v>
      </c>
      <c r="D2148" s="397" t="s">
        <v>2358</v>
      </c>
      <c r="E2148" s="397" t="s">
        <v>956</v>
      </c>
      <c r="F2148" s="397" t="s">
        <v>191</v>
      </c>
      <c r="G2148" s="396">
        <v>2</v>
      </c>
      <c r="H2148" s="395">
        <v>11563.201999999999</v>
      </c>
      <c r="I2148" s="394">
        <v>17.510000000000002</v>
      </c>
      <c r="J2148" s="394">
        <v>16518.86</v>
      </c>
      <c r="K2148" s="393" t="s">
        <v>1033</v>
      </c>
    </row>
    <row r="2149" spans="1:11" hidden="1" x14ac:dyDescent="0.3">
      <c r="A2149" s="397" t="s">
        <v>7004</v>
      </c>
      <c r="C2149" s="397" t="s">
        <v>1053</v>
      </c>
      <c r="D2149" s="397" t="s">
        <v>7003</v>
      </c>
      <c r="E2149" s="397" t="s">
        <v>6992</v>
      </c>
      <c r="F2149" s="397" t="s">
        <v>191</v>
      </c>
      <c r="G2149" s="396">
        <v>1</v>
      </c>
      <c r="H2149" s="395">
        <v>58528.477000000006</v>
      </c>
      <c r="I2149" s="394">
        <v>58408.450000000004</v>
      </c>
      <c r="J2149" s="394">
        <v>83612.11</v>
      </c>
      <c r="K2149" s="393" t="s">
        <v>1033</v>
      </c>
    </row>
    <row r="2150" spans="1:11" hidden="1" x14ac:dyDescent="0.3">
      <c r="A2150" s="397" t="s">
        <v>7021</v>
      </c>
      <c r="C2150" s="397" t="s">
        <v>1053</v>
      </c>
      <c r="D2150" s="397" t="s">
        <v>7020</v>
      </c>
      <c r="E2150" s="397" t="s">
        <v>7019</v>
      </c>
      <c r="F2150" s="397" t="s">
        <v>191</v>
      </c>
      <c r="G2150" s="396">
        <v>1</v>
      </c>
      <c r="H2150" s="395">
        <v>114921.68099999998</v>
      </c>
      <c r="I2150" s="394">
        <v>114587.58</v>
      </c>
      <c r="J2150" s="394">
        <v>164173.82999999999</v>
      </c>
      <c r="K2150" s="393" t="s">
        <v>1033</v>
      </c>
    </row>
    <row r="2151" spans="1:11" hidden="1" x14ac:dyDescent="0.3">
      <c r="A2151" s="397" t="s">
        <v>2357</v>
      </c>
      <c r="C2151" s="397" t="s">
        <v>1053</v>
      </c>
      <c r="D2151" s="397" t="s">
        <v>2356</v>
      </c>
      <c r="E2151" s="397" t="s">
        <v>956</v>
      </c>
      <c r="F2151" s="397" t="s">
        <v>191</v>
      </c>
      <c r="G2151" s="396">
        <v>1</v>
      </c>
      <c r="H2151" s="395">
        <v>12759.396999999999</v>
      </c>
      <c r="I2151" s="394">
        <v>22.82</v>
      </c>
      <c r="J2151" s="394">
        <v>18227.71</v>
      </c>
      <c r="K2151" s="393" t="s">
        <v>1033</v>
      </c>
    </row>
    <row r="2152" spans="1:11" hidden="1" x14ac:dyDescent="0.3">
      <c r="A2152" s="397" t="s">
        <v>7249</v>
      </c>
      <c r="C2152" s="397" t="s">
        <v>1053</v>
      </c>
      <c r="D2152" s="397" t="s">
        <v>7248</v>
      </c>
      <c r="E2152" s="397" t="s">
        <v>7247</v>
      </c>
      <c r="F2152" s="397" t="s">
        <v>191</v>
      </c>
      <c r="G2152" s="396">
        <v>1</v>
      </c>
      <c r="H2152" s="395">
        <v>4982.3130000000001</v>
      </c>
      <c r="I2152" s="394">
        <v>4886.95</v>
      </c>
      <c r="J2152" s="394">
        <v>7117.59</v>
      </c>
      <c r="K2152" s="393" t="s">
        <v>1033</v>
      </c>
    </row>
    <row r="2153" spans="1:11" hidden="1" x14ac:dyDescent="0.3">
      <c r="A2153" s="397" t="s">
        <v>7277</v>
      </c>
      <c r="C2153" s="397" t="s">
        <v>1053</v>
      </c>
      <c r="D2153" s="397" t="s">
        <v>7276</v>
      </c>
      <c r="E2153" s="397" t="s">
        <v>7275</v>
      </c>
      <c r="F2153" s="397" t="s">
        <v>191</v>
      </c>
      <c r="G2153" s="396">
        <v>16</v>
      </c>
      <c r="H2153" s="395">
        <v>9033.8639999999996</v>
      </c>
      <c r="I2153" s="394">
        <v>9028.7800000000007</v>
      </c>
      <c r="J2153" s="394">
        <v>12905.52</v>
      </c>
      <c r="K2153" s="393" t="s">
        <v>1033</v>
      </c>
    </row>
    <row r="2154" spans="1:11" hidden="1" x14ac:dyDescent="0.3">
      <c r="A2154" s="397" t="s">
        <v>790</v>
      </c>
      <c r="C2154" s="397" t="s">
        <v>1053</v>
      </c>
      <c r="D2154" s="397" t="s">
        <v>789</v>
      </c>
      <c r="E2154" s="397" t="s">
        <v>602</v>
      </c>
      <c r="F2154" s="397" t="s">
        <v>191</v>
      </c>
      <c r="G2154" s="396">
        <v>6</v>
      </c>
      <c r="H2154" s="395">
        <v>1872.3040000000001</v>
      </c>
      <c r="I2154" s="394">
        <v>1705.5900000000001</v>
      </c>
      <c r="J2154" s="394">
        <v>2674.7200000000003</v>
      </c>
      <c r="K2154" s="393" t="s">
        <v>1033</v>
      </c>
    </row>
    <row r="2155" spans="1:11" hidden="1" x14ac:dyDescent="0.3">
      <c r="A2155" s="397" t="s">
        <v>3133</v>
      </c>
      <c r="C2155" s="397" t="s">
        <v>1053</v>
      </c>
      <c r="D2155" s="397" t="s">
        <v>3132</v>
      </c>
      <c r="E2155" s="397" t="s">
        <v>3131</v>
      </c>
      <c r="F2155" s="397" t="s">
        <v>191</v>
      </c>
      <c r="G2155" s="396">
        <v>1</v>
      </c>
      <c r="H2155" s="395">
        <v>4106.2979999999998</v>
      </c>
      <c r="I2155" s="394">
        <v>52.77</v>
      </c>
      <c r="J2155" s="394">
        <v>5866.14</v>
      </c>
      <c r="K2155" s="393" t="s">
        <v>1033</v>
      </c>
    </row>
    <row r="2156" spans="1:11" hidden="1" x14ac:dyDescent="0.3">
      <c r="A2156" s="397" t="s">
        <v>2248</v>
      </c>
      <c r="C2156" s="397" t="s">
        <v>1053</v>
      </c>
      <c r="D2156" s="397" t="s">
        <v>2247</v>
      </c>
      <c r="E2156" s="397" t="s">
        <v>2035</v>
      </c>
      <c r="F2156" s="397" t="s">
        <v>191</v>
      </c>
      <c r="G2156" s="396">
        <v>1</v>
      </c>
      <c r="H2156" s="395">
        <v>6022.576</v>
      </c>
      <c r="I2156" s="394">
        <v>1085.52</v>
      </c>
      <c r="J2156" s="394">
        <v>8603.68</v>
      </c>
      <c r="K2156" s="393" t="s">
        <v>1033</v>
      </c>
    </row>
    <row r="2157" spans="1:11" hidden="1" x14ac:dyDescent="0.3">
      <c r="A2157" s="397" t="s">
        <v>6573</v>
      </c>
      <c r="C2157" s="397" t="s">
        <v>1053</v>
      </c>
      <c r="D2157" s="397" t="s">
        <v>6572</v>
      </c>
      <c r="E2157" s="397" t="s">
        <v>6571</v>
      </c>
      <c r="F2157" s="397" t="s">
        <v>191</v>
      </c>
      <c r="G2157" s="396">
        <v>1</v>
      </c>
      <c r="H2157" s="395">
        <v>28744.107000000004</v>
      </c>
      <c r="I2157" s="394">
        <v>71.040000000000006</v>
      </c>
      <c r="J2157" s="394">
        <v>41063.01</v>
      </c>
      <c r="K2157" s="393" t="s">
        <v>1033</v>
      </c>
    </row>
    <row r="2158" spans="1:11" hidden="1" x14ac:dyDescent="0.3">
      <c r="A2158" s="397" t="s">
        <v>7083</v>
      </c>
      <c r="C2158" s="397" t="s">
        <v>1053</v>
      </c>
      <c r="D2158" s="397" t="s">
        <v>7082</v>
      </c>
      <c r="E2158" s="397" t="s">
        <v>471</v>
      </c>
      <c r="F2158" s="397" t="s">
        <v>191</v>
      </c>
      <c r="G2158" s="396">
        <v>1</v>
      </c>
      <c r="H2158" s="395">
        <v>24528.307999999997</v>
      </c>
      <c r="I2158" s="394">
        <v>35.92</v>
      </c>
      <c r="J2158" s="394">
        <v>35040.44</v>
      </c>
      <c r="K2158" s="393" t="s">
        <v>1033</v>
      </c>
    </row>
    <row r="2159" spans="1:11" hidden="1" x14ac:dyDescent="0.3">
      <c r="A2159" s="397" t="s">
        <v>3172</v>
      </c>
      <c r="C2159" s="397" t="s">
        <v>1053</v>
      </c>
      <c r="D2159" s="397" t="s">
        <v>3382</v>
      </c>
      <c r="E2159" s="397" t="s">
        <v>3381</v>
      </c>
      <c r="F2159" s="397" t="s">
        <v>191</v>
      </c>
      <c r="G2159" s="396">
        <v>1</v>
      </c>
      <c r="H2159" s="395">
        <v>4489.5550000000003</v>
      </c>
      <c r="I2159" s="394">
        <v>4458.66</v>
      </c>
      <c r="J2159" s="394">
        <v>6413.6500000000005</v>
      </c>
      <c r="K2159" s="393" t="s">
        <v>1033</v>
      </c>
    </row>
    <row r="2160" spans="1:11" hidden="1" x14ac:dyDescent="0.3">
      <c r="A2160" s="397" t="s">
        <v>3172</v>
      </c>
      <c r="C2160" s="397" t="s">
        <v>1053</v>
      </c>
      <c r="D2160" s="397" t="s">
        <v>3171</v>
      </c>
      <c r="E2160" s="397" t="s">
        <v>596</v>
      </c>
      <c r="F2160" s="397" t="s">
        <v>191</v>
      </c>
      <c r="G2160" s="396">
        <v>7</v>
      </c>
      <c r="H2160" s="395">
        <v>1077.9929999999999</v>
      </c>
      <c r="I2160" s="394">
        <v>1012.69</v>
      </c>
      <c r="J2160" s="394">
        <v>1539.99</v>
      </c>
      <c r="K2160" s="393" t="s">
        <v>1033</v>
      </c>
    </row>
    <row r="2161" spans="1:12" hidden="1" x14ac:dyDescent="0.3">
      <c r="A2161" s="397" t="s">
        <v>3622</v>
      </c>
      <c r="C2161" s="397" t="s">
        <v>1053</v>
      </c>
      <c r="D2161" s="397" t="s">
        <v>3621</v>
      </c>
      <c r="E2161" s="397" t="s">
        <v>2035</v>
      </c>
      <c r="F2161" s="397" t="s">
        <v>191</v>
      </c>
      <c r="G2161" s="396">
        <v>2</v>
      </c>
      <c r="H2161" s="395">
        <v>4215.8059999999996</v>
      </c>
      <c r="I2161" s="394">
        <v>3521.84</v>
      </c>
      <c r="J2161" s="394">
        <v>6022.58</v>
      </c>
      <c r="K2161" s="393" t="s">
        <v>1033</v>
      </c>
    </row>
    <row r="2162" spans="1:12" hidden="1" x14ac:dyDescent="0.3">
      <c r="A2162" s="397" t="s">
        <v>7227</v>
      </c>
      <c r="C2162" s="397" t="s">
        <v>1053</v>
      </c>
      <c r="D2162" s="397" t="s">
        <v>7226</v>
      </c>
      <c r="E2162" s="397" t="s">
        <v>374</v>
      </c>
      <c r="F2162" s="397" t="s">
        <v>191</v>
      </c>
      <c r="G2162" s="396">
        <v>1</v>
      </c>
      <c r="H2162" s="395">
        <v>6953.3380000000006</v>
      </c>
      <c r="I2162" s="394">
        <v>5532.68</v>
      </c>
      <c r="J2162" s="394">
        <v>9933.34</v>
      </c>
      <c r="K2162" s="393" t="s">
        <v>1033</v>
      </c>
    </row>
    <row r="2163" spans="1:12" hidden="1" x14ac:dyDescent="0.3">
      <c r="A2163" s="397" t="s">
        <v>2488</v>
      </c>
      <c r="C2163" s="397" t="s">
        <v>1053</v>
      </c>
      <c r="D2163" s="397" t="s">
        <v>2487</v>
      </c>
      <c r="E2163" s="397" t="s">
        <v>2486</v>
      </c>
      <c r="F2163" s="397" t="s">
        <v>191</v>
      </c>
      <c r="G2163" s="396">
        <v>5</v>
      </c>
      <c r="H2163" s="395">
        <v>2463.7829999999999</v>
      </c>
      <c r="I2163" s="394">
        <v>58</v>
      </c>
      <c r="J2163" s="394">
        <v>3519.69</v>
      </c>
      <c r="K2163" s="393" t="s">
        <v>1033</v>
      </c>
      <c r="L2163" s="395">
        <v>-1</v>
      </c>
    </row>
    <row r="2164" spans="1:12" hidden="1" x14ac:dyDescent="0.3">
      <c r="A2164" s="397" t="s">
        <v>7950</v>
      </c>
      <c r="C2164" s="397" t="s">
        <v>1053</v>
      </c>
      <c r="D2164" s="397" t="s">
        <v>7949</v>
      </c>
      <c r="E2164" s="397" t="s">
        <v>415</v>
      </c>
      <c r="F2164" s="397" t="s">
        <v>191</v>
      </c>
      <c r="G2164" s="396">
        <v>16</v>
      </c>
      <c r="H2164" s="395">
        <v>6296.3249999999998</v>
      </c>
      <c r="I2164" s="394">
        <v>6143.35</v>
      </c>
      <c r="J2164" s="394">
        <v>8994.75</v>
      </c>
      <c r="K2164" s="393" t="s">
        <v>1033</v>
      </c>
    </row>
    <row r="2165" spans="1:12" hidden="1" x14ac:dyDescent="0.3">
      <c r="A2165" s="397" t="s">
        <v>6994</v>
      </c>
      <c r="C2165" s="397" t="s">
        <v>1053</v>
      </c>
      <c r="D2165" s="397" t="s">
        <v>6993</v>
      </c>
      <c r="E2165" s="397" t="s">
        <v>6992</v>
      </c>
      <c r="F2165" s="397" t="s">
        <v>191</v>
      </c>
      <c r="G2165" s="396">
        <v>1</v>
      </c>
      <c r="H2165" s="395">
        <v>52943.912000000004</v>
      </c>
      <c r="I2165" s="394">
        <v>52835.130000000005</v>
      </c>
      <c r="J2165" s="394">
        <v>75634.16</v>
      </c>
      <c r="K2165" s="393" t="s">
        <v>1033</v>
      </c>
    </row>
    <row r="2166" spans="1:12" hidden="1" x14ac:dyDescent="0.3">
      <c r="A2166" s="397" t="s">
        <v>7238</v>
      </c>
      <c r="C2166" s="397" t="s">
        <v>1053</v>
      </c>
      <c r="D2166" s="397" t="s">
        <v>7237</v>
      </c>
      <c r="E2166" s="397" t="s">
        <v>374</v>
      </c>
      <c r="F2166" s="397" t="s">
        <v>191</v>
      </c>
      <c r="G2166" s="396">
        <v>1</v>
      </c>
      <c r="H2166" s="395">
        <v>7117.5860000000002</v>
      </c>
      <c r="I2166" s="394">
        <v>6904.47</v>
      </c>
      <c r="J2166" s="394">
        <v>10167.98</v>
      </c>
      <c r="K2166" s="393" t="s">
        <v>1033</v>
      </c>
    </row>
    <row r="2167" spans="1:12" hidden="1" x14ac:dyDescent="0.3">
      <c r="A2167" s="397" t="s">
        <v>2037</v>
      </c>
      <c r="C2167" s="397" t="s">
        <v>1053</v>
      </c>
      <c r="D2167" s="397" t="s">
        <v>2036</v>
      </c>
      <c r="E2167" s="397" t="s">
        <v>2035</v>
      </c>
      <c r="F2167" s="397" t="s">
        <v>191</v>
      </c>
      <c r="G2167" s="396">
        <v>7</v>
      </c>
      <c r="H2167" s="395">
        <v>2553.1379999999999</v>
      </c>
      <c r="I2167" s="394">
        <v>13.71</v>
      </c>
      <c r="J2167" s="394">
        <v>3647.34</v>
      </c>
      <c r="K2167" s="393" t="s">
        <v>1033</v>
      </c>
    </row>
    <row r="2168" spans="1:12" hidden="1" x14ac:dyDescent="0.3">
      <c r="A2168" s="397" t="s">
        <v>2053</v>
      </c>
      <c r="C2168" s="397" t="s">
        <v>1053</v>
      </c>
      <c r="D2168" s="397" t="s">
        <v>2052</v>
      </c>
      <c r="E2168" s="397" t="s">
        <v>2041</v>
      </c>
      <c r="F2168" s="397" t="s">
        <v>191</v>
      </c>
      <c r="G2168" s="396">
        <v>3</v>
      </c>
      <c r="H2168" s="395">
        <v>1971.0250000000001</v>
      </c>
      <c r="I2168" s="394">
        <v>1921.83</v>
      </c>
      <c r="J2168" s="394">
        <v>2815.75</v>
      </c>
      <c r="K2168" s="393" t="s">
        <v>1033</v>
      </c>
    </row>
    <row r="2169" spans="1:12" hidden="1" x14ac:dyDescent="0.3">
      <c r="A2169" s="397" t="s">
        <v>2463</v>
      </c>
      <c r="C2169" s="397" t="s">
        <v>1053</v>
      </c>
      <c r="D2169" s="397" t="s">
        <v>2462</v>
      </c>
      <c r="E2169" s="397" t="s">
        <v>374</v>
      </c>
      <c r="F2169" s="397" t="s">
        <v>191</v>
      </c>
      <c r="G2169" s="396">
        <v>10</v>
      </c>
      <c r="H2169" s="395">
        <v>10566.885</v>
      </c>
      <c r="I2169" s="394">
        <v>9780.2800000000007</v>
      </c>
      <c r="J2169" s="394">
        <v>15095.550000000001</v>
      </c>
      <c r="K2169" s="393" t="s">
        <v>1033</v>
      </c>
    </row>
    <row r="2170" spans="1:12" hidden="1" x14ac:dyDescent="0.3">
      <c r="A2170" s="397" t="s">
        <v>2499</v>
      </c>
      <c r="C2170" s="397" t="s">
        <v>1053</v>
      </c>
      <c r="D2170" s="397" t="s">
        <v>7946</v>
      </c>
      <c r="E2170" s="397" t="s">
        <v>415</v>
      </c>
      <c r="F2170" s="397" t="s">
        <v>191</v>
      </c>
      <c r="G2170" s="396">
        <v>4</v>
      </c>
      <c r="H2170" s="395">
        <v>1204.518</v>
      </c>
      <c r="I2170" s="394">
        <v>4.34</v>
      </c>
      <c r="J2170" s="394">
        <v>1720.74</v>
      </c>
      <c r="K2170" s="393" t="s">
        <v>1033</v>
      </c>
    </row>
    <row r="2171" spans="1:12" hidden="1" x14ac:dyDescent="0.3">
      <c r="A2171" s="397" t="s">
        <v>2499</v>
      </c>
      <c r="C2171" s="397" t="s">
        <v>1053</v>
      </c>
      <c r="D2171" s="397" t="s">
        <v>2498</v>
      </c>
      <c r="E2171" s="397" t="s">
        <v>501</v>
      </c>
      <c r="F2171" s="397" t="s">
        <v>191</v>
      </c>
      <c r="G2171" s="396">
        <v>1</v>
      </c>
      <c r="H2171" s="395">
        <v>4653.8100000000004</v>
      </c>
      <c r="I2171" s="394">
        <v>4458.66</v>
      </c>
      <c r="J2171" s="394">
        <v>6648.3</v>
      </c>
      <c r="K2171" s="393" t="s">
        <v>1033</v>
      </c>
    </row>
    <row r="2172" spans="1:12" hidden="1" x14ac:dyDescent="0.3">
      <c r="A2172" s="397" t="s">
        <v>7634</v>
      </c>
      <c r="C2172" s="397" t="s">
        <v>1053</v>
      </c>
      <c r="D2172" s="397" t="s">
        <v>7633</v>
      </c>
      <c r="E2172" s="397" t="s">
        <v>7632</v>
      </c>
      <c r="F2172" s="397" t="s">
        <v>191</v>
      </c>
      <c r="G2172" s="396">
        <v>4</v>
      </c>
      <c r="H2172" s="395">
        <v>4372.4520000000002</v>
      </c>
      <c r="I2172" s="394">
        <v>4237.2700000000004</v>
      </c>
      <c r="J2172" s="394">
        <v>6246.3600000000006</v>
      </c>
      <c r="K2172" s="393" t="s">
        <v>1033</v>
      </c>
    </row>
    <row r="2173" spans="1:12" hidden="1" x14ac:dyDescent="0.3">
      <c r="A2173" s="397" t="s">
        <v>3014</v>
      </c>
      <c r="C2173" s="397" t="s">
        <v>1053</v>
      </c>
      <c r="D2173" s="397" t="s">
        <v>3013</v>
      </c>
      <c r="E2173" s="397" t="s">
        <v>2026</v>
      </c>
      <c r="F2173" s="397" t="s">
        <v>191</v>
      </c>
      <c r="G2173" s="396">
        <v>1</v>
      </c>
      <c r="H2173" s="395">
        <v>1204.518</v>
      </c>
      <c r="I2173" s="394">
        <v>632.02</v>
      </c>
      <c r="J2173" s="394">
        <v>1720.74</v>
      </c>
      <c r="K2173" s="393" t="s">
        <v>1033</v>
      </c>
    </row>
    <row r="2174" spans="1:12" hidden="1" x14ac:dyDescent="0.3">
      <c r="A2174" s="397" t="s">
        <v>7063</v>
      </c>
      <c r="C2174" s="397" t="s">
        <v>1053</v>
      </c>
      <c r="D2174" s="397" t="s">
        <v>7062</v>
      </c>
      <c r="E2174" s="397" t="s">
        <v>7061</v>
      </c>
      <c r="F2174" s="397" t="s">
        <v>191</v>
      </c>
      <c r="G2174" s="396">
        <v>1</v>
      </c>
      <c r="H2174" s="395">
        <v>126966.83300000001</v>
      </c>
      <c r="I2174" s="394">
        <v>126625.96</v>
      </c>
      <c r="J2174" s="394">
        <v>181381.19</v>
      </c>
      <c r="K2174" s="393" t="s">
        <v>1033</v>
      </c>
    </row>
    <row r="2175" spans="1:12" hidden="1" x14ac:dyDescent="0.3">
      <c r="A2175" s="397" t="s">
        <v>7490</v>
      </c>
      <c r="C2175" s="397" t="s">
        <v>1053</v>
      </c>
      <c r="D2175" s="397" t="s">
        <v>7489</v>
      </c>
      <c r="E2175" s="397" t="s">
        <v>7488</v>
      </c>
      <c r="F2175" s="397" t="s">
        <v>191</v>
      </c>
      <c r="G2175" s="396">
        <v>10</v>
      </c>
      <c r="H2175" s="395">
        <v>2833.348</v>
      </c>
      <c r="I2175" s="394">
        <v>2690.17</v>
      </c>
      <c r="J2175" s="394">
        <v>4047.64</v>
      </c>
      <c r="K2175" s="393" t="s">
        <v>1033</v>
      </c>
    </row>
    <row r="2176" spans="1:12" hidden="1" x14ac:dyDescent="0.3">
      <c r="A2176" s="397" t="s">
        <v>6957</v>
      </c>
      <c r="C2176" s="397" t="s">
        <v>1053</v>
      </c>
      <c r="D2176" s="397" t="s">
        <v>6956</v>
      </c>
      <c r="E2176" s="397" t="s">
        <v>6955</v>
      </c>
      <c r="F2176" s="397" t="s">
        <v>191</v>
      </c>
      <c r="G2176" s="396">
        <v>1</v>
      </c>
      <c r="H2176" s="395">
        <v>18396.231</v>
      </c>
      <c r="I2176" s="394">
        <v>12302.93</v>
      </c>
      <c r="J2176" s="394">
        <v>26280.33</v>
      </c>
      <c r="K2176" s="393" t="s">
        <v>1033</v>
      </c>
    </row>
    <row r="2177" spans="1:11" hidden="1" x14ac:dyDescent="0.3">
      <c r="A2177" s="397" t="s">
        <v>7697</v>
      </c>
      <c r="C2177" s="397" t="s">
        <v>1053</v>
      </c>
      <c r="D2177" s="397" t="s">
        <v>7696</v>
      </c>
      <c r="E2177" s="397" t="s">
        <v>7695</v>
      </c>
      <c r="F2177" s="397" t="s">
        <v>191</v>
      </c>
      <c r="G2177" s="396">
        <v>1</v>
      </c>
      <c r="H2177" s="395">
        <v>37729.748</v>
      </c>
      <c r="I2177" s="394">
        <v>3440.61</v>
      </c>
      <c r="J2177" s="394">
        <v>53899.64</v>
      </c>
      <c r="K2177" s="393" t="s">
        <v>1033</v>
      </c>
    </row>
    <row r="2178" spans="1:11" hidden="1" x14ac:dyDescent="0.3">
      <c r="A2178" s="397" t="s">
        <v>8066</v>
      </c>
      <c r="C2178" s="397" t="s">
        <v>1053</v>
      </c>
      <c r="D2178" s="397" t="s">
        <v>8065</v>
      </c>
      <c r="E2178" s="397" t="s">
        <v>8062</v>
      </c>
      <c r="F2178" s="397" t="s">
        <v>191</v>
      </c>
      <c r="G2178" s="396">
        <v>8</v>
      </c>
      <c r="H2178" s="395">
        <v>7100.8559999999998</v>
      </c>
      <c r="I2178" s="394">
        <v>1472.38</v>
      </c>
      <c r="J2178" s="394">
        <v>10144.08</v>
      </c>
      <c r="K2178" s="393" t="s">
        <v>1033</v>
      </c>
    </row>
    <row r="2179" spans="1:11" hidden="1" x14ac:dyDescent="0.3">
      <c r="A2179" s="397" t="s">
        <v>2816</v>
      </c>
      <c r="C2179" s="397" t="s">
        <v>1053</v>
      </c>
      <c r="D2179" s="397" t="s">
        <v>2815</v>
      </c>
      <c r="E2179" s="397" t="s">
        <v>677</v>
      </c>
      <c r="F2179" s="397" t="s">
        <v>191</v>
      </c>
      <c r="G2179" s="396">
        <v>1</v>
      </c>
      <c r="H2179" s="395">
        <v>57.756999999999998</v>
      </c>
      <c r="I2179" s="394">
        <v>54.97</v>
      </c>
      <c r="J2179" s="394">
        <v>82.51</v>
      </c>
      <c r="K2179" s="393" t="s">
        <v>1033</v>
      </c>
    </row>
    <row r="2180" spans="1:11" hidden="1" x14ac:dyDescent="0.3">
      <c r="A2180" s="397" t="s">
        <v>2714</v>
      </c>
      <c r="C2180" s="397" t="s">
        <v>1053</v>
      </c>
      <c r="D2180" s="397" t="s">
        <v>2713</v>
      </c>
      <c r="E2180" s="397" t="s">
        <v>374</v>
      </c>
      <c r="F2180" s="397" t="s">
        <v>191</v>
      </c>
      <c r="G2180" s="396">
        <v>16</v>
      </c>
      <c r="H2180" s="395">
        <v>1084.2370000000001</v>
      </c>
      <c r="I2180" s="394">
        <v>1014.34</v>
      </c>
      <c r="J2180" s="394">
        <v>1548.91</v>
      </c>
      <c r="K2180" s="393" t="s">
        <v>1033</v>
      </c>
    </row>
    <row r="2181" spans="1:11" hidden="1" x14ac:dyDescent="0.3">
      <c r="A2181" s="397" t="s">
        <v>877</v>
      </c>
      <c r="C2181" s="397" t="s">
        <v>1053</v>
      </c>
      <c r="D2181" s="397" t="s">
        <v>2228</v>
      </c>
      <c r="E2181" s="397" t="s">
        <v>2225</v>
      </c>
      <c r="F2181" s="397" t="s">
        <v>191</v>
      </c>
      <c r="G2181" s="396">
        <v>1</v>
      </c>
      <c r="H2181" s="395">
        <v>5146.5609999999997</v>
      </c>
      <c r="I2181" s="394">
        <v>4903.59</v>
      </c>
      <c r="J2181" s="394">
        <v>7352.2300000000005</v>
      </c>
      <c r="K2181" s="393" t="s">
        <v>1033</v>
      </c>
    </row>
    <row r="2182" spans="1:11" hidden="1" x14ac:dyDescent="0.3">
      <c r="A2182" s="397" t="s">
        <v>2048</v>
      </c>
      <c r="C2182" s="397" t="s">
        <v>1053</v>
      </c>
      <c r="D2182" s="397" t="s">
        <v>2047</v>
      </c>
      <c r="E2182" s="397" t="s">
        <v>2046</v>
      </c>
      <c r="F2182" s="397" t="s">
        <v>191</v>
      </c>
      <c r="G2182" s="396">
        <v>4</v>
      </c>
      <c r="H2182" s="395">
        <v>1697.269</v>
      </c>
      <c r="I2182" s="394">
        <v>76.02</v>
      </c>
      <c r="J2182" s="394">
        <v>2424.67</v>
      </c>
      <c r="K2182" s="393" t="s">
        <v>1033</v>
      </c>
    </row>
    <row r="2183" spans="1:11" hidden="1" x14ac:dyDescent="0.3">
      <c r="A2183" s="397" t="s">
        <v>2790</v>
      </c>
      <c r="C2183" s="397" t="s">
        <v>1053</v>
      </c>
      <c r="D2183" s="397" t="s">
        <v>2789</v>
      </c>
      <c r="E2183" s="397" t="s">
        <v>677</v>
      </c>
      <c r="F2183" s="397" t="s">
        <v>191</v>
      </c>
      <c r="G2183" s="396">
        <v>3</v>
      </c>
      <c r="H2183" s="395">
        <v>88761.035999999993</v>
      </c>
      <c r="I2183" s="394">
        <v>1235.45</v>
      </c>
      <c r="J2183" s="394">
        <v>126801.48</v>
      </c>
      <c r="K2183" s="393" t="s">
        <v>1033</v>
      </c>
    </row>
    <row r="2184" spans="1:11" hidden="1" x14ac:dyDescent="0.3">
      <c r="A2184" s="397" t="s">
        <v>7639</v>
      </c>
      <c r="C2184" s="397" t="s">
        <v>1053</v>
      </c>
      <c r="D2184" s="397" t="s">
        <v>7638</v>
      </c>
      <c r="E2184" s="397" t="s">
        <v>7637</v>
      </c>
      <c r="F2184" s="397" t="s">
        <v>191</v>
      </c>
      <c r="G2184" s="396">
        <v>4</v>
      </c>
      <c r="H2184" s="395">
        <v>9864.2459999999992</v>
      </c>
      <c r="I2184" s="394">
        <v>9827.6200000000008</v>
      </c>
      <c r="J2184" s="394">
        <v>14091.78</v>
      </c>
      <c r="K2184" s="393" t="s">
        <v>1033</v>
      </c>
    </row>
    <row r="2185" spans="1:11" hidden="1" x14ac:dyDescent="0.3">
      <c r="A2185" s="397" t="s">
        <v>2987</v>
      </c>
      <c r="C2185" s="397" t="s">
        <v>1053</v>
      </c>
      <c r="D2185" s="397" t="s">
        <v>2986</v>
      </c>
      <c r="E2185" s="397" t="s">
        <v>2002</v>
      </c>
      <c r="F2185" s="397" t="s">
        <v>191</v>
      </c>
      <c r="G2185" s="396">
        <v>7</v>
      </c>
      <c r="H2185" s="395">
        <v>6953.3380000000006</v>
      </c>
      <c r="I2185" s="394">
        <v>6743.72</v>
      </c>
      <c r="J2185" s="394">
        <v>9933.34</v>
      </c>
      <c r="K2185" s="393" t="s">
        <v>1033</v>
      </c>
    </row>
    <row r="2186" spans="1:11" hidden="1" x14ac:dyDescent="0.3">
      <c r="A2186" s="397" t="s">
        <v>7029</v>
      </c>
      <c r="C2186" s="397" t="s">
        <v>1053</v>
      </c>
      <c r="D2186" s="397" t="s">
        <v>7028</v>
      </c>
      <c r="E2186" s="397" t="s">
        <v>7027</v>
      </c>
      <c r="F2186" s="397" t="s">
        <v>191</v>
      </c>
      <c r="G2186" s="396">
        <v>1</v>
      </c>
      <c r="H2186" s="395">
        <v>102000.52099999999</v>
      </c>
      <c r="I2186" s="394">
        <v>3272.65</v>
      </c>
      <c r="J2186" s="394">
        <v>145715.03</v>
      </c>
      <c r="K2186" s="393" t="s">
        <v>1033</v>
      </c>
    </row>
    <row r="2187" spans="1:11" hidden="1" x14ac:dyDescent="0.3">
      <c r="A2187" s="397" t="s">
        <v>6458</v>
      </c>
      <c r="C2187" s="397" t="s">
        <v>1053</v>
      </c>
      <c r="D2187" s="397" t="s">
        <v>6457</v>
      </c>
      <c r="E2187" s="397" t="s">
        <v>6451</v>
      </c>
      <c r="F2187" s="397" t="s">
        <v>191</v>
      </c>
      <c r="G2187" s="396">
        <v>2</v>
      </c>
      <c r="H2187" s="395">
        <v>113764.315</v>
      </c>
      <c r="I2187" s="394">
        <v>110862.74</v>
      </c>
      <c r="J2187" s="394">
        <v>162520.45000000001</v>
      </c>
      <c r="K2187" s="393" t="s">
        <v>1033</v>
      </c>
    </row>
    <row r="2188" spans="1:11" hidden="1" x14ac:dyDescent="0.3">
      <c r="A2188" s="397" t="s">
        <v>6841</v>
      </c>
      <c r="C2188" s="397" t="s">
        <v>1053</v>
      </c>
      <c r="D2188" s="397" t="s">
        <v>503</v>
      </c>
      <c r="E2188" s="397" t="s">
        <v>504</v>
      </c>
      <c r="F2188" s="397" t="s">
        <v>191</v>
      </c>
      <c r="G2188" s="396">
        <v>4</v>
      </c>
      <c r="H2188" s="395">
        <v>18846.212</v>
      </c>
      <c r="I2188" s="394">
        <v>17721.87</v>
      </c>
      <c r="J2188" s="394">
        <v>26923.16</v>
      </c>
      <c r="K2188" s="393" t="s">
        <v>1033</v>
      </c>
    </row>
    <row r="2189" spans="1:11" hidden="1" x14ac:dyDescent="0.3">
      <c r="A2189" s="397" t="s">
        <v>7010</v>
      </c>
      <c r="C2189" s="397" t="s">
        <v>1053</v>
      </c>
      <c r="D2189" s="397" t="s">
        <v>7009</v>
      </c>
      <c r="E2189" s="397" t="s">
        <v>6992</v>
      </c>
      <c r="F2189" s="397" t="s">
        <v>191</v>
      </c>
      <c r="G2189" s="396">
        <v>1</v>
      </c>
      <c r="H2189" s="395">
        <v>64989.057000000001</v>
      </c>
      <c r="I2189" s="394">
        <v>2767.94</v>
      </c>
      <c r="J2189" s="394">
        <v>92841.51</v>
      </c>
      <c r="K2189" s="393" t="s">
        <v>1033</v>
      </c>
    </row>
    <row r="2190" spans="1:11" hidden="1" x14ac:dyDescent="0.3">
      <c r="A2190" s="397" t="s">
        <v>2774</v>
      </c>
      <c r="C2190" s="397" t="s">
        <v>1053</v>
      </c>
      <c r="D2190" s="397" t="s">
        <v>2773</v>
      </c>
      <c r="E2190" s="397" t="s">
        <v>677</v>
      </c>
      <c r="F2190" s="397" t="s">
        <v>191</v>
      </c>
      <c r="G2190" s="396">
        <v>1</v>
      </c>
      <c r="H2190" s="395">
        <v>100801.77800000001</v>
      </c>
      <c r="I2190" s="394">
        <v>4690.0600000000004</v>
      </c>
      <c r="J2190" s="394">
        <v>144002.54</v>
      </c>
      <c r="K2190" s="393" t="s">
        <v>1033</v>
      </c>
    </row>
    <row r="2191" spans="1:11" hidden="1" x14ac:dyDescent="0.3">
      <c r="A2191" s="397" t="s">
        <v>2798</v>
      </c>
      <c r="C2191" s="397" t="s">
        <v>1053</v>
      </c>
      <c r="D2191" s="397" t="s">
        <v>2797</v>
      </c>
      <c r="E2191" s="397" t="s">
        <v>677</v>
      </c>
      <c r="F2191" s="397" t="s">
        <v>191</v>
      </c>
      <c r="G2191" s="396">
        <v>2</v>
      </c>
      <c r="H2191" s="395">
        <v>73788.918000000005</v>
      </c>
      <c r="I2191" s="394">
        <v>2909.31</v>
      </c>
      <c r="J2191" s="394">
        <v>105412.74</v>
      </c>
      <c r="K2191" s="393" t="s">
        <v>1033</v>
      </c>
    </row>
    <row r="2192" spans="1:11" hidden="1" x14ac:dyDescent="0.3">
      <c r="A2192" s="397" t="s">
        <v>2822</v>
      </c>
      <c r="C2192" s="397" t="s">
        <v>1053</v>
      </c>
      <c r="D2192" s="397" t="s">
        <v>2821</v>
      </c>
      <c r="E2192" s="397" t="s">
        <v>677</v>
      </c>
      <c r="F2192" s="397" t="s">
        <v>191</v>
      </c>
      <c r="G2192" s="396">
        <v>2</v>
      </c>
      <c r="H2192" s="395">
        <v>114954.371</v>
      </c>
      <c r="I2192" s="394">
        <v>5596.74</v>
      </c>
      <c r="J2192" s="394">
        <v>164220.53</v>
      </c>
      <c r="K2192" s="393" t="s">
        <v>1033</v>
      </c>
    </row>
    <row r="2193" spans="1:12" hidden="1" x14ac:dyDescent="0.3">
      <c r="A2193" s="397" t="s">
        <v>4462</v>
      </c>
      <c r="C2193" s="397" t="s">
        <v>1053</v>
      </c>
      <c r="D2193" s="397" t="s">
        <v>4461</v>
      </c>
      <c r="E2193" s="397" t="s">
        <v>4460</v>
      </c>
      <c r="F2193" s="397" t="s">
        <v>191</v>
      </c>
      <c r="G2193" s="396">
        <v>3</v>
      </c>
      <c r="H2193" s="395">
        <v>6694.9049999999997</v>
      </c>
      <c r="I2193" s="394">
        <v>235.15</v>
      </c>
      <c r="J2193" s="394">
        <v>9564.15</v>
      </c>
      <c r="K2193" s="393" t="s">
        <v>1033</v>
      </c>
    </row>
    <row r="2194" spans="1:12" hidden="1" x14ac:dyDescent="0.3">
      <c r="A2194" s="397" t="s">
        <v>2814</v>
      </c>
      <c r="C2194" s="397" t="s">
        <v>1053</v>
      </c>
      <c r="D2194" s="397" t="s">
        <v>2813</v>
      </c>
      <c r="E2194" s="397" t="s">
        <v>677</v>
      </c>
      <c r="F2194" s="397" t="s">
        <v>191</v>
      </c>
      <c r="G2194" s="396">
        <v>3</v>
      </c>
      <c r="H2194" s="395">
        <v>29156.238999999994</v>
      </c>
      <c r="I2194" s="394">
        <v>28186.93</v>
      </c>
      <c r="J2194" s="394">
        <v>41651.769999999997</v>
      </c>
      <c r="K2194" s="393" t="s">
        <v>1033</v>
      </c>
    </row>
    <row r="2195" spans="1:12" hidden="1" x14ac:dyDescent="0.3">
      <c r="A2195" s="397" t="s">
        <v>6657</v>
      </c>
      <c r="C2195" s="397" t="s">
        <v>1053</v>
      </c>
      <c r="D2195" s="397" t="s">
        <v>6656</v>
      </c>
      <c r="E2195" s="397" t="s">
        <v>6653</v>
      </c>
      <c r="F2195" s="397" t="s">
        <v>191</v>
      </c>
      <c r="G2195" s="396">
        <v>5</v>
      </c>
      <c r="H2195" s="395">
        <v>16335.473</v>
      </c>
      <c r="I2195" s="394">
        <v>13306.32</v>
      </c>
      <c r="J2195" s="394">
        <v>23336.39</v>
      </c>
      <c r="K2195" s="393" t="s">
        <v>1033</v>
      </c>
    </row>
    <row r="2196" spans="1:12" hidden="1" x14ac:dyDescent="0.3">
      <c r="A2196" s="397" t="s">
        <v>2788</v>
      </c>
      <c r="C2196" s="397" t="s">
        <v>1053</v>
      </c>
      <c r="D2196" s="397" t="s">
        <v>690</v>
      </c>
      <c r="E2196" s="397" t="s">
        <v>677</v>
      </c>
      <c r="F2196" s="397" t="s">
        <v>191</v>
      </c>
      <c r="G2196" s="396">
        <v>2</v>
      </c>
      <c r="H2196" s="395">
        <v>66570.777000000002</v>
      </c>
      <c r="I2196" s="394">
        <v>64396.78</v>
      </c>
      <c r="J2196" s="394">
        <v>95101.11</v>
      </c>
      <c r="K2196" s="393" t="s">
        <v>1033</v>
      </c>
    </row>
    <row r="2197" spans="1:12" hidden="1" x14ac:dyDescent="0.3">
      <c r="A2197" s="397" t="s">
        <v>2792</v>
      </c>
      <c r="C2197" s="397" t="s">
        <v>1053</v>
      </c>
      <c r="D2197" s="397" t="s">
        <v>2791</v>
      </c>
      <c r="E2197" s="397" t="s">
        <v>677</v>
      </c>
      <c r="F2197" s="397" t="s">
        <v>191</v>
      </c>
      <c r="G2197" s="396">
        <v>3</v>
      </c>
      <c r="H2197" s="395">
        <v>110415.45199999999</v>
      </c>
      <c r="I2197" s="394">
        <v>106829.7</v>
      </c>
      <c r="J2197" s="394">
        <v>157736.35999999999</v>
      </c>
      <c r="K2197" s="393" t="s">
        <v>1033</v>
      </c>
    </row>
    <row r="2198" spans="1:12" hidden="1" x14ac:dyDescent="0.3">
      <c r="A2198" s="397" t="s">
        <v>2794</v>
      </c>
      <c r="C2198" s="397" t="s">
        <v>1053</v>
      </c>
      <c r="D2198" s="397" t="s">
        <v>2793</v>
      </c>
      <c r="E2198" s="397" t="s">
        <v>677</v>
      </c>
      <c r="F2198" s="397" t="s">
        <v>191</v>
      </c>
      <c r="G2198" s="396">
        <v>3</v>
      </c>
      <c r="H2198" s="395">
        <v>71393.377999999997</v>
      </c>
      <c r="I2198" s="394">
        <v>69064.09</v>
      </c>
      <c r="J2198" s="394">
        <v>101990.54000000001</v>
      </c>
      <c r="K2198" s="393" t="s">
        <v>1033</v>
      </c>
    </row>
    <row r="2199" spans="1:12" hidden="1" x14ac:dyDescent="0.3">
      <c r="A2199" s="397" t="s">
        <v>2779</v>
      </c>
      <c r="C2199" s="397" t="s">
        <v>1053</v>
      </c>
      <c r="D2199" s="397" t="s">
        <v>2778</v>
      </c>
      <c r="E2199" s="397" t="s">
        <v>677</v>
      </c>
      <c r="F2199" s="397" t="s">
        <v>191</v>
      </c>
      <c r="G2199" s="396">
        <v>1</v>
      </c>
      <c r="H2199" s="395">
        <v>37849.525000000001</v>
      </c>
      <c r="I2199" s="394">
        <v>361.2</v>
      </c>
      <c r="J2199" s="394">
        <v>54070.75</v>
      </c>
      <c r="K2199" s="393" t="s">
        <v>1033</v>
      </c>
    </row>
    <row r="2200" spans="1:12" hidden="1" x14ac:dyDescent="0.3">
      <c r="A2200" s="397" t="s">
        <v>2983</v>
      </c>
      <c r="C2200" s="397" t="s">
        <v>1053</v>
      </c>
      <c r="D2200" s="397" t="s">
        <v>2982</v>
      </c>
      <c r="E2200" s="397" t="s">
        <v>2002</v>
      </c>
      <c r="F2200" s="397" t="s">
        <v>191</v>
      </c>
      <c r="G2200" s="396">
        <v>5</v>
      </c>
      <c r="H2200" s="395">
        <v>4544.3090000000002</v>
      </c>
      <c r="I2200" s="394">
        <v>4402.93</v>
      </c>
      <c r="J2200" s="394">
        <v>6491.87</v>
      </c>
      <c r="K2200" s="393" t="s">
        <v>1033</v>
      </c>
    </row>
    <row r="2201" spans="1:12" hidden="1" x14ac:dyDescent="0.3">
      <c r="A2201" s="397" t="s">
        <v>2985</v>
      </c>
      <c r="C2201" s="397" t="s">
        <v>1053</v>
      </c>
      <c r="D2201" s="397" t="s">
        <v>2984</v>
      </c>
      <c r="E2201" s="397" t="s">
        <v>2566</v>
      </c>
      <c r="F2201" s="397" t="s">
        <v>191</v>
      </c>
      <c r="G2201" s="396">
        <v>3</v>
      </c>
      <c r="H2201" s="395">
        <v>4662.0349999999999</v>
      </c>
      <c r="I2201" s="394">
        <v>4358.8999999999996</v>
      </c>
      <c r="J2201" s="394">
        <v>6660.05</v>
      </c>
      <c r="K2201" s="393" t="s">
        <v>1033</v>
      </c>
    </row>
    <row r="2202" spans="1:12" hidden="1" x14ac:dyDescent="0.3">
      <c r="A2202" s="397" t="s">
        <v>3025</v>
      </c>
      <c r="C2202" s="397" t="s">
        <v>1053</v>
      </c>
      <c r="D2202" s="397" t="s">
        <v>3024</v>
      </c>
      <c r="E2202" s="397" t="s">
        <v>3023</v>
      </c>
      <c r="F2202" s="397" t="s">
        <v>191</v>
      </c>
      <c r="G2202" s="396">
        <v>16</v>
      </c>
      <c r="H2202" s="395">
        <v>2496.4029999999998</v>
      </c>
      <c r="I2202" s="394">
        <v>190.74</v>
      </c>
      <c r="J2202" s="394">
        <v>3566.29</v>
      </c>
      <c r="K2202" s="393" t="s">
        <v>1033</v>
      </c>
    </row>
    <row r="2203" spans="1:12" hidden="1" x14ac:dyDescent="0.3">
      <c r="A2203" s="397" t="s">
        <v>2826</v>
      </c>
      <c r="C2203" s="397" t="s">
        <v>1053</v>
      </c>
      <c r="D2203" s="397" t="s">
        <v>2825</v>
      </c>
      <c r="E2203" s="397" t="s">
        <v>677</v>
      </c>
      <c r="F2203" s="397" t="s">
        <v>191</v>
      </c>
      <c r="G2203" s="396">
        <v>2</v>
      </c>
      <c r="H2203" s="395">
        <v>33442.99</v>
      </c>
      <c r="I2203" s="394">
        <v>111.48</v>
      </c>
      <c r="J2203" s="394">
        <v>47775.700000000004</v>
      </c>
      <c r="K2203" s="393" t="s">
        <v>1033</v>
      </c>
    </row>
    <row r="2204" spans="1:12" hidden="1" x14ac:dyDescent="0.3">
      <c r="A2204" s="397" t="s">
        <v>5021</v>
      </c>
      <c r="C2204" s="397" t="s">
        <v>1053</v>
      </c>
      <c r="D2204" s="397" t="s">
        <v>5020</v>
      </c>
      <c r="E2204" s="397" t="s">
        <v>5019</v>
      </c>
      <c r="F2204" s="397" t="s">
        <v>191</v>
      </c>
      <c r="G2204" s="396">
        <v>2</v>
      </c>
      <c r="H2204" s="395">
        <v>19893.223000000002</v>
      </c>
      <c r="I2204" s="394">
        <v>14101.51</v>
      </c>
      <c r="J2204" s="394">
        <v>28418.89</v>
      </c>
      <c r="K2204" s="393" t="s">
        <v>1033</v>
      </c>
    </row>
    <row r="2205" spans="1:12" hidden="1" x14ac:dyDescent="0.3">
      <c r="A2205" s="397" t="s">
        <v>8064</v>
      </c>
      <c r="C2205" s="397" t="s">
        <v>1053</v>
      </c>
      <c r="D2205" s="397" t="s">
        <v>8063</v>
      </c>
      <c r="E2205" s="397" t="s">
        <v>8062</v>
      </c>
      <c r="F2205" s="397" t="s">
        <v>191</v>
      </c>
      <c r="G2205" s="396">
        <v>2</v>
      </c>
      <c r="H2205" s="395">
        <v>32181.233</v>
      </c>
      <c r="I2205" s="394">
        <v>32082.23</v>
      </c>
      <c r="J2205" s="394">
        <v>45973.19</v>
      </c>
      <c r="K2205" s="393" t="s">
        <v>1033</v>
      </c>
    </row>
    <row r="2206" spans="1:12" hidden="1" x14ac:dyDescent="0.3">
      <c r="A2206" s="397" t="s">
        <v>2818</v>
      </c>
      <c r="C2206" s="397" t="s">
        <v>1053</v>
      </c>
      <c r="D2206" s="397" t="s">
        <v>2817</v>
      </c>
      <c r="E2206" s="397" t="s">
        <v>677</v>
      </c>
      <c r="F2206" s="397" t="s">
        <v>191</v>
      </c>
      <c r="G2206" s="396">
        <v>2</v>
      </c>
      <c r="H2206" s="395">
        <v>29156.238999999994</v>
      </c>
      <c r="I2206" s="394">
        <v>1510.81</v>
      </c>
      <c r="J2206" s="394">
        <v>41651.769999999997</v>
      </c>
      <c r="K2206" s="393" t="s">
        <v>1033</v>
      </c>
    </row>
    <row r="2207" spans="1:12" hidden="1" x14ac:dyDescent="0.3">
      <c r="A2207" s="397" t="s">
        <v>6139</v>
      </c>
      <c r="C2207" s="397" t="s">
        <v>1053</v>
      </c>
      <c r="D2207" s="397" t="s">
        <v>6138</v>
      </c>
      <c r="E2207" s="397" t="s">
        <v>6137</v>
      </c>
      <c r="F2207" s="397" t="s">
        <v>191</v>
      </c>
      <c r="G2207" s="396">
        <v>8</v>
      </c>
      <c r="H2207" s="395">
        <v>34436.192000000003</v>
      </c>
      <c r="I2207" s="394">
        <v>33106.39</v>
      </c>
      <c r="J2207" s="394">
        <v>49194.559999999998</v>
      </c>
      <c r="K2207" s="393" t="s">
        <v>1033</v>
      </c>
    </row>
    <row r="2208" spans="1:12" hidden="1" x14ac:dyDescent="0.3">
      <c r="A2208" s="397" t="s">
        <v>6921</v>
      </c>
      <c r="C2208" s="397" t="s">
        <v>1053</v>
      </c>
      <c r="D2208" s="397" t="s">
        <v>6920</v>
      </c>
      <c r="E2208" s="397" t="s">
        <v>6919</v>
      </c>
      <c r="F2208" s="397" t="s">
        <v>191</v>
      </c>
      <c r="G2208" s="396">
        <v>2</v>
      </c>
      <c r="H2208" s="395">
        <v>342376.16000000003</v>
      </c>
      <c r="I2208" s="394">
        <v>336980.3</v>
      </c>
      <c r="J2208" s="394">
        <v>489108.8</v>
      </c>
      <c r="K2208" s="393" t="s">
        <v>1033</v>
      </c>
      <c r="L2208" s="395">
        <v>1</v>
      </c>
    </row>
    <row r="2209" spans="1:12" hidden="1" x14ac:dyDescent="0.3">
      <c r="A2209" s="397" t="s">
        <v>6732</v>
      </c>
      <c r="C2209" s="397" t="s">
        <v>1053</v>
      </c>
      <c r="D2209" s="397" t="s">
        <v>6731</v>
      </c>
      <c r="E2209" s="397" t="s">
        <v>6730</v>
      </c>
      <c r="F2209" s="397" t="s">
        <v>191</v>
      </c>
      <c r="G2209" s="396">
        <v>2</v>
      </c>
      <c r="H2209" s="395">
        <v>52943.912000000004</v>
      </c>
      <c r="I2209" s="394">
        <v>95.960000000000008</v>
      </c>
      <c r="J2209" s="394">
        <v>75634.16</v>
      </c>
      <c r="K2209" s="393" t="s">
        <v>1033</v>
      </c>
    </row>
    <row r="2210" spans="1:12" hidden="1" x14ac:dyDescent="0.3">
      <c r="A2210" s="397" t="s">
        <v>7852</v>
      </c>
      <c r="C2210" s="397" t="s">
        <v>1053</v>
      </c>
      <c r="D2210" s="397" t="s">
        <v>7851</v>
      </c>
      <c r="E2210" s="397" t="s">
        <v>7850</v>
      </c>
      <c r="F2210" s="397" t="s">
        <v>191</v>
      </c>
      <c r="G2210" s="396">
        <v>1</v>
      </c>
      <c r="H2210" s="395">
        <v>185604.81100000002</v>
      </c>
      <c r="I2210" s="394">
        <v>7423.1</v>
      </c>
      <c r="J2210" s="394">
        <v>265149.73</v>
      </c>
      <c r="K2210" s="393" t="s">
        <v>1033</v>
      </c>
    </row>
    <row r="2211" spans="1:12" hidden="1" x14ac:dyDescent="0.3">
      <c r="A2211" s="397" t="s">
        <v>8269</v>
      </c>
      <c r="C2211" s="397" t="s">
        <v>1053</v>
      </c>
      <c r="D2211" s="397" t="s">
        <v>8268</v>
      </c>
      <c r="E2211" s="397" t="s">
        <v>8267</v>
      </c>
      <c r="F2211" s="397" t="s">
        <v>191</v>
      </c>
      <c r="G2211" s="396">
        <v>3</v>
      </c>
      <c r="H2211" s="395">
        <v>61.844999999999999</v>
      </c>
      <c r="I2211" s="394">
        <v>17.34</v>
      </c>
      <c r="J2211" s="394">
        <v>88.350000000000009</v>
      </c>
      <c r="K2211" s="393" t="s">
        <v>1033</v>
      </c>
    </row>
    <row r="2212" spans="1:12" hidden="1" x14ac:dyDescent="0.3">
      <c r="A2212" s="397" t="s">
        <v>6094</v>
      </c>
      <c r="C2212" s="397" t="s">
        <v>1053</v>
      </c>
      <c r="D2212" s="397" t="s">
        <v>834</v>
      </c>
      <c r="E2212" s="397" t="s">
        <v>581</v>
      </c>
      <c r="F2212" s="397" t="s">
        <v>191</v>
      </c>
      <c r="G2212" s="396">
        <v>2</v>
      </c>
      <c r="H2212" s="395">
        <v>16370.451999999999</v>
      </c>
      <c r="I2212" s="394">
        <v>770.77</v>
      </c>
      <c r="J2212" s="394">
        <v>23386.36</v>
      </c>
      <c r="K2212" s="393" t="s">
        <v>1033</v>
      </c>
    </row>
    <row r="2213" spans="1:12" hidden="1" x14ac:dyDescent="0.3">
      <c r="A2213" s="397" t="s">
        <v>6109</v>
      </c>
      <c r="C2213" s="397" t="s">
        <v>1053</v>
      </c>
      <c r="D2213" s="397" t="s">
        <v>6108</v>
      </c>
      <c r="E2213" s="397" t="s">
        <v>581</v>
      </c>
      <c r="F2213" s="397" t="s">
        <v>191</v>
      </c>
      <c r="G2213" s="396">
        <v>4</v>
      </c>
      <c r="H2213" s="395">
        <v>36080.702000000005</v>
      </c>
      <c r="I2213" s="394">
        <v>26816.010000000002</v>
      </c>
      <c r="J2213" s="394">
        <v>51543.86</v>
      </c>
      <c r="K2213" s="393" t="s">
        <v>1033</v>
      </c>
    </row>
    <row r="2214" spans="1:12" hidden="1" x14ac:dyDescent="0.3">
      <c r="A2214" s="397" t="s">
        <v>7871</v>
      </c>
      <c r="C2214" s="397" t="s">
        <v>1053</v>
      </c>
      <c r="D2214" s="397" t="s">
        <v>7870</v>
      </c>
      <c r="E2214" s="397" t="s">
        <v>7869</v>
      </c>
      <c r="F2214" s="397" t="s">
        <v>191</v>
      </c>
      <c r="G2214" s="396">
        <v>1</v>
      </c>
      <c r="H2214" s="395">
        <v>149840.98500000002</v>
      </c>
      <c r="I2214" s="394">
        <v>266.23</v>
      </c>
      <c r="J2214" s="394">
        <v>214058.55000000002</v>
      </c>
      <c r="K2214" s="393" t="s">
        <v>1033</v>
      </c>
    </row>
    <row r="2215" spans="1:12" hidden="1" x14ac:dyDescent="0.3">
      <c r="A2215" s="397" t="s">
        <v>835</v>
      </c>
      <c r="C2215" s="397" t="s">
        <v>1053</v>
      </c>
      <c r="D2215" s="397" t="s">
        <v>580</v>
      </c>
      <c r="E2215" s="397" t="s">
        <v>581</v>
      </c>
      <c r="F2215" s="397" t="s">
        <v>191</v>
      </c>
      <c r="G2215" s="396">
        <v>19</v>
      </c>
      <c r="H2215" s="395">
        <v>26225.577000000001</v>
      </c>
      <c r="I2215" s="394">
        <v>25525.83</v>
      </c>
      <c r="J2215" s="394">
        <v>37465.11</v>
      </c>
      <c r="K2215" s="393" t="s">
        <v>1033</v>
      </c>
      <c r="L2215" s="395">
        <v>2</v>
      </c>
    </row>
    <row r="2216" spans="1:12" hidden="1" x14ac:dyDescent="0.3">
      <c r="A2216" s="397" t="s">
        <v>7849</v>
      </c>
      <c r="C2216" s="397" t="s">
        <v>1053</v>
      </c>
      <c r="D2216" s="397" t="s">
        <v>7848</v>
      </c>
      <c r="E2216" s="397" t="s">
        <v>7847</v>
      </c>
      <c r="F2216" s="397" t="s">
        <v>191</v>
      </c>
      <c r="G2216" s="396">
        <v>1</v>
      </c>
      <c r="H2216" s="395">
        <v>141160.30600000001</v>
      </c>
      <c r="I2216" s="394">
        <v>4469.24</v>
      </c>
      <c r="J2216" s="394">
        <v>201657.58000000002</v>
      </c>
      <c r="K2216" s="393" t="s">
        <v>1033</v>
      </c>
      <c r="L2216" s="395">
        <v>3</v>
      </c>
    </row>
    <row r="2217" spans="1:12" hidden="1" x14ac:dyDescent="0.3">
      <c r="A2217" s="397" t="s">
        <v>7881</v>
      </c>
      <c r="C2217" s="397" t="s">
        <v>1053</v>
      </c>
      <c r="D2217" s="397" t="s">
        <v>7880</v>
      </c>
      <c r="E2217" s="397" t="s">
        <v>7835</v>
      </c>
      <c r="F2217" s="397" t="s">
        <v>191</v>
      </c>
      <c r="G2217" s="396">
        <v>1</v>
      </c>
      <c r="H2217" s="395">
        <v>120068.24900000001</v>
      </c>
      <c r="I2217" s="394">
        <v>8702.68</v>
      </c>
      <c r="J2217" s="394">
        <v>171526.07</v>
      </c>
      <c r="K2217" s="393" t="s">
        <v>1033</v>
      </c>
    </row>
    <row r="2218" spans="1:12" hidden="1" x14ac:dyDescent="0.3">
      <c r="A2218" s="397" t="s">
        <v>7873</v>
      </c>
      <c r="C2218" s="397" t="s">
        <v>1053</v>
      </c>
      <c r="D2218" s="397" t="s">
        <v>7872</v>
      </c>
      <c r="E2218" s="397" t="s">
        <v>7835</v>
      </c>
      <c r="F2218" s="397" t="s">
        <v>191</v>
      </c>
      <c r="G2218" s="396">
        <v>1</v>
      </c>
      <c r="H2218" s="395">
        <v>111941.03199999999</v>
      </c>
      <c r="I2218" s="394">
        <v>7825.26</v>
      </c>
      <c r="J2218" s="394">
        <v>159915.76</v>
      </c>
      <c r="K2218" s="393" t="s">
        <v>1033</v>
      </c>
    </row>
    <row r="2219" spans="1:12" hidden="1" x14ac:dyDescent="0.3">
      <c r="A2219" s="397" t="s">
        <v>6171</v>
      </c>
      <c r="C2219" s="397" t="s">
        <v>1053</v>
      </c>
      <c r="D2219" s="397" t="s">
        <v>6170</v>
      </c>
      <c r="E2219" s="397" t="s">
        <v>6167</v>
      </c>
      <c r="F2219" s="397" t="s">
        <v>191</v>
      </c>
      <c r="G2219" s="396">
        <v>2</v>
      </c>
      <c r="H2219" s="395">
        <v>71778.146999999997</v>
      </c>
      <c r="I2219" s="394">
        <v>2963.9700000000003</v>
      </c>
      <c r="J2219" s="394">
        <v>102540.21</v>
      </c>
      <c r="K2219" s="393" t="s">
        <v>1033</v>
      </c>
    </row>
    <row r="2220" spans="1:12" hidden="1" x14ac:dyDescent="0.3">
      <c r="A2220" s="397" t="s">
        <v>6155</v>
      </c>
      <c r="C2220" s="397" t="s">
        <v>1053</v>
      </c>
      <c r="D2220" s="397" t="s">
        <v>6154</v>
      </c>
      <c r="E2220" s="397" t="s">
        <v>6153</v>
      </c>
      <c r="F2220" s="397" t="s">
        <v>191</v>
      </c>
      <c r="G2220" s="396">
        <v>4</v>
      </c>
      <c r="H2220" s="395">
        <v>83987.546999999991</v>
      </c>
      <c r="I2220" s="394">
        <v>81704.95</v>
      </c>
      <c r="J2220" s="394">
        <v>119982.21</v>
      </c>
      <c r="K2220" s="393" t="s">
        <v>1033</v>
      </c>
    </row>
    <row r="2221" spans="1:12" hidden="1" x14ac:dyDescent="0.3">
      <c r="A2221" s="397" t="s">
        <v>7158</v>
      </c>
      <c r="C2221" s="397" t="s">
        <v>1053</v>
      </c>
      <c r="D2221" s="397" t="s">
        <v>479</v>
      </c>
      <c r="E2221" s="397" t="s">
        <v>480</v>
      </c>
      <c r="F2221" s="397" t="s">
        <v>191</v>
      </c>
      <c r="G2221" s="396">
        <v>1</v>
      </c>
      <c r="H2221" s="395">
        <v>162281.02100000001</v>
      </c>
      <c r="I2221" s="394">
        <v>157948.04999999999</v>
      </c>
      <c r="J2221" s="394">
        <v>231830.03</v>
      </c>
      <c r="K2221" s="393" t="s">
        <v>1033</v>
      </c>
      <c r="L2221" s="395">
        <v>-1</v>
      </c>
    </row>
    <row r="2222" spans="1:12" hidden="1" x14ac:dyDescent="0.3">
      <c r="A2222" s="397" t="s">
        <v>852</v>
      </c>
      <c r="C2222" s="397" t="s">
        <v>1053</v>
      </c>
      <c r="D2222" s="397" t="s">
        <v>547</v>
      </c>
      <c r="E2222" s="397" t="s">
        <v>548</v>
      </c>
      <c r="F2222" s="397" t="s">
        <v>191</v>
      </c>
      <c r="G2222" s="396">
        <v>6</v>
      </c>
      <c r="H2222" s="395">
        <v>357085.65200000006</v>
      </c>
      <c r="I2222" s="394">
        <v>350760.61</v>
      </c>
      <c r="J2222" s="394">
        <v>510122.36</v>
      </c>
      <c r="K2222" s="393" t="s">
        <v>1033</v>
      </c>
    </row>
    <row r="2223" spans="1:12" hidden="1" x14ac:dyDescent="0.3">
      <c r="A2223" s="397" t="s">
        <v>836</v>
      </c>
      <c r="C2223" s="397" t="s">
        <v>1053</v>
      </c>
      <c r="D2223" s="397" t="s">
        <v>575</v>
      </c>
      <c r="E2223" s="397" t="s">
        <v>576</v>
      </c>
      <c r="F2223" s="397" t="s">
        <v>191</v>
      </c>
      <c r="G2223" s="396">
        <v>7</v>
      </c>
      <c r="H2223" s="395">
        <v>112348.397</v>
      </c>
      <c r="I2223" s="394">
        <v>109460.12</v>
      </c>
      <c r="J2223" s="394">
        <v>160497.71</v>
      </c>
      <c r="K2223" s="393" t="s">
        <v>1033</v>
      </c>
      <c r="L2223" s="395">
        <v>4</v>
      </c>
    </row>
    <row r="2224" spans="1:12" hidden="1" x14ac:dyDescent="0.3">
      <c r="A2224" s="397" t="s">
        <v>7136</v>
      </c>
      <c r="C2224" s="397" t="s">
        <v>1053</v>
      </c>
      <c r="D2224" s="397" t="s">
        <v>7135</v>
      </c>
      <c r="E2224" s="397" t="s">
        <v>484</v>
      </c>
      <c r="F2224" s="397" t="s">
        <v>191</v>
      </c>
      <c r="G2224" s="396">
        <v>2</v>
      </c>
      <c r="H2224" s="395">
        <v>144555.29199999999</v>
      </c>
      <c r="I2224" s="394">
        <v>142027.43</v>
      </c>
      <c r="J2224" s="394">
        <v>206507.56</v>
      </c>
      <c r="K2224" s="393" t="s">
        <v>1033</v>
      </c>
    </row>
    <row r="2225" spans="1:12" hidden="1" x14ac:dyDescent="0.3">
      <c r="A2225" s="397" t="s">
        <v>6726</v>
      </c>
      <c r="C2225" s="397" t="s">
        <v>1053</v>
      </c>
      <c r="D2225" s="397" t="s">
        <v>6725</v>
      </c>
      <c r="E2225" s="397" t="s">
        <v>6724</v>
      </c>
      <c r="F2225" s="397" t="s">
        <v>191</v>
      </c>
      <c r="G2225" s="396">
        <v>1</v>
      </c>
      <c r="H2225" s="395">
        <v>102449.17199999999</v>
      </c>
      <c r="I2225" s="394">
        <v>80886.740000000005</v>
      </c>
      <c r="J2225" s="394">
        <v>146355.96</v>
      </c>
      <c r="K2225" s="393" t="s">
        <v>1033</v>
      </c>
      <c r="L2225" s="395">
        <v>1</v>
      </c>
    </row>
    <row r="2226" spans="1:12" hidden="1" x14ac:dyDescent="0.3">
      <c r="A2226" s="397" t="s">
        <v>2900</v>
      </c>
      <c r="C2226" s="397" t="s">
        <v>1053</v>
      </c>
      <c r="D2226" s="397" t="s">
        <v>2899</v>
      </c>
      <c r="E2226" s="397" t="s">
        <v>2898</v>
      </c>
      <c r="F2226" s="397" t="s">
        <v>191</v>
      </c>
      <c r="G2226" s="396">
        <v>23</v>
      </c>
      <c r="H2226" s="395">
        <v>27156.338999999996</v>
      </c>
      <c r="I2226" s="394">
        <v>25149.29</v>
      </c>
      <c r="J2226" s="394">
        <v>38794.769999999997</v>
      </c>
      <c r="K2226" s="393" t="s">
        <v>1033</v>
      </c>
    </row>
    <row r="2227" spans="1:12" hidden="1" x14ac:dyDescent="0.3">
      <c r="A2227" s="397" t="s">
        <v>6720</v>
      </c>
      <c r="C2227" s="397" t="s">
        <v>1053</v>
      </c>
      <c r="D2227" s="397" t="s">
        <v>6719</v>
      </c>
      <c r="E2227" s="397" t="s">
        <v>6718</v>
      </c>
      <c r="F2227" s="397" t="s">
        <v>191</v>
      </c>
      <c r="G2227" s="396">
        <v>2</v>
      </c>
      <c r="H2227" s="395">
        <v>240129.18300000002</v>
      </c>
      <c r="I2227" s="394">
        <v>10740.79</v>
      </c>
      <c r="J2227" s="394">
        <v>343041.69</v>
      </c>
      <c r="K2227" s="393" t="s">
        <v>1033</v>
      </c>
    </row>
    <row r="2228" spans="1:12" hidden="1" x14ac:dyDescent="0.3">
      <c r="A2228" s="397" t="s">
        <v>7076</v>
      </c>
      <c r="C2228" s="397" t="s">
        <v>1053</v>
      </c>
      <c r="D2228" s="397" t="s">
        <v>7075</v>
      </c>
      <c r="E2228" s="397" t="s">
        <v>7074</v>
      </c>
      <c r="F2228" s="397" t="s">
        <v>191</v>
      </c>
      <c r="G2228" s="396">
        <v>1</v>
      </c>
      <c r="H2228" s="395">
        <v>154158.63400000002</v>
      </c>
      <c r="I2228" s="394">
        <v>146355.53</v>
      </c>
      <c r="J2228" s="394">
        <v>220226.62</v>
      </c>
      <c r="K2228" s="393" t="s">
        <v>1033</v>
      </c>
    </row>
    <row r="2229" spans="1:12" hidden="1" x14ac:dyDescent="0.3">
      <c r="A2229" s="397" t="s">
        <v>3347</v>
      </c>
      <c r="C2229" s="397" t="s">
        <v>1053</v>
      </c>
      <c r="D2229" s="397" t="s">
        <v>3346</v>
      </c>
      <c r="E2229" s="397" t="s">
        <v>676</v>
      </c>
      <c r="F2229" s="397" t="s">
        <v>191</v>
      </c>
      <c r="G2229" s="396">
        <v>4</v>
      </c>
      <c r="H2229" s="395">
        <v>17958.226999999999</v>
      </c>
      <c r="I2229" s="394">
        <v>17451.46</v>
      </c>
      <c r="J2229" s="394">
        <v>25654.61</v>
      </c>
      <c r="K2229" s="393" t="s">
        <v>1033</v>
      </c>
    </row>
    <row r="2230" spans="1:12" hidden="1" x14ac:dyDescent="0.3">
      <c r="A2230" s="397" t="s">
        <v>6394</v>
      </c>
      <c r="C2230" s="397" t="s">
        <v>1053</v>
      </c>
      <c r="D2230" s="397" t="s">
        <v>6393</v>
      </c>
      <c r="E2230" s="397" t="s">
        <v>6162</v>
      </c>
      <c r="F2230" s="397" t="s">
        <v>191</v>
      </c>
      <c r="G2230" s="396">
        <v>4</v>
      </c>
      <c r="H2230" s="395">
        <v>129978.121</v>
      </c>
      <c r="I2230" s="394">
        <v>5898.71</v>
      </c>
      <c r="J2230" s="394">
        <v>185683.03</v>
      </c>
      <c r="K2230" s="393" t="s">
        <v>1033</v>
      </c>
    </row>
    <row r="2231" spans="1:12" hidden="1" x14ac:dyDescent="0.3">
      <c r="A2231" s="397" t="s">
        <v>2903</v>
      </c>
      <c r="C2231" s="397" t="s">
        <v>1053</v>
      </c>
      <c r="D2231" s="397" t="s">
        <v>2902</v>
      </c>
      <c r="E2231" s="397" t="s">
        <v>2901</v>
      </c>
      <c r="F2231" s="397" t="s">
        <v>191</v>
      </c>
      <c r="G2231" s="396">
        <v>9</v>
      </c>
      <c r="H2231" s="395">
        <v>38854.262999999999</v>
      </c>
      <c r="I2231" s="394">
        <v>25024.27</v>
      </c>
      <c r="J2231" s="394">
        <v>55506.090000000004</v>
      </c>
      <c r="K2231" s="393" t="s">
        <v>1033</v>
      </c>
    </row>
    <row r="2232" spans="1:12" hidden="1" x14ac:dyDescent="0.3">
      <c r="A2232" s="397" t="s">
        <v>5105</v>
      </c>
      <c r="C2232" s="397" t="s">
        <v>1053</v>
      </c>
      <c r="D2232" s="397" t="s">
        <v>5104</v>
      </c>
      <c r="E2232" s="397" t="s">
        <v>5103</v>
      </c>
      <c r="F2232" s="397" t="s">
        <v>191</v>
      </c>
      <c r="G2232" s="396">
        <v>1</v>
      </c>
      <c r="H2232" s="395">
        <v>53791.024000000005</v>
      </c>
      <c r="I2232" s="394">
        <v>447.32</v>
      </c>
      <c r="J2232" s="394">
        <v>76844.320000000007</v>
      </c>
      <c r="K2232" s="393" t="s">
        <v>1033</v>
      </c>
    </row>
    <row r="2233" spans="1:12" hidden="1" x14ac:dyDescent="0.3">
      <c r="A2233" s="397" t="s">
        <v>6865</v>
      </c>
      <c r="C2233" s="397" t="s">
        <v>1053</v>
      </c>
      <c r="D2233" s="397" t="s">
        <v>6864</v>
      </c>
      <c r="E2233" s="397" t="s">
        <v>6863</v>
      </c>
      <c r="F2233" s="397" t="s">
        <v>191</v>
      </c>
      <c r="G2233" s="396">
        <v>1</v>
      </c>
      <c r="H2233" s="395">
        <v>24169.733</v>
      </c>
      <c r="I2233" s="394">
        <v>70.12</v>
      </c>
      <c r="J2233" s="394">
        <v>34528.19</v>
      </c>
      <c r="K2233" s="393" t="s">
        <v>1033</v>
      </c>
    </row>
    <row r="2234" spans="1:12" hidden="1" x14ac:dyDescent="0.3">
      <c r="A2234" s="397" t="s">
        <v>4657</v>
      </c>
      <c r="C2234" s="397" t="s">
        <v>1053</v>
      </c>
      <c r="D2234" s="397" t="s">
        <v>4656</v>
      </c>
      <c r="E2234" s="397" t="s">
        <v>4655</v>
      </c>
      <c r="F2234" s="397" t="s">
        <v>191</v>
      </c>
      <c r="G2234" s="396">
        <v>1</v>
      </c>
      <c r="H2234" s="395">
        <v>42719.684000000001</v>
      </c>
      <c r="I2234" s="394">
        <v>69.98</v>
      </c>
      <c r="J2234" s="394">
        <v>61028.12</v>
      </c>
      <c r="K2234" s="393" t="s">
        <v>1033</v>
      </c>
    </row>
    <row r="2235" spans="1:12" hidden="1" x14ac:dyDescent="0.3">
      <c r="A2235" s="397" t="s">
        <v>6145</v>
      </c>
      <c r="C2235" s="397" t="s">
        <v>1053</v>
      </c>
      <c r="D2235" s="397" t="s">
        <v>6144</v>
      </c>
      <c r="E2235" s="397" t="s">
        <v>6143</v>
      </c>
      <c r="F2235" s="397" t="s">
        <v>191</v>
      </c>
      <c r="G2235" s="396">
        <v>1</v>
      </c>
      <c r="H2235" s="395">
        <v>310.142</v>
      </c>
      <c r="I2235" s="394">
        <v>338.36</v>
      </c>
      <c r="J2235" s="394">
        <v>443.06</v>
      </c>
      <c r="K2235" s="393" t="s">
        <v>1033</v>
      </c>
    </row>
    <row r="2236" spans="1:12" hidden="1" x14ac:dyDescent="0.3">
      <c r="A2236" s="397" t="s">
        <v>4839</v>
      </c>
      <c r="C2236" s="397" t="s">
        <v>1053</v>
      </c>
      <c r="D2236" s="397" t="s">
        <v>4838</v>
      </c>
      <c r="E2236" s="397" t="s">
        <v>4837</v>
      </c>
      <c r="F2236" s="397" t="s">
        <v>191</v>
      </c>
      <c r="G2236" s="396">
        <v>1</v>
      </c>
      <c r="H2236" s="395">
        <v>490543.41700000002</v>
      </c>
      <c r="I2236" s="394">
        <v>585.4</v>
      </c>
      <c r="J2236" s="394">
        <v>700776.31</v>
      </c>
      <c r="K2236" s="393" t="s">
        <v>1033</v>
      </c>
    </row>
    <row r="2237" spans="1:12" hidden="1" x14ac:dyDescent="0.3">
      <c r="A2237" s="397" t="s">
        <v>2824</v>
      </c>
      <c r="C2237" s="397" t="s">
        <v>1053</v>
      </c>
      <c r="D2237" s="397" t="s">
        <v>2823</v>
      </c>
      <c r="E2237" s="397" t="s">
        <v>677</v>
      </c>
      <c r="F2237" s="397" t="s">
        <v>191</v>
      </c>
      <c r="G2237" s="396">
        <v>2</v>
      </c>
      <c r="H2237" s="395">
        <v>33442.99</v>
      </c>
      <c r="I2237" s="394">
        <v>1558.47</v>
      </c>
      <c r="J2237" s="394">
        <v>47775.700000000004</v>
      </c>
      <c r="K2237" s="393" t="s">
        <v>1033</v>
      </c>
      <c r="L2237" s="395">
        <v>1</v>
      </c>
    </row>
    <row r="2238" spans="1:12" hidden="1" x14ac:dyDescent="0.3">
      <c r="A2238" s="397" t="s">
        <v>6132</v>
      </c>
      <c r="C2238" s="397" t="s">
        <v>1053</v>
      </c>
      <c r="D2238" s="397" t="s">
        <v>6131</v>
      </c>
      <c r="E2238" s="397" t="s">
        <v>581</v>
      </c>
      <c r="F2238" s="397" t="s">
        <v>191</v>
      </c>
      <c r="G2238" s="396">
        <v>1</v>
      </c>
      <c r="H2238" s="395">
        <v>22502.528999999999</v>
      </c>
      <c r="I2238" s="394">
        <v>3068.33</v>
      </c>
      <c r="J2238" s="394">
        <v>32146.47</v>
      </c>
      <c r="K2238" s="393" t="s">
        <v>1033</v>
      </c>
    </row>
    <row r="2239" spans="1:12" hidden="1" x14ac:dyDescent="0.3">
      <c r="A2239" s="397" t="s">
        <v>2776</v>
      </c>
      <c r="C2239" s="397" t="s">
        <v>1053</v>
      </c>
      <c r="D2239" s="397" t="s">
        <v>692</v>
      </c>
      <c r="E2239" s="397" t="s">
        <v>677</v>
      </c>
      <c r="F2239" s="397" t="s">
        <v>191</v>
      </c>
      <c r="G2239" s="396">
        <v>5</v>
      </c>
      <c r="H2239" s="395">
        <v>107378.159</v>
      </c>
      <c r="I2239" s="394">
        <v>102833.2</v>
      </c>
      <c r="J2239" s="394">
        <v>153397.37</v>
      </c>
      <c r="K2239" s="393" t="s">
        <v>1033</v>
      </c>
    </row>
    <row r="2240" spans="1:12" hidden="1" x14ac:dyDescent="0.3">
      <c r="A2240" s="397" t="s">
        <v>8082</v>
      </c>
      <c r="C2240" s="397" t="s">
        <v>1053</v>
      </c>
      <c r="D2240" s="397" t="s">
        <v>8081</v>
      </c>
      <c r="E2240" s="397" t="s">
        <v>8080</v>
      </c>
      <c r="F2240" s="397" t="s">
        <v>191</v>
      </c>
      <c r="G2240" s="396">
        <v>1</v>
      </c>
      <c r="H2240" s="395">
        <v>25150.334999999999</v>
      </c>
      <c r="I2240" s="394">
        <v>14731.78</v>
      </c>
      <c r="J2240" s="394">
        <v>35929.050000000003</v>
      </c>
      <c r="K2240" s="393" t="s">
        <v>1033</v>
      </c>
    </row>
    <row r="2241" spans="1:12" hidden="1" x14ac:dyDescent="0.3">
      <c r="A2241" s="397" t="s">
        <v>7134</v>
      </c>
      <c r="C2241" s="397" t="s">
        <v>1053</v>
      </c>
      <c r="D2241" s="397" t="s">
        <v>7133</v>
      </c>
      <c r="E2241" s="397" t="s">
        <v>7132</v>
      </c>
      <c r="F2241" s="397" t="s">
        <v>191</v>
      </c>
      <c r="G2241" s="396">
        <v>8</v>
      </c>
      <c r="H2241" s="395">
        <v>3347.4490000000005</v>
      </c>
      <c r="I2241" s="394">
        <v>396.39</v>
      </c>
      <c r="J2241" s="394">
        <v>4782.07</v>
      </c>
      <c r="K2241" s="393" t="s">
        <v>1033</v>
      </c>
    </row>
    <row r="2242" spans="1:12" hidden="1" x14ac:dyDescent="0.3">
      <c r="A2242" s="397" t="s">
        <v>5784</v>
      </c>
      <c r="C2242" s="397" t="s">
        <v>1053</v>
      </c>
      <c r="D2242" s="397" t="s">
        <v>5783</v>
      </c>
      <c r="E2242" s="397" t="s">
        <v>5782</v>
      </c>
      <c r="F2242" s="397" t="s">
        <v>191</v>
      </c>
      <c r="G2242" s="396">
        <v>1</v>
      </c>
      <c r="H2242" s="395">
        <v>58146.360999999997</v>
      </c>
      <c r="I2242" s="394">
        <v>51952.19</v>
      </c>
      <c r="J2242" s="394">
        <v>83066.23</v>
      </c>
      <c r="K2242" s="393" t="s">
        <v>1033</v>
      </c>
    </row>
    <row r="2243" spans="1:12" hidden="1" x14ac:dyDescent="0.3">
      <c r="A2243" s="397" t="s">
        <v>7810</v>
      </c>
      <c r="C2243" s="397" t="s">
        <v>1053</v>
      </c>
      <c r="D2243" s="397" t="s">
        <v>7809</v>
      </c>
      <c r="E2243" s="397" t="s">
        <v>7808</v>
      </c>
      <c r="F2243" s="397" t="s">
        <v>191</v>
      </c>
      <c r="G2243" s="396">
        <v>2</v>
      </c>
      <c r="H2243" s="395">
        <v>179855.99100000001</v>
      </c>
      <c r="I2243" s="394">
        <v>19288.12</v>
      </c>
      <c r="J2243" s="394">
        <v>256937.13</v>
      </c>
      <c r="K2243" s="393" t="s">
        <v>1033</v>
      </c>
    </row>
    <row r="2244" spans="1:12" hidden="1" x14ac:dyDescent="0.3">
      <c r="A2244" s="397" t="s">
        <v>2761</v>
      </c>
      <c r="C2244" s="397" t="s">
        <v>1053</v>
      </c>
      <c r="D2244" s="397" t="s">
        <v>2760</v>
      </c>
      <c r="E2244" s="397" t="s">
        <v>2252</v>
      </c>
      <c r="F2244" s="397" t="s">
        <v>191</v>
      </c>
      <c r="G2244" s="396">
        <v>10</v>
      </c>
      <c r="H2244" s="395">
        <v>7336.5880000000006</v>
      </c>
      <c r="I2244" s="394">
        <v>252</v>
      </c>
      <c r="J2244" s="394">
        <v>10480.84</v>
      </c>
      <c r="K2244" s="393" t="s">
        <v>1033</v>
      </c>
    </row>
    <row r="2245" spans="1:12" hidden="1" x14ac:dyDescent="0.3">
      <c r="A2245" s="397" t="s">
        <v>2781</v>
      </c>
      <c r="C2245" s="397" t="s">
        <v>1053</v>
      </c>
      <c r="D2245" s="397" t="s">
        <v>2780</v>
      </c>
      <c r="E2245" s="397" t="s">
        <v>677</v>
      </c>
      <c r="F2245" s="397" t="s">
        <v>191</v>
      </c>
      <c r="G2245" s="396">
        <v>4</v>
      </c>
      <c r="H2245" s="395">
        <v>41032.593000000001</v>
      </c>
      <c r="I2245" s="394">
        <v>40084.01</v>
      </c>
      <c r="J2245" s="394">
        <v>58617.99</v>
      </c>
      <c r="K2245" s="393" t="s">
        <v>1033</v>
      </c>
    </row>
    <row r="2246" spans="1:12" hidden="1" x14ac:dyDescent="0.3">
      <c r="A2246" s="397" t="s">
        <v>6324</v>
      </c>
      <c r="C2246" s="397" t="s">
        <v>1053</v>
      </c>
      <c r="D2246" s="397" t="s">
        <v>6323</v>
      </c>
      <c r="E2246" s="397" t="s">
        <v>6322</v>
      </c>
      <c r="F2246" s="397" t="s">
        <v>191</v>
      </c>
      <c r="G2246" s="396">
        <v>8</v>
      </c>
      <c r="H2246" s="395">
        <v>4434.808</v>
      </c>
      <c r="I2246" s="394">
        <v>30.01</v>
      </c>
      <c r="J2246" s="394">
        <v>6335.4400000000005</v>
      </c>
      <c r="K2246" s="393" t="s">
        <v>1033</v>
      </c>
    </row>
    <row r="2247" spans="1:12" hidden="1" x14ac:dyDescent="0.3">
      <c r="A2247" s="397" t="s">
        <v>6723</v>
      </c>
      <c r="C2247" s="397" t="s">
        <v>1053</v>
      </c>
      <c r="D2247" s="397" t="s">
        <v>6722</v>
      </c>
      <c r="E2247" s="397" t="s">
        <v>6721</v>
      </c>
      <c r="F2247" s="397" t="s">
        <v>191</v>
      </c>
      <c r="G2247" s="396">
        <v>1</v>
      </c>
      <c r="H2247" s="395">
        <v>240129.18300000002</v>
      </c>
      <c r="I2247" s="394">
        <v>10740.79</v>
      </c>
      <c r="J2247" s="394">
        <v>343041.69</v>
      </c>
      <c r="K2247" s="393" t="s">
        <v>1033</v>
      </c>
    </row>
    <row r="2248" spans="1:12" hidden="1" x14ac:dyDescent="0.3">
      <c r="A2248" s="397" t="s">
        <v>2812</v>
      </c>
      <c r="C2248" s="397" t="s">
        <v>1053</v>
      </c>
      <c r="D2248" s="397" t="s">
        <v>2811</v>
      </c>
      <c r="E2248" s="397" t="s">
        <v>2810</v>
      </c>
      <c r="F2248" s="397" t="s">
        <v>191</v>
      </c>
      <c r="G2248" s="396">
        <v>2</v>
      </c>
      <c r="H2248" s="395">
        <v>64175.237000000001</v>
      </c>
      <c r="I2248" s="394">
        <v>510.63</v>
      </c>
      <c r="J2248" s="394">
        <v>91678.91</v>
      </c>
      <c r="K2248" s="393" t="s">
        <v>1033</v>
      </c>
    </row>
    <row r="2249" spans="1:12" hidden="1" x14ac:dyDescent="0.3">
      <c r="A2249" s="397" t="s">
        <v>3403</v>
      </c>
      <c r="C2249" s="397" t="s">
        <v>1053</v>
      </c>
      <c r="D2249" s="397" t="s">
        <v>3402</v>
      </c>
      <c r="E2249" s="397" t="s">
        <v>677</v>
      </c>
      <c r="F2249" s="397" t="s">
        <v>191</v>
      </c>
      <c r="G2249" s="396">
        <v>4</v>
      </c>
      <c r="H2249" s="395">
        <v>68894.609000000011</v>
      </c>
      <c r="I2249" s="394">
        <v>56215.97</v>
      </c>
      <c r="J2249" s="394">
        <v>98420.87</v>
      </c>
      <c r="K2249" s="393" t="s">
        <v>1033</v>
      </c>
    </row>
    <row r="2250" spans="1:12" hidden="1" x14ac:dyDescent="0.3">
      <c r="A2250" s="397" t="s">
        <v>3401</v>
      </c>
      <c r="C2250" s="397" t="s">
        <v>1053</v>
      </c>
      <c r="D2250" s="397" t="s">
        <v>3400</v>
      </c>
      <c r="E2250" s="397" t="s">
        <v>677</v>
      </c>
      <c r="F2250" s="397" t="s">
        <v>191</v>
      </c>
      <c r="G2250" s="396">
        <v>1</v>
      </c>
      <c r="H2250" s="395">
        <v>83859.797000000006</v>
      </c>
      <c r="I2250" s="394">
        <v>9820.09</v>
      </c>
      <c r="J2250" s="394">
        <v>119799.71</v>
      </c>
      <c r="K2250" s="393" t="s">
        <v>1033</v>
      </c>
    </row>
    <row r="2251" spans="1:12" hidden="1" x14ac:dyDescent="0.3">
      <c r="A2251" s="397" t="s">
        <v>7805</v>
      </c>
      <c r="C2251" s="397" t="s">
        <v>1053</v>
      </c>
      <c r="D2251" s="397" t="s">
        <v>7804</v>
      </c>
      <c r="E2251" s="397" t="s">
        <v>7765</v>
      </c>
      <c r="F2251" s="397" t="s">
        <v>191</v>
      </c>
      <c r="G2251" s="396">
        <v>1</v>
      </c>
      <c r="H2251" s="395">
        <v>182100.772</v>
      </c>
      <c r="I2251" s="394">
        <v>6835.33</v>
      </c>
      <c r="J2251" s="394">
        <v>260143.96</v>
      </c>
      <c r="K2251" s="393" t="s">
        <v>1033</v>
      </c>
    </row>
    <row r="2252" spans="1:12" hidden="1" x14ac:dyDescent="0.3">
      <c r="A2252" s="397" t="s">
        <v>2783</v>
      </c>
      <c r="C2252" s="397" t="s">
        <v>1053</v>
      </c>
      <c r="D2252" s="397" t="s">
        <v>2782</v>
      </c>
      <c r="E2252" s="397" t="s">
        <v>677</v>
      </c>
      <c r="F2252" s="397" t="s">
        <v>191</v>
      </c>
      <c r="G2252" s="396">
        <v>3</v>
      </c>
      <c r="H2252" s="395">
        <v>41032.593000000001</v>
      </c>
      <c r="I2252" s="394">
        <v>40084.01</v>
      </c>
      <c r="J2252" s="394">
        <v>58617.99</v>
      </c>
      <c r="K2252" s="393" t="s">
        <v>1033</v>
      </c>
    </row>
    <row r="2253" spans="1:12" hidden="1" x14ac:dyDescent="0.3">
      <c r="A2253" s="397" t="s">
        <v>2820</v>
      </c>
      <c r="C2253" s="397" t="s">
        <v>1053</v>
      </c>
      <c r="D2253" s="397" t="s">
        <v>2819</v>
      </c>
      <c r="E2253" s="397" t="s">
        <v>677</v>
      </c>
      <c r="F2253" s="397" t="s">
        <v>191</v>
      </c>
      <c r="G2253" s="396">
        <v>4</v>
      </c>
      <c r="H2253" s="395">
        <v>92228.261999999988</v>
      </c>
      <c r="I2253" s="394">
        <v>3344.71</v>
      </c>
      <c r="J2253" s="394">
        <v>131754.66</v>
      </c>
      <c r="K2253" s="393" t="s">
        <v>1033</v>
      </c>
    </row>
    <row r="2254" spans="1:12" hidden="1" x14ac:dyDescent="0.3">
      <c r="A2254" s="397" t="s">
        <v>6146</v>
      </c>
      <c r="C2254" s="397" t="s">
        <v>1053</v>
      </c>
      <c r="D2254" s="397" t="s">
        <v>578</v>
      </c>
      <c r="E2254" s="397" t="s">
        <v>579</v>
      </c>
      <c r="F2254" s="397" t="s">
        <v>191</v>
      </c>
      <c r="G2254" s="396">
        <v>8</v>
      </c>
      <c r="H2254" s="395">
        <v>202303.77300000002</v>
      </c>
      <c r="I2254" s="394">
        <v>194105.49</v>
      </c>
      <c r="J2254" s="394">
        <v>289005.39</v>
      </c>
      <c r="K2254" s="393" t="s">
        <v>1033</v>
      </c>
      <c r="L2254" s="395">
        <v>1</v>
      </c>
    </row>
    <row r="2255" spans="1:12" hidden="1" x14ac:dyDescent="0.3">
      <c r="A2255" s="397" t="s">
        <v>6088</v>
      </c>
      <c r="C2255" s="397" t="s">
        <v>1053</v>
      </c>
      <c r="D2255" s="397" t="s">
        <v>583</v>
      </c>
      <c r="E2255" s="397" t="s">
        <v>584</v>
      </c>
      <c r="F2255" s="397" t="s">
        <v>191</v>
      </c>
      <c r="G2255" s="396">
        <v>8</v>
      </c>
      <c r="H2255" s="395">
        <v>202303.77300000002</v>
      </c>
      <c r="I2255" s="394">
        <v>194105.49</v>
      </c>
      <c r="J2255" s="394">
        <v>289005.39</v>
      </c>
      <c r="K2255" s="393" t="s">
        <v>1033</v>
      </c>
      <c r="L2255" s="395">
        <v>1</v>
      </c>
    </row>
    <row r="2256" spans="1:12" hidden="1" x14ac:dyDescent="0.3">
      <c r="A2256" s="397" t="s">
        <v>854</v>
      </c>
      <c r="C2256" s="397" t="s">
        <v>1053</v>
      </c>
      <c r="D2256" s="397" t="s">
        <v>541</v>
      </c>
      <c r="E2256" s="397" t="s">
        <v>542</v>
      </c>
      <c r="F2256" s="397" t="s">
        <v>191</v>
      </c>
      <c r="G2256" s="396">
        <v>4</v>
      </c>
      <c r="H2256" s="395">
        <v>135503.40300000002</v>
      </c>
      <c r="I2256" s="394">
        <v>96410.41</v>
      </c>
      <c r="J2256" s="394">
        <v>193576.29</v>
      </c>
      <c r="K2256" s="393" t="s">
        <v>1033</v>
      </c>
      <c r="L2256" s="395">
        <v>2</v>
      </c>
    </row>
    <row r="2257" spans="1:12" hidden="1" x14ac:dyDescent="0.3">
      <c r="A2257" s="397" t="s">
        <v>6615</v>
      </c>
      <c r="C2257" s="397" t="s">
        <v>1053</v>
      </c>
      <c r="D2257" s="397" t="s">
        <v>6614</v>
      </c>
      <c r="E2257" s="397" t="s">
        <v>542</v>
      </c>
      <c r="F2257" s="397" t="s">
        <v>191</v>
      </c>
      <c r="G2257" s="396">
        <v>7</v>
      </c>
      <c r="H2257" s="395">
        <v>130635.12699999999</v>
      </c>
      <c r="I2257" s="394">
        <v>124135.59</v>
      </c>
      <c r="J2257" s="394">
        <v>186621.61000000002</v>
      </c>
      <c r="K2257" s="393" t="s">
        <v>1033</v>
      </c>
    </row>
    <row r="2258" spans="1:12" hidden="1" x14ac:dyDescent="0.3">
      <c r="A2258" s="397" t="s">
        <v>6186</v>
      </c>
      <c r="C2258" s="397" t="s">
        <v>1053</v>
      </c>
      <c r="D2258" s="397" t="s">
        <v>6185</v>
      </c>
      <c r="E2258" s="397" t="s">
        <v>6184</v>
      </c>
      <c r="F2258" s="397" t="s">
        <v>191</v>
      </c>
      <c r="G2258" s="396">
        <v>14</v>
      </c>
      <c r="H2258" s="395">
        <v>65427.067999999999</v>
      </c>
      <c r="I2258" s="394">
        <v>29852.670000000002</v>
      </c>
      <c r="J2258" s="394">
        <v>93467.24</v>
      </c>
      <c r="K2258" s="393" t="s">
        <v>1033</v>
      </c>
    </row>
    <row r="2259" spans="1:12" hidden="1" x14ac:dyDescent="0.3">
      <c r="A2259" s="397" t="s">
        <v>869</v>
      </c>
      <c r="C2259" s="397" t="s">
        <v>1053</v>
      </c>
      <c r="D2259" s="397" t="s">
        <v>465</v>
      </c>
      <c r="E2259" s="397" t="s">
        <v>466</v>
      </c>
      <c r="F2259" s="397" t="s">
        <v>191</v>
      </c>
      <c r="G2259" s="396">
        <v>64</v>
      </c>
      <c r="H2259" s="395">
        <v>3957.366</v>
      </c>
      <c r="I2259" s="394">
        <v>3835.56</v>
      </c>
      <c r="J2259" s="394">
        <v>5653.38</v>
      </c>
      <c r="K2259" s="393" t="s">
        <v>1033</v>
      </c>
    </row>
    <row r="2260" spans="1:12" hidden="1" x14ac:dyDescent="0.3">
      <c r="A2260" s="397" t="s">
        <v>868</v>
      </c>
      <c r="C2260" s="397" t="s">
        <v>1053</v>
      </c>
      <c r="D2260" s="397" t="s">
        <v>467</v>
      </c>
      <c r="E2260" s="397" t="s">
        <v>468</v>
      </c>
      <c r="F2260" s="397" t="s">
        <v>191</v>
      </c>
      <c r="G2260" s="396">
        <v>27</v>
      </c>
      <c r="H2260" s="395">
        <v>9855.125</v>
      </c>
      <c r="I2260" s="394">
        <v>9586.1200000000008</v>
      </c>
      <c r="J2260" s="394">
        <v>14078.75</v>
      </c>
      <c r="K2260" s="393" t="s">
        <v>1033</v>
      </c>
    </row>
    <row r="2261" spans="1:12" hidden="1" x14ac:dyDescent="0.3">
      <c r="A2261" s="397" t="s">
        <v>2756</v>
      </c>
      <c r="C2261" s="397" t="s">
        <v>1053</v>
      </c>
      <c r="D2261" s="397" t="s">
        <v>2755</v>
      </c>
      <c r="E2261" s="397" t="s">
        <v>2754</v>
      </c>
      <c r="F2261" s="397" t="s">
        <v>191</v>
      </c>
      <c r="G2261" s="396">
        <v>11</v>
      </c>
      <c r="H2261" s="395">
        <v>7391.3419999999996</v>
      </c>
      <c r="I2261" s="394">
        <v>311.66000000000003</v>
      </c>
      <c r="J2261" s="394">
        <v>10559.06</v>
      </c>
      <c r="K2261" s="393" t="s">
        <v>1033</v>
      </c>
    </row>
    <row r="2262" spans="1:12" hidden="1" x14ac:dyDescent="0.3">
      <c r="A2262" s="397" t="s">
        <v>6611</v>
      </c>
      <c r="C2262" s="397" t="s">
        <v>1053</v>
      </c>
      <c r="D2262" s="397" t="s">
        <v>6610</v>
      </c>
      <c r="E2262" s="397" t="s">
        <v>6609</v>
      </c>
      <c r="F2262" s="397" t="s">
        <v>191</v>
      </c>
      <c r="G2262" s="396">
        <v>2</v>
      </c>
      <c r="H2262" s="395">
        <v>12431.726999999999</v>
      </c>
      <c r="I2262" s="394">
        <v>572.39</v>
      </c>
      <c r="J2262" s="394">
        <v>17759.61</v>
      </c>
      <c r="K2262" s="393" t="s">
        <v>1033</v>
      </c>
    </row>
    <row r="2263" spans="1:12" hidden="1" x14ac:dyDescent="0.3">
      <c r="A2263" s="397" t="s">
        <v>2748</v>
      </c>
      <c r="C2263" s="397" t="s">
        <v>1053</v>
      </c>
      <c r="D2263" s="397" t="s">
        <v>2747</v>
      </c>
      <c r="E2263" s="397" t="s">
        <v>2746</v>
      </c>
      <c r="F2263" s="397" t="s">
        <v>191</v>
      </c>
      <c r="G2263" s="396">
        <v>17</v>
      </c>
      <c r="H2263" s="395">
        <v>5610.1009999999997</v>
      </c>
      <c r="I2263" s="394">
        <v>5403.89</v>
      </c>
      <c r="J2263" s="394">
        <v>8014.43</v>
      </c>
      <c r="K2263" s="393" t="s">
        <v>1033</v>
      </c>
    </row>
    <row r="2264" spans="1:12" hidden="1" x14ac:dyDescent="0.3">
      <c r="A2264" s="397" t="s">
        <v>6617</v>
      </c>
      <c r="C2264" s="397" t="s">
        <v>1053</v>
      </c>
      <c r="D2264" s="397" t="s">
        <v>6616</v>
      </c>
      <c r="E2264" s="397" t="s">
        <v>542</v>
      </c>
      <c r="F2264" s="397" t="s">
        <v>191</v>
      </c>
      <c r="G2264" s="396">
        <v>1</v>
      </c>
      <c r="H2264" s="395">
        <v>98778.175999999992</v>
      </c>
      <c r="I2264" s="394">
        <v>756.21</v>
      </c>
      <c r="J2264" s="394">
        <v>141111.67999999999</v>
      </c>
      <c r="K2264" s="393" t="s">
        <v>1033</v>
      </c>
    </row>
    <row r="2265" spans="1:12" hidden="1" x14ac:dyDescent="0.3">
      <c r="A2265" s="397" t="s">
        <v>2751</v>
      </c>
      <c r="C2265" s="397" t="s">
        <v>1053</v>
      </c>
      <c r="D2265" s="397" t="s">
        <v>2750</v>
      </c>
      <c r="E2265" s="397" t="s">
        <v>2749</v>
      </c>
      <c r="F2265" s="397" t="s">
        <v>191</v>
      </c>
      <c r="G2265" s="396">
        <v>24</v>
      </c>
      <c r="H2265" s="395">
        <v>7099.4350000000004</v>
      </c>
      <c r="I2265" s="394">
        <v>6811.72</v>
      </c>
      <c r="J2265" s="394">
        <v>10142.049999999999</v>
      </c>
      <c r="K2265" s="393" t="s">
        <v>1033</v>
      </c>
    </row>
    <row r="2266" spans="1:12" hidden="1" x14ac:dyDescent="0.3">
      <c r="A2266" s="397" t="s">
        <v>6126</v>
      </c>
      <c r="C2266" s="397" t="s">
        <v>1053</v>
      </c>
      <c r="D2266" s="397" t="s">
        <v>6125</v>
      </c>
      <c r="E2266" s="397" t="s">
        <v>581</v>
      </c>
      <c r="F2266" s="397" t="s">
        <v>191</v>
      </c>
      <c r="G2266" s="396">
        <v>2</v>
      </c>
      <c r="H2266" s="395">
        <v>20257.755000000001</v>
      </c>
      <c r="I2266" s="394">
        <v>884.12</v>
      </c>
      <c r="J2266" s="394">
        <v>28939.65</v>
      </c>
      <c r="K2266" s="393" t="s">
        <v>1033</v>
      </c>
    </row>
    <row r="2267" spans="1:12" hidden="1" x14ac:dyDescent="0.3">
      <c r="A2267" s="397" t="s">
        <v>6118</v>
      </c>
      <c r="C2267" s="397" t="s">
        <v>1053</v>
      </c>
      <c r="D2267" s="397" t="s">
        <v>6117</v>
      </c>
      <c r="E2267" s="397" t="s">
        <v>6102</v>
      </c>
      <c r="F2267" s="397" t="s">
        <v>191</v>
      </c>
      <c r="G2267" s="396">
        <v>3</v>
      </c>
      <c r="H2267" s="395">
        <v>23050.034</v>
      </c>
      <c r="I2267" s="394">
        <v>22622.760000000002</v>
      </c>
      <c r="J2267" s="394">
        <v>32928.620000000003</v>
      </c>
      <c r="K2267" s="393" t="s">
        <v>1033</v>
      </c>
    </row>
    <row r="2268" spans="1:12" hidden="1" x14ac:dyDescent="0.3">
      <c r="A2268" s="397" t="s">
        <v>8091</v>
      </c>
      <c r="C2268" s="397" t="s">
        <v>1053</v>
      </c>
      <c r="D2268" s="397" t="s">
        <v>8090</v>
      </c>
      <c r="E2268" s="397" t="s">
        <v>8089</v>
      </c>
      <c r="F2268" s="397" t="s">
        <v>191</v>
      </c>
      <c r="G2268" s="396">
        <v>4</v>
      </c>
      <c r="H2268" s="395">
        <v>25161.045000000002</v>
      </c>
      <c r="I2268" s="394">
        <v>25448.03</v>
      </c>
      <c r="J2268" s="394">
        <v>35944.35</v>
      </c>
      <c r="K2268" s="393" t="s">
        <v>1033</v>
      </c>
      <c r="L2268" s="395">
        <v>1</v>
      </c>
    </row>
    <row r="2269" spans="1:12" hidden="1" x14ac:dyDescent="0.3">
      <c r="A2269" s="397" t="s">
        <v>7095</v>
      </c>
      <c r="C2269" s="397" t="s">
        <v>1053</v>
      </c>
      <c r="D2269" s="397" t="s">
        <v>7094</v>
      </c>
      <c r="E2269" s="397" t="s">
        <v>7084</v>
      </c>
      <c r="F2269" s="397" t="s">
        <v>191</v>
      </c>
      <c r="G2269" s="396">
        <v>1</v>
      </c>
      <c r="H2269" s="395">
        <v>184126.54399999999</v>
      </c>
      <c r="I2269" s="394">
        <v>180487.9</v>
      </c>
      <c r="J2269" s="394">
        <v>263037.92</v>
      </c>
      <c r="K2269" s="393" t="s">
        <v>1033</v>
      </c>
    </row>
    <row r="2270" spans="1:12" hidden="1" x14ac:dyDescent="0.3">
      <c r="A2270" s="397" t="s">
        <v>6425</v>
      </c>
      <c r="C2270" s="397" t="s">
        <v>1053</v>
      </c>
      <c r="D2270" s="397" t="s">
        <v>6424</v>
      </c>
      <c r="E2270" s="397" t="s">
        <v>6423</v>
      </c>
      <c r="F2270" s="397" t="s">
        <v>191</v>
      </c>
      <c r="G2270" s="396">
        <v>2</v>
      </c>
      <c r="H2270" s="395">
        <v>24169.733</v>
      </c>
      <c r="I2270" s="394">
        <v>177.57</v>
      </c>
      <c r="J2270" s="394">
        <v>34528.19</v>
      </c>
      <c r="K2270" s="393" t="s">
        <v>1033</v>
      </c>
    </row>
    <row r="2271" spans="1:12" hidden="1" x14ac:dyDescent="0.3">
      <c r="A2271" s="397" t="s">
        <v>8070</v>
      </c>
      <c r="C2271" s="397" t="s">
        <v>1053</v>
      </c>
      <c r="D2271" s="397" t="s">
        <v>8069</v>
      </c>
      <c r="E2271" s="397" t="s">
        <v>8062</v>
      </c>
      <c r="F2271" s="397" t="s">
        <v>191</v>
      </c>
      <c r="G2271" s="396">
        <v>1</v>
      </c>
      <c r="H2271" s="395">
        <v>27958.307999999997</v>
      </c>
      <c r="I2271" s="394">
        <v>52.89</v>
      </c>
      <c r="J2271" s="394">
        <v>39940.44</v>
      </c>
      <c r="K2271" s="393" t="s">
        <v>1033</v>
      </c>
    </row>
    <row r="2272" spans="1:12" hidden="1" x14ac:dyDescent="0.3">
      <c r="A2272" s="397" t="s">
        <v>8088</v>
      </c>
      <c r="C2272" s="397" t="s">
        <v>1053</v>
      </c>
      <c r="D2272" s="397" t="s">
        <v>8087</v>
      </c>
      <c r="E2272" s="397" t="s">
        <v>8062</v>
      </c>
      <c r="F2272" s="397" t="s">
        <v>191</v>
      </c>
      <c r="G2272" s="396">
        <v>3</v>
      </c>
      <c r="H2272" s="395">
        <v>113057.11900000001</v>
      </c>
      <c r="I2272" s="394">
        <v>108515.12</v>
      </c>
      <c r="J2272" s="394">
        <v>161510.17000000001</v>
      </c>
      <c r="K2272" s="393" t="s">
        <v>1033</v>
      </c>
    </row>
    <row r="2273" spans="1:12" hidden="1" x14ac:dyDescent="0.3">
      <c r="A2273" s="397" t="s">
        <v>8093</v>
      </c>
      <c r="C2273" s="397" t="s">
        <v>1053</v>
      </c>
      <c r="D2273" s="397" t="s">
        <v>8092</v>
      </c>
      <c r="E2273" s="397" t="s">
        <v>8062</v>
      </c>
      <c r="F2273" s="397" t="s">
        <v>191</v>
      </c>
      <c r="G2273" s="396">
        <v>2</v>
      </c>
      <c r="H2273" s="395">
        <v>24280.41</v>
      </c>
      <c r="I2273" s="394">
        <v>23033.040000000001</v>
      </c>
      <c r="J2273" s="394">
        <v>34686.300000000003</v>
      </c>
      <c r="K2273" s="393" t="s">
        <v>1033</v>
      </c>
    </row>
    <row r="2274" spans="1:12" hidden="1" x14ac:dyDescent="0.3">
      <c r="A2274" s="397" t="s">
        <v>8068</v>
      </c>
      <c r="C2274" s="397" t="s">
        <v>1053</v>
      </c>
      <c r="D2274" s="397" t="s">
        <v>8067</v>
      </c>
      <c r="E2274" s="397" t="s">
        <v>8062</v>
      </c>
      <c r="F2274" s="397" t="s">
        <v>191</v>
      </c>
      <c r="G2274" s="396">
        <v>1</v>
      </c>
      <c r="H2274" s="395">
        <v>50615.487999999998</v>
      </c>
      <c r="I2274" s="394">
        <v>71.41</v>
      </c>
      <c r="J2274" s="394">
        <v>72307.839999999997</v>
      </c>
      <c r="K2274" s="393" t="s">
        <v>1033</v>
      </c>
    </row>
    <row r="2275" spans="1:12" hidden="1" x14ac:dyDescent="0.3">
      <c r="A2275" s="397" t="s">
        <v>6391</v>
      </c>
      <c r="C2275" s="397" t="s">
        <v>1053</v>
      </c>
      <c r="D2275" s="397" t="s">
        <v>6390</v>
      </c>
      <c r="E2275" s="397" t="s">
        <v>6162</v>
      </c>
      <c r="F2275" s="397" t="s">
        <v>191</v>
      </c>
      <c r="G2275" s="396">
        <v>2</v>
      </c>
      <c r="H2275" s="395">
        <v>106325.82800000001</v>
      </c>
      <c r="I2275" s="394">
        <v>3235.08</v>
      </c>
      <c r="J2275" s="394">
        <v>151894.04</v>
      </c>
      <c r="K2275" s="393" t="s">
        <v>1033</v>
      </c>
    </row>
    <row r="2276" spans="1:12" hidden="1" x14ac:dyDescent="0.3">
      <c r="A2276" s="397" t="s">
        <v>7145</v>
      </c>
      <c r="C2276" s="397" t="s">
        <v>1053</v>
      </c>
      <c r="D2276" s="397" t="s">
        <v>7144</v>
      </c>
      <c r="E2276" s="397" t="s">
        <v>484</v>
      </c>
      <c r="F2276" s="397" t="s">
        <v>191</v>
      </c>
      <c r="G2276" s="396">
        <v>1</v>
      </c>
      <c r="H2276" s="395">
        <v>68235.237000000008</v>
      </c>
      <c r="I2276" s="394">
        <v>47364.4</v>
      </c>
      <c r="J2276" s="394">
        <v>97478.91</v>
      </c>
      <c r="K2276" s="393" t="s">
        <v>1033</v>
      </c>
    </row>
    <row r="2277" spans="1:12" hidden="1" x14ac:dyDescent="0.3">
      <c r="A2277" s="397" t="s">
        <v>6120</v>
      </c>
      <c r="C2277" s="397" t="s">
        <v>1053</v>
      </c>
      <c r="D2277" s="397" t="s">
        <v>6119</v>
      </c>
      <c r="E2277" s="397" t="s">
        <v>581</v>
      </c>
      <c r="F2277" s="397" t="s">
        <v>191</v>
      </c>
      <c r="G2277" s="396">
        <v>2</v>
      </c>
      <c r="H2277" s="395">
        <v>37504.215000000004</v>
      </c>
      <c r="I2277" s="394">
        <v>33227.360000000001</v>
      </c>
      <c r="J2277" s="394">
        <v>53577.450000000004</v>
      </c>
      <c r="K2277" s="393" t="s">
        <v>1033</v>
      </c>
      <c r="L2277" s="395">
        <v>1</v>
      </c>
    </row>
    <row r="2278" spans="1:12" hidden="1" x14ac:dyDescent="0.3">
      <c r="A2278" s="397" t="s">
        <v>8084</v>
      </c>
      <c r="C2278" s="397" t="s">
        <v>1053</v>
      </c>
      <c r="D2278" s="397" t="s">
        <v>8083</v>
      </c>
      <c r="E2278" s="397" t="s">
        <v>8080</v>
      </c>
      <c r="F2278" s="397" t="s">
        <v>191</v>
      </c>
      <c r="G2278" s="396">
        <v>3</v>
      </c>
      <c r="H2278" s="395">
        <v>46487.889000000003</v>
      </c>
      <c r="I2278" s="394">
        <v>45256.950000000004</v>
      </c>
      <c r="J2278" s="394">
        <v>66411.27</v>
      </c>
      <c r="K2278" s="393" t="s">
        <v>1033</v>
      </c>
    </row>
    <row r="2279" spans="1:12" hidden="1" x14ac:dyDescent="0.3">
      <c r="A2279" s="397" t="s">
        <v>8051</v>
      </c>
      <c r="C2279" s="397" t="s">
        <v>1053</v>
      </c>
      <c r="D2279" s="397" t="s">
        <v>8050</v>
      </c>
      <c r="E2279" s="397" t="s">
        <v>8049</v>
      </c>
      <c r="F2279" s="397" t="s">
        <v>191</v>
      </c>
      <c r="G2279" s="396">
        <v>2</v>
      </c>
      <c r="H2279" s="395">
        <v>82567.31</v>
      </c>
      <c r="I2279" s="394">
        <v>194.76</v>
      </c>
      <c r="J2279" s="394">
        <v>117953.3</v>
      </c>
      <c r="K2279" s="393" t="s">
        <v>1033</v>
      </c>
    </row>
    <row r="2280" spans="1:12" hidden="1" x14ac:dyDescent="0.3">
      <c r="A2280" s="397" t="s">
        <v>8099</v>
      </c>
      <c r="C2280" s="397" t="s">
        <v>1053</v>
      </c>
      <c r="D2280" s="397" t="s">
        <v>8098</v>
      </c>
      <c r="E2280" s="397" t="s">
        <v>8097</v>
      </c>
      <c r="F2280" s="397" t="s">
        <v>191</v>
      </c>
      <c r="G2280" s="396">
        <v>1</v>
      </c>
      <c r="H2280" s="395">
        <v>137310.64199999999</v>
      </c>
      <c r="I2280" s="394">
        <v>236.86</v>
      </c>
      <c r="J2280" s="394">
        <v>196158.06</v>
      </c>
      <c r="K2280" s="393" t="s">
        <v>1033</v>
      </c>
    </row>
    <row r="2281" spans="1:12" hidden="1" x14ac:dyDescent="0.3">
      <c r="A2281" s="397" t="s">
        <v>8112</v>
      </c>
      <c r="C2281" s="397" t="s">
        <v>1053</v>
      </c>
      <c r="D2281" s="397" t="s">
        <v>8111</v>
      </c>
      <c r="E2281" s="397" t="s">
        <v>8110</v>
      </c>
      <c r="F2281" s="397" t="s">
        <v>4053</v>
      </c>
      <c r="G2281" s="396">
        <v>1</v>
      </c>
      <c r="H2281" s="395">
        <v>48.033999999999999</v>
      </c>
      <c r="I2281" s="394">
        <v>14.91</v>
      </c>
      <c r="J2281" s="394">
        <v>68.62</v>
      </c>
      <c r="K2281" s="393" t="s">
        <v>1033</v>
      </c>
    </row>
    <row r="2282" spans="1:12" hidden="1" x14ac:dyDescent="0.3">
      <c r="A2282" s="397" t="s">
        <v>8054</v>
      </c>
      <c r="C2282" s="397" t="s">
        <v>1053</v>
      </c>
      <c r="D2282" s="397" t="s">
        <v>8053</v>
      </c>
      <c r="E2282" s="397" t="s">
        <v>8052</v>
      </c>
      <c r="F2282" s="397" t="s">
        <v>191</v>
      </c>
      <c r="G2282" s="396">
        <v>2</v>
      </c>
      <c r="H2282" s="395">
        <v>69131.797000000006</v>
      </c>
      <c r="I2282" s="394">
        <v>150.31</v>
      </c>
      <c r="J2282" s="394">
        <v>98759.71</v>
      </c>
      <c r="K2282" s="393" t="s">
        <v>1033</v>
      </c>
    </row>
    <row r="2283" spans="1:12" hidden="1" x14ac:dyDescent="0.3">
      <c r="A2283" s="397" t="s">
        <v>6433</v>
      </c>
      <c r="C2283" s="397" t="s">
        <v>1053</v>
      </c>
      <c r="D2283" s="397" t="s">
        <v>6432</v>
      </c>
      <c r="E2283" s="397" t="s">
        <v>6431</v>
      </c>
      <c r="F2283" s="397" t="s">
        <v>191</v>
      </c>
      <c r="G2283" s="396">
        <v>1</v>
      </c>
      <c r="H2283" s="395">
        <v>31096.87</v>
      </c>
      <c r="I2283" s="394">
        <v>64.72</v>
      </c>
      <c r="J2283" s="394">
        <v>44424.1</v>
      </c>
      <c r="K2283" s="393" t="s">
        <v>1033</v>
      </c>
    </row>
    <row r="2284" spans="1:12" hidden="1" x14ac:dyDescent="0.3">
      <c r="A2284" s="397" t="s">
        <v>8079</v>
      </c>
      <c r="C2284" s="397" t="s">
        <v>1053</v>
      </c>
      <c r="D2284" s="397" t="s">
        <v>8078</v>
      </c>
      <c r="E2284" s="397" t="s">
        <v>8077</v>
      </c>
      <c r="F2284" s="397" t="s">
        <v>191</v>
      </c>
      <c r="G2284" s="396">
        <v>1</v>
      </c>
      <c r="H2284" s="395">
        <v>70658.797999999995</v>
      </c>
      <c r="I2284" s="394">
        <v>56468.73</v>
      </c>
      <c r="J2284" s="394">
        <v>100941.14</v>
      </c>
      <c r="K2284" s="393" t="s">
        <v>1033</v>
      </c>
    </row>
    <row r="2285" spans="1:12" hidden="1" x14ac:dyDescent="0.3">
      <c r="A2285" s="397" t="s">
        <v>8076</v>
      </c>
      <c r="C2285" s="397" t="s">
        <v>1053</v>
      </c>
      <c r="D2285" s="397" t="s">
        <v>8075</v>
      </c>
      <c r="E2285" s="397" t="s">
        <v>8074</v>
      </c>
      <c r="F2285" s="397" t="s">
        <v>191</v>
      </c>
      <c r="G2285" s="396">
        <v>1</v>
      </c>
      <c r="H2285" s="395">
        <v>31096.87</v>
      </c>
      <c r="I2285" s="394">
        <v>25213.53</v>
      </c>
      <c r="J2285" s="394">
        <v>44424.1</v>
      </c>
      <c r="K2285" s="393" t="s">
        <v>1033</v>
      </c>
    </row>
    <row r="2286" spans="1:12" hidden="1" x14ac:dyDescent="0.3">
      <c r="A2286" s="397" t="s">
        <v>6453</v>
      </c>
      <c r="C2286" s="397" t="s">
        <v>1053</v>
      </c>
      <c r="D2286" s="397" t="s">
        <v>6452</v>
      </c>
      <c r="E2286" s="397" t="s">
        <v>6451</v>
      </c>
      <c r="F2286" s="397" t="s">
        <v>191</v>
      </c>
      <c r="G2286" s="396">
        <v>2</v>
      </c>
      <c r="H2286" s="395">
        <v>143371.53599999999</v>
      </c>
      <c r="I2286" s="394">
        <v>293.24</v>
      </c>
      <c r="J2286" s="394">
        <v>204816.48</v>
      </c>
      <c r="K2286" s="393" t="s">
        <v>1033</v>
      </c>
    </row>
    <row r="2287" spans="1:12" hidden="1" x14ac:dyDescent="0.3">
      <c r="A2287" s="397" t="s">
        <v>5043</v>
      </c>
      <c r="C2287" s="397" t="s">
        <v>1053</v>
      </c>
      <c r="D2287" s="397" t="s">
        <v>5042</v>
      </c>
      <c r="E2287" s="397" t="s">
        <v>5041</v>
      </c>
      <c r="F2287" s="397" t="s">
        <v>191</v>
      </c>
      <c r="G2287" s="396">
        <v>2</v>
      </c>
      <c r="H2287" s="395">
        <v>25144.252000000004</v>
      </c>
      <c r="I2287" s="394">
        <v>14300.86</v>
      </c>
      <c r="J2287" s="394">
        <v>35920.36</v>
      </c>
      <c r="K2287" s="393" t="s">
        <v>1033</v>
      </c>
    </row>
    <row r="2288" spans="1:12" hidden="1" x14ac:dyDescent="0.3">
      <c r="A2288" s="397" t="s">
        <v>6613</v>
      </c>
      <c r="C2288" s="397" t="s">
        <v>1053</v>
      </c>
      <c r="D2288" s="397" t="s">
        <v>6612</v>
      </c>
      <c r="E2288" s="397" t="s">
        <v>6600</v>
      </c>
      <c r="F2288" s="397" t="s">
        <v>191</v>
      </c>
      <c r="G2288" s="396">
        <v>1</v>
      </c>
      <c r="H2288" s="395">
        <v>95320.938999999984</v>
      </c>
      <c r="I2288" s="394">
        <v>1152.3599999999999</v>
      </c>
      <c r="J2288" s="394">
        <v>136172.76999999999</v>
      </c>
      <c r="K2288" s="393" t="s">
        <v>1033</v>
      </c>
    </row>
    <row r="2289" spans="1:12" hidden="1" x14ac:dyDescent="0.3">
      <c r="A2289" s="397" t="s">
        <v>6166</v>
      </c>
      <c r="C2289" s="397" t="s">
        <v>1053</v>
      </c>
      <c r="D2289" s="397" t="s">
        <v>6165</v>
      </c>
      <c r="E2289" s="397" t="s">
        <v>6162</v>
      </c>
      <c r="F2289" s="397" t="s">
        <v>191</v>
      </c>
      <c r="G2289" s="396">
        <v>4</v>
      </c>
      <c r="H2289" s="395">
        <v>69314.364000000001</v>
      </c>
      <c r="I2289" s="394">
        <v>139.33000000000001</v>
      </c>
      <c r="J2289" s="394">
        <v>99020.52</v>
      </c>
      <c r="K2289" s="393" t="s">
        <v>1033</v>
      </c>
    </row>
    <row r="2290" spans="1:12" hidden="1" x14ac:dyDescent="0.3">
      <c r="A2290" s="397" t="s">
        <v>6164</v>
      </c>
      <c r="C2290" s="397" t="s">
        <v>1053</v>
      </c>
      <c r="D2290" s="397" t="s">
        <v>6163</v>
      </c>
      <c r="E2290" s="397" t="s">
        <v>6162</v>
      </c>
      <c r="F2290" s="397" t="s">
        <v>191</v>
      </c>
      <c r="G2290" s="396">
        <v>4</v>
      </c>
      <c r="H2290" s="395">
        <v>113224.412</v>
      </c>
      <c r="I2290" s="394">
        <v>226.32</v>
      </c>
      <c r="J2290" s="394">
        <v>161749.16</v>
      </c>
      <c r="K2290" s="393" t="s">
        <v>1033</v>
      </c>
    </row>
    <row r="2291" spans="1:12" hidden="1" x14ac:dyDescent="0.3">
      <c r="A2291" s="397" t="s">
        <v>863</v>
      </c>
      <c r="C2291" s="397" t="s">
        <v>1053</v>
      </c>
      <c r="D2291" s="397" t="s">
        <v>487</v>
      </c>
      <c r="E2291" s="397" t="s">
        <v>488</v>
      </c>
      <c r="F2291" s="397" t="s">
        <v>191</v>
      </c>
      <c r="G2291" s="396">
        <v>1</v>
      </c>
      <c r="H2291" s="395">
        <v>307104.196</v>
      </c>
      <c r="I2291" s="394">
        <v>229720.22</v>
      </c>
      <c r="J2291" s="394">
        <v>438720.28</v>
      </c>
      <c r="K2291" s="393" t="s">
        <v>1033</v>
      </c>
      <c r="L2291" s="395">
        <v>1</v>
      </c>
    </row>
    <row r="2292" spans="1:12" hidden="1" x14ac:dyDescent="0.3">
      <c r="A2292" s="397" t="s">
        <v>6562</v>
      </c>
      <c r="C2292" s="397" t="s">
        <v>1053</v>
      </c>
      <c r="D2292" s="397" t="s">
        <v>6561</v>
      </c>
      <c r="E2292" s="397" t="s">
        <v>2240</v>
      </c>
      <c r="F2292" s="397" t="s">
        <v>191</v>
      </c>
      <c r="G2292" s="396">
        <v>5</v>
      </c>
      <c r="H2292" s="395">
        <v>22876.657999999999</v>
      </c>
      <c r="I2292" s="394">
        <v>971.95</v>
      </c>
      <c r="J2292" s="394">
        <v>32680.940000000002</v>
      </c>
      <c r="K2292" s="393" t="s">
        <v>1033</v>
      </c>
    </row>
    <row r="2293" spans="1:12" hidden="1" x14ac:dyDescent="0.3">
      <c r="A2293" s="397" t="s">
        <v>6141</v>
      </c>
      <c r="C2293" s="397" t="s">
        <v>1053</v>
      </c>
      <c r="D2293" s="397" t="s">
        <v>6140</v>
      </c>
      <c r="E2293" s="397" t="s">
        <v>6102</v>
      </c>
      <c r="F2293" s="397" t="s">
        <v>191</v>
      </c>
      <c r="G2293" s="396">
        <v>2</v>
      </c>
      <c r="H2293" s="395">
        <v>24364.053</v>
      </c>
      <c r="I2293" s="394">
        <v>310.70999999999998</v>
      </c>
      <c r="J2293" s="394">
        <v>34805.79</v>
      </c>
      <c r="K2293" s="393" t="s">
        <v>1033</v>
      </c>
    </row>
    <row r="2294" spans="1:12" hidden="1" x14ac:dyDescent="0.3">
      <c r="A2294" s="397" t="s">
        <v>6114</v>
      </c>
      <c r="C2294" s="397" t="s">
        <v>1053</v>
      </c>
      <c r="D2294" s="397" t="s">
        <v>6113</v>
      </c>
      <c r="E2294" s="397" t="s">
        <v>581</v>
      </c>
      <c r="F2294" s="397" t="s">
        <v>191</v>
      </c>
      <c r="G2294" s="396">
        <v>2</v>
      </c>
      <c r="H2294" s="395">
        <v>30550.883999999998</v>
      </c>
      <c r="I2294" s="394">
        <v>29155.07</v>
      </c>
      <c r="J2294" s="394">
        <v>43644.12</v>
      </c>
      <c r="K2294" s="393" t="s">
        <v>1033</v>
      </c>
    </row>
    <row r="2295" spans="1:12" hidden="1" x14ac:dyDescent="0.3">
      <c r="A2295" s="397" t="s">
        <v>3405</v>
      </c>
      <c r="C2295" s="397" t="s">
        <v>1053</v>
      </c>
      <c r="D2295" s="397" t="s">
        <v>3404</v>
      </c>
      <c r="E2295" s="397" t="s">
        <v>677</v>
      </c>
      <c r="F2295" s="397" t="s">
        <v>191</v>
      </c>
      <c r="G2295" s="396">
        <v>3</v>
      </c>
      <c r="H2295" s="395">
        <v>76911.898000000001</v>
      </c>
      <c r="I2295" s="394">
        <v>61202.79</v>
      </c>
      <c r="J2295" s="394">
        <v>109874.14</v>
      </c>
      <c r="K2295" s="393" t="s">
        <v>1033</v>
      </c>
      <c r="L2295" s="395">
        <v>1</v>
      </c>
    </row>
    <row r="2296" spans="1:12" hidden="1" x14ac:dyDescent="0.3">
      <c r="A2296" s="397" t="s">
        <v>6179</v>
      </c>
      <c r="C2296" s="397" t="s">
        <v>1053</v>
      </c>
      <c r="D2296" s="397" t="s">
        <v>6178</v>
      </c>
      <c r="E2296" s="397" t="s">
        <v>573</v>
      </c>
      <c r="F2296" s="397" t="s">
        <v>191</v>
      </c>
      <c r="G2296" s="396">
        <v>2</v>
      </c>
      <c r="H2296" s="395">
        <v>201130.74800000002</v>
      </c>
      <c r="I2296" s="394">
        <v>3018.4700000000003</v>
      </c>
      <c r="J2296" s="394">
        <v>287329.64</v>
      </c>
      <c r="K2296" s="393" t="s">
        <v>1033</v>
      </c>
    </row>
    <row r="2297" spans="1:12" hidden="1" x14ac:dyDescent="0.3">
      <c r="A2297" s="397" t="s">
        <v>7596</v>
      </c>
      <c r="C2297" s="397" t="s">
        <v>1053</v>
      </c>
      <c r="D2297" s="397" t="s">
        <v>7595</v>
      </c>
      <c r="E2297" s="397" t="s">
        <v>7594</v>
      </c>
      <c r="F2297" s="397" t="s">
        <v>191</v>
      </c>
      <c r="G2297" s="396">
        <v>1</v>
      </c>
      <c r="H2297" s="395">
        <v>94280.675999999992</v>
      </c>
      <c r="I2297" s="394">
        <v>10124.98</v>
      </c>
      <c r="J2297" s="394">
        <v>134686.68</v>
      </c>
      <c r="K2297" s="393" t="s">
        <v>1033</v>
      </c>
    </row>
    <row r="2298" spans="1:12" hidden="1" x14ac:dyDescent="0.3">
      <c r="A2298" s="397" t="s">
        <v>895</v>
      </c>
      <c r="C2298" s="397" t="s">
        <v>1053</v>
      </c>
      <c r="D2298" s="397" t="s">
        <v>364</v>
      </c>
      <c r="E2298" s="397" t="s">
        <v>365</v>
      </c>
      <c r="F2298" s="397" t="s">
        <v>191</v>
      </c>
      <c r="G2298" s="396">
        <v>8</v>
      </c>
      <c r="H2298" s="395">
        <v>153115.94200000001</v>
      </c>
      <c r="I2298" s="394">
        <v>150360.59</v>
      </c>
      <c r="J2298" s="394">
        <v>218737.06</v>
      </c>
      <c r="K2298" s="393" t="s">
        <v>1033</v>
      </c>
    </row>
    <row r="2299" spans="1:12" hidden="1" x14ac:dyDescent="0.3">
      <c r="A2299" s="397" t="s">
        <v>8235</v>
      </c>
      <c r="C2299" s="397" t="s">
        <v>1053</v>
      </c>
      <c r="D2299" s="397" t="s">
        <v>371</v>
      </c>
      <c r="E2299" s="397" t="s">
        <v>365</v>
      </c>
      <c r="F2299" s="397" t="s">
        <v>191</v>
      </c>
      <c r="G2299" s="396">
        <v>5</v>
      </c>
      <c r="H2299" s="395">
        <v>150770.837</v>
      </c>
      <c r="I2299" s="394">
        <v>141566.42000000001</v>
      </c>
      <c r="J2299" s="394">
        <v>215386.91</v>
      </c>
      <c r="K2299" s="393" t="s">
        <v>1033</v>
      </c>
      <c r="L2299" s="395">
        <v>1</v>
      </c>
    </row>
    <row r="2300" spans="1:12" hidden="1" x14ac:dyDescent="0.3">
      <c r="A2300" s="397" t="s">
        <v>894</v>
      </c>
      <c r="C2300" s="397" t="s">
        <v>1053</v>
      </c>
      <c r="D2300" s="397" t="s">
        <v>367</v>
      </c>
      <c r="E2300" s="397" t="s">
        <v>365</v>
      </c>
      <c r="F2300" s="397" t="s">
        <v>191</v>
      </c>
      <c r="G2300" s="396">
        <v>5</v>
      </c>
      <c r="H2300" s="395">
        <v>133035.96599999999</v>
      </c>
      <c r="I2300" s="394">
        <v>150585.19</v>
      </c>
      <c r="J2300" s="394">
        <v>190051.38</v>
      </c>
      <c r="K2300" s="393" t="s">
        <v>1033</v>
      </c>
      <c r="L2300" s="395">
        <v>1</v>
      </c>
    </row>
    <row r="2301" spans="1:12" hidden="1" x14ac:dyDescent="0.3">
      <c r="A2301" s="397" t="s">
        <v>7137</v>
      </c>
      <c r="C2301" s="397" t="s">
        <v>1053</v>
      </c>
      <c r="D2301" s="397" t="s">
        <v>486</v>
      </c>
      <c r="E2301" s="397" t="s">
        <v>484</v>
      </c>
      <c r="F2301" s="397" t="s">
        <v>191</v>
      </c>
      <c r="G2301" s="396">
        <v>4</v>
      </c>
      <c r="H2301" s="395">
        <v>149777.22200000001</v>
      </c>
      <c r="I2301" s="394">
        <v>147158.1</v>
      </c>
      <c r="J2301" s="394">
        <v>213967.46</v>
      </c>
      <c r="K2301" s="393" t="s">
        <v>1033</v>
      </c>
    </row>
    <row r="2302" spans="1:12" hidden="1" x14ac:dyDescent="0.3">
      <c r="A2302" s="397" t="s">
        <v>7069</v>
      </c>
      <c r="C2302" s="397" t="s">
        <v>1053</v>
      </c>
      <c r="D2302" s="397" t="s">
        <v>7068</v>
      </c>
      <c r="E2302" s="397" t="s">
        <v>7067</v>
      </c>
      <c r="F2302" s="397" t="s">
        <v>191</v>
      </c>
      <c r="G2302" s="396">
        <v>2</v>
      </c>
      <c r="H2302" s="395">
        <v>324305.59700000001</v>
      </c>
      <c r="I2302" s="394">
        <v>304555.95</v>
      </c>
      <c r="J2302" s="394">
        <v>463293.71</v>
      </c>
      <c r="K2302" s="393" t="s">
        <v>1033</v>
      </c>
    </row>
    <row r="2303" spans="1:12" hidden="1" x14ac:dyDescent="0.3">
      <c r="A2303" s="397" t="s">
        <v>3608</v>
      </c>
      <c r="C2303" s="397" t="s">
        <v>1053</v>
      </c>
      <c r="D2303" s="397" t="s">
        <v>3607</v>
      </c>
      <c r="E2303" s="397" t="s">
        <v>3606</v>
      </c>
      <c r="F2303" s="397" t="s">
        <v>191</v>
      </c>
      <c r="G2303" s="396">
        <v>1</v>
      </c>
      <c r="H2303" s="395">
        <v>183126.37700000001</v>
      </c>
      <c r="I2303" s="394">
        <v>627.59</v>
      </c>
      <c r="J2303" s="394">
        <v>261609.11000000002</v>
      </c>
      <c r="K2303" s="393" t="s">
        <v>1033</v>
      </c>
    </row>
    <row r="2304" spans="1:12" hidden="1" x14ac:dyDescent="0.3">
      <c r="A2304" s="397" t="s">
        <v>7210</v>
      </c>
      <c r="C2304" s="397" t="s">
        <v>1053</v>
      </c>
      <c r="D2304" s="397" t="s">
        <v>7209</v>
      </c>
      <c r="E2304" s="397" t="s">
        <v>7208</v>
      </c>
      <c r="F2304" s="397" t="s">
        <v>191</v>
      </c>
      <c r="G2304" s="396">
        <v>1</v>
      </c>
      <c r="H2304" s="395">
        <v>123955.545</v>
      </c>
      <c r="I2304" s="394">
        <v>86713.12</v>
      </c>
      <c r="J2304" s="394">
        <v>177079.35</v>
      </c>
      <c r="K2304" s="393" t="s">
        <v>1033</v>
      </c>
    </row>
    <row r="2305" spans="1:12" hidden="1" x14ac:dyDescent="0.3">
      <c r="A2305" s="397" t="s">
        <v>2975</v>
      </c>
      <c r="C2305" s="397" t="s">
        <v>1053</v>
      </c>
      <c r="D2305" s="397" t="s">
        <v>2974</v>
      </c>
      <c r="E2305" s="397" t="s">
        <v>608</v>
      </c>
      <c r="F2305" s="397" t="s">
        <v>191</v>
      </c>
      <c r="G2305" s="396">
        <v>5</v>
      </c>
      <c r="H2305" s="395">
        <v>50776.859000000004</v>
      </c>
      <c r="I2305" s="394">
        <v>46448.639999999999</v>
      </c>
      <c r="J2305" s="394">
        <v>72538.37</v>
      </c>
      <c r="K2305" s="393" t="s">
        <v>1033</v>
      </c>
    </row>
    <row r="2306" spans="1:12" hidden="1" x14ac:dyDescent="0.3">
      <c r="A2306" s="397" t="s">
        <v>7037</v>
      </c>
      <c r="C2306" s="397" t="s">
        <v>1053</v>
      </c>
      <c r="D2306" s="397" t="s">
        <v>7036</v>
      </c>
      <c r="E2306" s="397" t="s">
        <v>7035</v>
      </c>
      <c r="F2306" s="397" t="s">
        <v>191</v>
      </c>
      <c r="G2306" s="396">
        <v>1</v>
      </c>
      <c r="H2306" s="395">
        <v>526.61</v>
      </c>
      <c r="I2306" s="394">
        <v>316.01</v>
      </c>
      <c r="J2306" s="394">
        <v>752.30000000000007</v>
      </c>
      <c r="K2306" s="393" t="s">
        <v>1033</v>
      </c>
    </row>
    <row r="2307" spans="1:12" hidden="1" x14ac:dyDescent="0.3">
      <c r="A2307" s="397" t="s">
        <v>2854</v>
      </c>
      <c r="C2307" s="397" t="s">
        <v>1053</v>
      </c>
      <c r="D2307" s="397" t="s">
        <v>2853</v>
      </c>
      <c r="E2307" s="397" t="s">
        <v>608</v>
      </c>
      <c r="F2307" s="397" t="s">
        <v>191</v>
      </c>
      <c r="G2307" s="396">
        <v>4</v>
      </c>
      <c r="H2307" s="395">
        <v>59049.606</v>
      </c>
      <c r="I2307" s="394">
        <v>56000.94</v>
      </c>
      <c r="J2307" s="394">
        <v>84356.58</v>
      </c>
      <c r="K2307" s="393" t="s">
        <v>1033</v>
      </c>
    </row>
    <row r="2308" spans="1:12" hidden="1" x14ac:dyDescent="0.3">
      <c r="A2308" s="397" t="s">
        <v>2859</v>
      </c>
      <c r="C2308" s="397" t="s">
        <v>1053</v>
      </c>
      <c r="D2308" s="397" t="s">
        <v>688</v>
      </c>
      <c r="E2308" s="397" t="s">
        <v>608</v>
      </c>
      <c r="F2308" s="397" t="s">
        <v>191</v>
      </c>
      <c r="G2308" s="396">
        <v>6</v>
      </c>
      <c r="H2308" s="395">
        <v>20476.757000000001</v>
      </c>
      <c r="I2308" s="394">
        <v>19408.64</v>
      </c>
      <c r="J2308" s="394">
        <v>29252.510000000002</v>
      </c>
      <c r="K2308" s="393" t="s">
        <v>1033</v>
      </c>
    </row>
    <row r="2309" spans="1:12" hidden="1" x14ac:dyDescent="0.3">
      <c r="A2309" s="397" t="s">
        <v>7042</v>
      </c>
      <c r="C2309" s="397" t="s">
        <v>1053</v>
      </c>
      <c r="D2309" s="397" t="s">
        <v>7041</v>
      </c>
      <c r="E2309" s="397" t="s">
        <v>7035</v>
      </c>
      <c r="F2309" s="397" t="s">
        <v>191</v>
      </c>
      <c r="G2309" s="396">
        <v>1</v>
      </c>
      <c r="H2309" s="395">
        <v>345184.61600000004</v>
      </c>
      <c r="I2309" s="394">
        <v>12886.25</v>
      </c>
      <c r="J2309" s="394">
        <v>493120.88</v>
      </c>
      <c r="K2309" s="393" t="s">
        <v>1033</v>
      </c>
    </row>
    <row r="2310" spans="1:12" hidden="1" x14ac:dyDescent="0.3">
      <c r="A2310" s="397" t="s">
        <v>7040</v>
      </c>
      <c r="C2310" s="397" t="s">
        <v>1053</v>
      </c>
      <c r="D2310" s="397" t="s">
        <v>7039</v>
      </c>
      <c r="E2310" s="397" t="s">
        <v>7038</v>
      </c>
      <c r="F2310" s="397" t="s">
        <v>191</v>
      </c>
      <c r="G2310" s="396">
        <v>3</v>
      </c>
      <c r="H2310" s="395">
        <v>345184.61600000004</v>
      </c>
      <c r="I2310" s="394">
        <v>12886.25</v>
      </c>
      <c r="J2310" s="394">
        <v>493120.88</v>
      </c>
      <c r="K2310" s="393" t="s">
        <v>1033</v>
      </c>
    </row>
    <row r="2311" spans="1:12" hidden="1" x14ac:dyDescent="0.3">
      <c r="A2311" s="397" t="s">
        <v>7073</v>
      </c>
      <c r="C2311" s="397" t="s">
        <v>1053</v>
      </c>
      <c r="D2311" s="397" t="s">
        <v>7072</v>
      </c>
      <c r="E2311" s="397" t="s">
        <v>7035</v>
      </c>
      <c r="F2311" s="397" t="s">
        <v>191</v>
      </c>
      <c r="G2311" s="396">
        <v>1</v>
      </c>
      <c r="H2311" s="395">
        <v>295823.89199999999</v>
      </c>
      <c r="I2311" s="394">
        <v>12410.84</v>
      </c>
      <c r="J2311" s="394">
        <v>422605.56</v>
      </c>
      <c r="K2311" s="393" t="s">
        <v>1033</v>
      </c>
    </row>
    <row r="2312" spans="1:12" hidden="1" x14ac:dyDescent="0.3">
      <c r="A2312" s="397" t="s">
        <v>7102</v>
      </c>
      <c r="C2312" s="397" t="s">
        <v>1053</v>
      </c>
      <c r="D2312" s="397" t="s">
        <v>7101</v>
      </c>
      <c r="E2312" s="397" t="s">
        <v>7100</v>
      </c>
      <c r="F2312" s="397" t="s">
        <v>191</v>
      </c>
      <c r="G2312" s="396">
        <v>2</v>
      </c>
      <c r="H2312" s="395">
        <v>343313.88700000005</v>
      </c>
      <c r="I2312" s="394">
        <v>322653.77</v>
      </c>
      <c r="J2312" s="394">
        <v>490448.41000000003</v>
      </c>
      <c r="K2312" s="393" t="s">
        <v>1033</v>
      </c>
    </row>
    <row r="2313" spans="1:12" hidden="1" x14ac:dyDescent="0.3">
      <c r="A2313" s="397" t="s">
        <v>6619</v>
      </c>
      <c r="C2313" s="397" t="s">
        <v>1053</v>
      </c>
      <c r="D2313" s="397" t="s">
        <v>6618</v>
      </c>
      <c r="E2313" s="397" t="s">
        <v>542</v>
      </c>
      <c r="F2313" s="397" t="s">
        <v>191</v>
      </c>
      <c r="G2313" s="396">
        <v>1</v>
      </c>
      <c r="H2313" s="395">
        <v>91050.385999999999</v>
      </c>
      <c r="I2313" s="394">
        <v>67787.320000000007</v>
      </c>
      <c r="J2313" s="394">
        <v>130071.98</v>
      </c>
      <c r="K2313" s="393" t="s">
        <v>1033</v>
      </c>
      <c r="L2313" s="395">
        <v>1</v>
      </c>
    </row>
    <row r="2314" spans="1:12" hidden="1" x14ac:dyDescent="0.3">
      <c r="A2314" s="397" t="s">
        <v>7876</v>
      </c>
      <c r="C2314" s="397" t="s">
        <v>1053</v>
      </c>
      <c r="D2314" s="397" t="s">
        <v>7875</v>
      </c>
      <c r="E2314" s="397" t="s">
        <v>7874</v>
      </c>
      <c r="F2314" s="397" t="s">
        <v>191</v>
      </c>
      <c r="G2314" s="396">
        <v>3</v>
      </c>
      <c r="H2314" s="395">
        <v>101671.73099999999</v>
      </c>
      <c r="I2314" s="394">
        <v>5064.8900000000003</v>
      </c>
      <c r="J2314" s="394">
        <v>145245.32999999999</v>
      </c>
      <c r="K2314" s="393" t="s">
        <v>1033</v>
      </c>
    </row>
    <row r="2315" spans="1:12" hidden="1" x14ac:dyDescent="0.3">
      <c r="A2315" s="397" t="s">
        <v>861</v>
      </c>
      <c r="C2315" s="397" t="s">
        <v>1053</v>
      </c>
      <c r="D2315" s="397" t="s">
        <v>499</v>
      </c>
      <c r="E2315" s="397" t="s">
        <v>500</v>
      </c>
      <c r="F2315" s="397" t="s">
        <v>191</v>
      </c>
      <c r="G2315" s="396">
        <v>4</v>
      </c>
      <c r="H2315" s="395">
        <v>235703.67100000003</v>
      </c>
      <c r="I2315" s="394">
        <v>223490.37</v>
      </c>
      <c r="J2315" s="394">
        <v>336719.53</v>
      </c>
      <c r="K2315" s="393" t="s">
        <v>1033</v>
      </c>
      <c r="L2315" s="395">
        <v>1</v>
      </c>
    </row>
    <row r="2316" spans="1:12" hidden="1" x14ac:dyDescent="0.3">
      <c r="A2316" s="397" t="s">
        <v>853</v>
      </c>
      <c r="C2316" s="397" t="s">
        <v>1053</v>
      </c>
      <c r="D2316" s="397" t="s">
        <v>544</v>
      </c>
      <c r="E2316" s="397" t="s">
        <v>545</v>
      </c>
      <c r="F2316" s="397" t="s">
        <v>191</v>
      </c>
      <c r="G2316" s="396">
        <v>4</v>
      </c>
      <c r="H2316" s="395">
        <v>265102.80300000001</v>
      </c>
      <c r="I2316" s="394">
        <v>258379.39</v>
      </c>
      <c r="J2316" s="394">
        <v>378718.29</v>
      </c>
      <c r="K2316" s="393" t="s">
        <v>1033</v>
      </c>
      <c r="L2316" s="395">
        <v>3</v>
      </c>
    </row>
    <row r="2317" spans="1:12" hidden="1" x14ac:dyDescent="0.3">
      <c r="A2317" s="397" t="s">
        <v>7868</v>
      </c>
      <c r="C2317" s="397" t="s">
        <v>1053</v>
      </c>
      <c r="D2317" s="397" t="s">
        <v>7867</v>
      </c>
      <c r="E2317" s="397" t="s">
        <v>7835</v>
      </c>
      <c r="F2317" s="397" t="s">
        <v>191</v>
      </c>
      <c r="G2317" s="396">
        <v>3</v>
      </c>
      <c r="H2317" s="395">
        <v>123288.326</v>
      </c>
      <c r="I2317" s="394">
        <v>118043.04000000001</v>
      </c>
      <c r="J2317" s="394">
        <v>176126.18</v>
      </c>
      <c r="K2317" s="393" t="s">
        <v>1033</v>
      </c>
    </row>
    <row r="2318" spans="1:12" hidden="1" x14ac:dyDescent="0.3">
      <c r="A2318" s="397" t="s">
        <v>2246</v>
      </c>
      <c r="C2318" s="397" t="s">
        <v>1053</v>
      </c>
      <c r="D2318" s="397" t="s">
        <v>2245</v>
      </c>
      <c r="E2318" s="397" t="s">
        <v>2240</v>
      </c>
      <c r="F2318" s="397" t="s">
        <v>191</v>
      </c>
      <c r="G2318" s="396">
        <v>7</v>
      </c>
      <c r="H2318" s="395">
        <v>9362.3670000000002</v>
      </c>
      <c r="I2318" s="394">
        <v>9140.25</v>
      </c>
      <c r="J2318" s="394">
        <v>13374.81</v>
      </c>
      <c r="K2318" s="393" t="s">
        <v>1033</v>
      </c>
    </row>
    <row r="2319" spans="1:12" hidden="1" x14ac:dyDescent="0.3">
      <c r="A2319" s="397" t="s">
        <v>6136</v>
      </c>
      <c r="C2319" s="397" t="s">
        <v>1053</v>
      </c>
      <c r="D2319" s="397" t="s">
        <v>6135</v>
      </c>
      <c r="E2319" s="397" t="s">
        <v>581</v>
      </c>
      <c r="F2319" s="397" t="s">
        <v>191</v>
      </c>
      <c r="G2319" s="396">
        <v>2</v>
      </c>
      <c r="H2319" s="395">
        <v>12921.16</v>
      </c>
      <c r="I2319" s="394">
        <v>59.370000000000005</v>
      </c>
      <c r="J2319" s="394">
        <v>18458.8</v>
      </c>
      <c r="K2319" s="393" t="s">
        <v>1033</v>
      </c>
    </row>
    <row r="2320" spans="1:12" hidden="1" x14ac:dyDescent="0.3">
      <c r="A2320" s="397" t="s">
        <v>7045</v>
      </c>
      <c r="C2320" s="397" t="s">
        <v>1053</v>
      </c>
      <c r="D2320" s="397" t="s">
        <v>7044</v>
      </c>
      <c r="E2320" s="397" t="s">
        <v>7043</v>
      </c>
      <c r="F2320" s="397" t="s">
        <v>191</v>
      </c>
      <c r="G2320" s="396">
        <v>1</v>
      </c>
      <c r="H2320" s="395">
        <v>278519.27600000001</v>
      </c>
      <c r="I2320" s="394">
        <v>125733.09</v>
      </c>
      <c r="J2320" s="394">
        <v>397884.68</v>
      </c>
      <c r="K2320" s="393" t="s">
        <v>1033</v>
      </c>
    </row>
    <row r="2321" spans="1:12" hidden="1" x14ac:dyDescent="0.3">
      <c r="A2321" s="397" t="s">
        <v>6091</v>
      </c>
      <c r="C2321" s="397" t="s">
        <v>1053</v>
      </c>
      <c r="D2321" s="397" t="s">
        <v>6090</v>
      </c>
      <c r="E2321" s="397" t="s">
        <v>6089</v>
      </c>
      <c r="F2321" s="397" t="s">
        <v>191</v>
      </c>
      <c r="G2321" s="396">
        <v>1</v>
      </c>
      <c r="H2321" s="395">
        <v>163540.28599999999</v>
      </c>
      <c r="I2321" s="394">
        <v>156876.76</v>
      </c>
      <c r="J2321" s="394">
        <v>233628.98</v>
      </c>
      <c r="K2321" s="393" t="s">
        <v>1033</v>
      </c>
    </row>
    <row r="2322" spans="1:12" hidden="1" x14ac:dyDescent="0.3">
      <c r="A2322" s="397" t="s">
        <v>6183</v>
      </c>
      <c r="C2322" s="397" t="s">
        <v>1053</v>
      </c>
      <c r="D2322" s="397" t="s">
        <v>6182</v>
      </c>
      <c r="E2322" s="397" t="s">
        <v>573</v>
      </c>
      <c r="F2322" s="397" t="s">
        <v>191</v>
      </c>
      <c r="G2322" s="396">
        <v>8</v>
      </c>
      <c r="H2322" s="395">
        <v>118823.166</v>
      </c>
      <c r="I2322" s="394">
        <v>112915.58</v>
      </c>
      <c r="J2322" s="394">
        <v>169747.38</v>
      </c>
      <c r="K2322" s="393" t="s">
        <v>1033</v>
      </c>
    </row>
    <row r="2323" spans="1:12" hidden="1" x14ac:dyDescent="0.3">
      <c r="A2323" s="397" t="s">
        <v>7855</v>
      </c>
      <c r="C2323" s="397" t="s">
        <v>1053</v>
      </c>
      <c r="D2323" s="397" t="s">
        <v>7854</v>
      </c>
      <c r="E2323" s="397" t="s">
        <v>7853</v>
      </c>
      <c r="F2323" s="397" t="s">
        <v>191</v>
      </c>
      <c r="G2323" s="396">
        <v>1</v>
      </c>
      <c r="H2323" s="395">
        <v>175037.93300000002</v>
      </c>
      <c r="I2323" s="394">
        <v>171263.09</v>
      </c>
      <c r="J2323" s="394">
        <v>250054.19</v>
      </c>
      <c r="K2323" s="393" t="s">
        <v>1033</v>
      </c>
    </row>
    <row r="2324" spans="1:12" hidden="1" x14ac:dyDescent="0.3">
      <c r="A2324" s="397" t="s">
        <v>6918</v>
      </c>
      <c r="C2324" s="397" t="s">
        <v>1053</v>
      </c>
      <c r="D2324" s="397" t="s">
        <v>6917</v>
      </c>
      <c r="E2324" s="397" t="s">
        <v>6916</v>
      </c>
      <c r="F2324" s="397" t="s">
        <v>191</v>
      </c>
      <c r="G2324" s="396">
        <v>1</v>
      </c>
      <c r="H2324" s="395">
        <v>1047.732</v>
      </c>
      <c r="I2324" s="394">
        <v>422.58</v>
      </c>
      <c r="J2324" s="394">
        <v>1496.76</v>
      </c>
      <c r="K2324" s="393" t="s">
        <v>1033</v>
      </c>
    </row>
    <row r="2325" spans="1:12" hidden="1" x14ac:dyDescent="0.3">
      <c r="A2325" s="397" t="s">
        <v>893</v>
      </c>
      <c r="C2325" s="397" t="s">
        <v>1053</v>
      </c>
      <c r="D2325" s="397" t="s">
        <v>369</v>
      </c>
      <c r="E2325" s="397" t="s">
        <v>365</v>
      </c>
      <c r="F2325" s="397" t="s">
        <v>191</v>
      </c>
      <c r="G2325" s="396">
        <v>5</v>
      </c>
      <c r="H2325" s="395">
        <v>153115.94200000001</v>
      </c>
      <c r="I2325" s="394">
        <v>98560.34</v>
      </c>
      <c r="J2325" s="394">
        <v>218737.06</v>
      </c>
      <c r="K2325" s="393" t="s">
        <v>1033</v>
      </c>
    </row>
    <row r="2326" spans="1:12" hidden="1" x14ac:dyDescent="0.3">
      <c r="A2326" s="397" t="s">
        <v>2785</v>
      </c>
      <c r="C2326" s="397" t="s">
        <v>1053</v>
      </c>
      <c r="D2326" s="397" t="s">
        <v>2784</v>
      </c>
      <c r="E2326" s="397" t="s">
        <v>677</v>
      </c>
      <c r="F2326" s="397" t="s">
        <v>191</v>
      </c>
      <c r="G2326" s="396">
        <v>2</v>
      </c>
      <c r="H2326" s="395">
        <v>45276.175000000003</v>
      </c>
      <c r="I2326" s="394">
        <v>43785.85</v>
      </c>
      <c r="J2326" s="394">
        <v>64680.25</v>
      </c>
      <c r="K2326" s="393" t="s">
        <v>1033</v>
      </c>
    </row>
    <row r="2327" spans="1:12" hidden="1" x14ac:dyDescent="0.3">
      <c r="A2327" s="397" t="s">
        <v>6568</v>
      </c>
      <c r="C2327" s="397" t="s">
        <v>1053</v>
      </c>
      <c r="D2327" s="397" t="s">
        <v>6567</v>
      </c>
      <c r="E2327" s="397" t="s">
        <v>6566</v>
      </c>
      <c r="F2327" s="397" t="s">
        <v>191</v>
      </c>
      <c r="G2327" s="396">
        <v>2</v>
      </c>
      <c r="H2327" s="395">
        <v>253933.66600000003</v>
      </c>
      <c r="I2327" s="394">
        <v>10841.99</v>
      </c>
      <c r="J2327" s="394">
        <v>362762.38</v>
      </c>
      <c r="K2327" s="393" t="s">
        <v>1033</v>
      </c>
    </row>
    <row r="2328" spans="1:12" hidden="1" x14ac:dyDescent="0.3">
      <c r="A2328" s="397" t="s">
        <v>6599</v>
      </c>
      <c r="C2328" s="397" t="s">
        <v>1053</v>
      </c>
      <c r="D2328" s="397" t="s">
        <v>6598</v>
      </c>
      <c r="E2328" s="397" t="s">
        <v>6597</v>
      </c>
      <c r="F2328" s="397" t="s">
        <v>191</v>
      </c>
      <c r="G2328" s="396">
        <v>1</v>
      </c>
      <c r="H2328" s="395">
        <v>142408.511</v>
      </c>
      <c r="I2328" s="394">
        <v>107.54</v>
      </c>
      <c r="J2328" s="394">
        <v>203440.73</v>
      </c>
      <c r="K2328" s="393" t="s">
        <v>1033</v>
      </c>
    </row>
    <row r="2329" spans="1:12" hidden="1" x14ac:dyDescent="0.3">
      <c r="A2329" s="397" t="s">
        <v>6087</v>
      </c>
      <c r="C2329" s="397" t="s">
        <v>1053</v>
      </c>
      <c r="D2329" s="397" t="s">
        <v>6086</v>
      </c>
      <c r="E2329" s="397" t="s">
        <v>6085</v>
      </c>
      <c r="F2329" s="397" t="s">
        <v>191</v>
      </c>
      <c r="G2329" s="396">
        <v>2</v>
      </c>
      <c r="H2329" s="395">
        <v>113607.66900000001</v>
      </c>
      <c r="I2329" s="394">
        <v>111631.24</v>
      </c>
      <c r="J2329" s="394">
        <v>162296.67000000001</v>
      </c>
      <c r="K2329" s="393" t="s">
        <v>1033</v>
      </c>
      <c r="L2329" s="395">
        <v>1</v>
      </c>
    </row>
    <row r="2330" spans="1:12" hidden="1" x14ac:dyDescent="0.3">
      <c r="A2330" s="397" t="s">
        <v>6663</v>
      </c>
      <c r="C2330" s="397" t="s">
        <v>1053</v>
      </c>
      <c r="D2330" s="397" t="s">
        <v>6662</v>
      </c>
      <c r="E2330" s="397" t="s">
        <v>6661</v>
      </c>
      <c r="F2330" s="397" t="s">
        <v>191</v>
      </c>
      <c r="G2330" s="396">
        <v>2</v>
      </c>
      <c r="H2330" s="395">
        <v>53343.892</v>
      </c>
      <c r="I2330" s="394">
        <v>32669.21</v>
      </c>
      <c r="J2330" s="394">
        <v>76205.56</v>
      </c>
      <c r="K2330" s="393" t="s">
        <v>1033</v>
      </c>
    </row>
    <row r="2331" spans="1:12" hidden="1" x14ac:dyDescent="0.3">
      <c r="A2331" s="397" t="s">
        <v>6606</v>
      </c>
      <c r="C2331" s="397" t="s">
        <v>1053</v>
      </c>
      <c r="D2331" s="397" t="s">
        <v>6605</v>
      </c>
      <c r="E2331" s="397" t="s">
        <v>542</v>
      </c>
      <c r="F2331" s="397" t="s">
        <v>191</v>
      </c>
      <c r="G2331" s="396">
        <v>1</v>
      </c>
      <c r="H2331" s="395">
        <v>91050.385999999999</v>
      </c>
      <c r="I2331" s="394">
        <v>88399.040000000008</v>
      </c>
      <c r="J2331" s="394">
        <v>130071.98</v>
      </c>
      <c r="K2331" s="393" t="s">
        <v>1033</v>
      </c>
      <c r="L2331" s="395">
        <v>1</v>
      </c>
    </row>
    <row r="2332" spans="1:12" hidden="1" x14ac:dyDescent="0.3">
      <c r="A2332" s="397" t="s">
        <v>2787</v>
      </c>
      <c r="C2332" s="397" t="s">
        <v>1053</v>
      </c>
      <c r="D2332" s="397" t="s">
        <v>2786</v>
      </c>
      <c r="E2332" s="397" t="s">
        <v>677</v>
      </c>
      <c r="F2332" s="397" t="s">
        <v>191</v>
      </c>
      <c r="G2332" s="396">
        <v>1</v>
      </c>
      <c r="H2332" s="395">
        <v>41032.593000000001</v>
      </c>
      <c r="I2332" s="394">
        <v>40084.01</v>
      </c>
      <c r="J2332" s="394">
        <v>58617.99</v>
      </c>
      <c r="K2332" s="393" t="s">
        <v>1033</v>
      </c>
    </row>
    <row r="2333" spans="1:12" hidden="1" x14ac:dyDescent="0.3">
      <c r="A2333" s="397" t="s">
        <v>3505</v>
      </c>
      <c r="C2333" s="397" t="s">
        <v>1053</v>
      </c>
      <c r="D2333" s="397" t="s">
        <v>3504</v>
      </c>
      <c r="E2333" s="397" t="s">
        <v>3503</v>
      </c>
      <c r="F2333" s="397" t="s">
        <v>191</v>
      </c>
      <c r="G2333" s="396">
        <v>1</v>
      </c>
      <c r="H2333" s="395">
        <v>247210.20800000001</v>
      </c>
      <c r="I2333" s="394">
        <v>23038.33</v>
      </c>
      <c r="J2333" s="394">
        <v>353157.44</v>
      </c>
      <c r="K2333" s="393" t="s">
        <v>1033</v>
      </c>
    </row>
    <row r="2334" spans="1:12" hidden="1" x14ac:dyDescent="0.3">
      <c r="A2334" s="397" t="s">
        <v>7842</v>
      </c>
      <c r="C2334" s="397" t="s">
        <v>1053</v>
      </c>
      <c r="D2334" s="397" t="s">
        <v>7841</v>
      </c>
      <c r="E2334" s="397" t="s">
        <v>7835</v>
      </c>
      <c r="F2334" s="397" t="s">
        <v>191</v>
      </c>
      <c r="G2334" s="396">
        <v>1</v>
      </c>
      <c r="H2334" s="395">
        <v>34876.184000000001</v>
      </c>
      <c r="I2334" s="394">
        <v>78.17</v>
      </c>
      <c r="J2334" s="394">
        <v>49823.12</v>
      </c>
      <c r="K2334" s="393" t="s">
        <v>1033</v>
      </c>
    </row>
    <row r="2335" spans="1:12" hidden="1" x14ac:dyDescent="0.3">
      <c r="A2335" s="397" t="s">
        <v>4873</v>
      </c>
      <c r="C2335" s="397" t="s">
        <v>1053</v>
      </c>
      <c r="D2335" s="397" t="s">
        <v>6076</v>
      </c>
      <c r="E2335" s="397" t="s">
        <v>6075</v>
      </c>
      <c r="F2335" s="397" t="s">
        <v>191</v>
      </c>
      <c r="G2335" s="396">
        <v>2</v>
      </c>
      <c r="H2335" s="395">
        <v>134303.421</v>
      </c>
      <c r="I2335" s="394">
        <v>87834</v>
      </c>
      <c r="J2335" s="394">
        <v>191862.03</v>
      </c>
      <c r="K2335" s="393" t="s">
        <v>1033</v>
      </c>
    </row>
    <row r="2336" spans="1:12" hidden="1" x14ac:dyDescent="0.3">
      <c r="A2336" s="397" t="s">
        <v>4873</v>
      </c>
      <c r="C2336" s="397" t="s">
        <v>1053</v>
      </c>
      <c r="D2336" s="397" t="s">
        <v>4872</v>
      </c>
      <c r="E2336" s="397" t="s">
        <v>4871</v>
      </c>
      <c r="F2336" s="397" t="s">
        <v>191</v>
      </c>
      <c r="G2336" s="396">
        <v>5</v>
      </c>
      <c r="H2336" s="395">
        <v>127404.837</v>
      </c>
      <c r="I2336" s="394">
        <v>118645.7</v>
      </c>
      <c r="J2336" s="394">
        <v>182006.91</v>
      </c>
      <c r="K2336" s="393" t="s">
        <v>1033</v>
      </c>
    </row>
    <row r="2337" spans="1:12" hidden="1" x14ac:dyDescent="0.3">
      <c r="A2337" s="397" t="s">
        <v>5980</v>
      </c>
      <c r="C2337" s="397" t="s">
        <v>1053</v>
      </c>
      <c r="D2337" s="397" t="s">
        <v>5979</v>
      </c>
      <c r="E2337" s="397" t="s">
        <v>471</v>
      </c>
      <c r="F2337" s="397" t="s">
        <v>191</v>
      </c>
      <c r="G2337" s="396">
        <v>1</v>
      </c>
      <c r="H2337" s="395">
        <v>32973.339</v>
      </c>
      <c r="I2337" s="394">
        <v>1191.1600000000001</v>
      </c>
      <c r="J2337" s="394">
        <v>47104.770000000004</v>
      </c>
      <c r="K2337" s="393" t="s">
        <v>1033</v>
      </c>
    </row>
    <row r="2338" spans="1:12" hidden="1" x14ac:dyDescent="0.3">
      <c r="A2338" s="397" t="s">
        <v>6177</v>
      </c>
      <c r="C2338" s="397" t="s">
        <v>1053</v>
      </c>
      <c r="D2338" s="397" t="s">
        <v>6176</v>
      </c>
      <c r="E2338" s="397" t="s">
        <v>6175</v>
      </c>
      <c r="F2338" s="397" t="s">
        <v>191</v>
      </c>
      <c r="G2338" s="396">
        <v>1</v>
      </c>
      <c r="H2338" s="395">
        <v>139011.98500000002</v>
      </c>
      <c r="I2338" s="394">
        <v>5116.38</v>
      </c>
      <c r="J2338" s="394">
        <v>198588.55000000002</v>
      </c>
      <c r="K2338" s="393" t="s">
        <v>1033</v>
      </c>
      <c r="L2338" s="395">
        <v>2</v>
      </c>
    </row>
    <row r="2339" spans="1:12" hidden="1" x14ac:dyDescent="0.3">
      <c r="A2339" s="397" t="s">
        <v>7837</v>
      </c>
      <c r="C2339" s="397" t="s">
        <v>1053</v>
      </c>
      <c r="D2339" s="397" t="s">
        <v>7836</v>
      </c>
      <c r="E2339" s="397" t="s">
        <v>7835</v>
      </c>
      <c r="F2339" s="397" t="s">
        <v>191</v>
      </c>
      <c r="G2339" s="396">
        <v>1</v>
      </c>
      <c r="H2339" s="395">
        <v>48509.670999999995</v>
      </c>
      <c r="I2339" s="394">
        <v>3737.9500000000003</v>
      </c>
      <c r="J2339" s="394">
        <v>69299.53</v>
      </c>
      <c r="K2339" s="393" t="s">
        <v>1033</v>
      </c>
    </row>
    <row r="2340" spans="1:12" hidden="1" x14ac:dyDescent="0.3">
      <c r="A2340" s="397" t="s">
        <v>6318</v>
      </c>
      <c r="C2340" s="397" t="s">
        <v>1053</v>
      </c>
      <c r="D2340" s="397" t="s">
        <v>6317</v>
      </c>
      <c r="E2340" s="397" t="s">
        <v>6316</v>
      </c>
      <c r="F2340" s="397" t="s">
        <v>191</v>
      </c>
      <c r="G2340" s="396">
        <v>2</v>
      </c>
      <c r="H2340" s="395">
        <v>53559.219000000005</v>
      </c>
      <c r="I2340" s="394">
        <v>405.37</v>
      </c>
      <c r="J2340" s="394">
        <v>76513.17</v>
      </c>
      <c r="K2340" s="393" t="s">
        <v>1033</v>
      </c>
    </row>
    <row r="2341" spans="1:12" hidden="1" x14ac:dyDescent="0.3">
      <c r="A2341" s="397" t="s">
        <v>6093</v>
      </c>
      <c r="C2341" s="397" t="s">
        <v>1053</v>
      </c>
      <c r="D2341" s="397" t="s">
        <v>7790</v>
      </c>
      <c r="E2341" s="397" t="s">
        <v>7789</v>
      </c>
      <c r="F2341" s="397" t="s">
        <v>191</v>
      </c>
      <c r="G2341" s="396">
        <v>1</v>
      </c>
      <c r="H2341" s="395">
        <v>71887.648000000001</v>
      </c>
      <c r="I2341" s="394">
        <v>68543.740000000005</v>
      </c>
      <c r="J2341" s="394">
        <v>102696.64</v>
      </c>
      <c r="K2341" s="393" t="s">
        <v>1033</v>
      </c>
    </row>
    <row r="2342" spans="1:12" hidden="1" x14ac:dyDescent="0.3">
      <c r="A2342" s="397" t="s">
        <v>6093</v>
      </c>
      <c r="C2342" s="397" t="s">
        <v>1053</v>
      </c>
      <c r="D2342" s="397" t="s">
        <v>6092</v>
      </c>
      <c r="E2342" s="397" t="s">
        <v>6089</v>
      </c>
      <c r="F2342" s="397" t="s">
        <v>191</v>
      </c>
      <c r="G2342" s="396">
        <v>2</v>
      </c>
      <c r="H2342" s="395">
        <v>104484.072</v>
      </c>
      <c r="I2342" s="394">
        <v>101730.23</v>
      </c>
      <c r="J2342" s="394">
        <v>149262.96</v>
      </c>
      <c r="K2342" s="393" t="s">
        <v>1033</v>
      </c>
    </row>
    <row r="2343" spans="1:12" hidden="1" x14ac:dyDescent="0.3">
      <c r="A2343" s="397" t="s">
        <v>7024</v>
      </c>
      <c r="C2343" s="397" t="s">
        <v>1053</v>
      </c>
      <c r="D2343" s="397" t="s">
        <v>7023</v>
      </c>
      <c r="E2343" s="397" t="s">
        <v>7022</v>
      </c>
      <c r="F2343" s="397" t="s">
        <v>191</v>
      </c>
      <c r="G2343" s="396">
        <v>2</v>
      </c>
      <c r="H2343" s="395">
        <v>163102.28200000001</v>
      </c>
      <c r="I2343" s="394">
        <v>26451.58</v>
      </c>
      <c r="J2343" s="394">
        <v>233003.26</v>
      </c>
      <c r="K2343" s="393" t="s">
        <v>1033</v>
      </c>
    </row>
    <row r="2344" spans="1:12" hidden="1" x14ac:dyDescent="0.3">
      <c r="A2344" s="397" t="s">
        <v>6189</v>
      </c>
      <c r="C2344" s="397" t="s">
        <v>1053</v>
      </c>
      <c r="D2344" s="397" t="s">
        <v>6188</v>
      </c>
      <c r="E2344" s="397" t="s">
        <v>6187</v>
      </c>
      <c r="F2344" s="397" t="s">
        <v>191</v>
      </c>
      <c r="G2344" s="396">
        <v>2</v>
      </c>
      <c r="H2344" s="395">
        <v>132268.85699999999</v>
      </c>
      <c r="I2344" s="394">
        <v>124146.02</v>
      </c>
      <c r="J2344" s="394">
        <v>188955.51</v>
      </c>
      <c r="K2344" s="393" t="s">
        <v>1033</v>
      </c>
    </row>
    <row r="2345" spans="1:12" hidden="1" x14ac:dyDescent="0.3">
      <c r="A2345" s="397" t="s">
        <v>7861</v>
      </c>
      <c r="C2345" s="397" t="s">
        <v>1053</v>
      </c>
      <c r="D2345" s="397" t="s">
        <v>7860</v>
      </c>
      <c r="E2345" s="397" t="s">
        <v>7859</v>
      </c>
      <c r="F2345" s="397" t="s">
        <v>191</v>
      </c>
      <c r="G2345" s="396">
        <v>4</v>
      </c>
      <c r="H2345" s="395">
        <v>151440.38699999999</v>
      </c>
      <c r="I2345" s="394">
        <v>128209.1</v>
      </c>
      <c r="J2345" s="394">
        <v>216343.41</v>
      </c>
      <c r="K2345" s="393" t="s">
        <v>1033</v>
      </c>
    </row>
    <row r="2346" spans="1:12" hidden="1" x14ac:dyDescent="0.3">
      <c r="A2346" s="397" t="s">
        <v>6604</v>
      </c>
      <c r="C2346" s="397" t="s">
        <v>1053</v>
      </c>
      <c r="D2346" s="397" t="s">
        <v>6603</v>
      </c>
      <c r="E2346" s="397" t="s">
        <v>542</v>
      </c>
      <c r="F2346" s="397" t="s">
        <v>191</v>
      </c>
      <c r="G2346" s="396">
        <v>1</v>
      </c>
      <c r="H2346" s="395">
        <v>98778.175999999992</v>
      </c>
      <c r="I2346" s="394">
        <v>756.21</v>
      </c>
      <c r="J2346" s="394">
        <v>141111.67999999999</v>
      </c>
      <c r="K2346" s="393" t="s">
        <v>1033</v>
      </c>
    </row>
    <row r="2347" spans="1:12" hidden="1" x14ac:dyDescent="0.3">
      <c r="A2347" s="397" t="s">
        <v>6602</v>
      </c>
      <c r="C2347" s="397" t="s">
        <v>1053</v>
      </c>
      <c r="D2347" s="397" t="s">
        <v>6601</v>
      </c>
      <c r="E2347" s="397" t="s">
        <v>6600</v>
      </c>
      <c r="F2347" s="397" t="s">
        <v>191</v>
      </c>
      <c r="G2347" s="396">
        <v>1</v>
      </c>
      <c r="H2347" s="395">
        <v>95320.938999999984</v>
      </c>
      <c r="I2347" s="394">
        <v>1152.3599999999999</v>
      </c>
      <c r="J2347" s="394">
        <v>136172.76999999999</v>
      </c>
      <c r="K2347" s="393" t="s">
        <v>1033</v>
      </c>
    </row>
    <row r="2348" spans="1:12" hidden="1" x14ac:dyDescent="0.3">
      <c r="A2348" s="397" t="s">
        <v>3598</v>
      </c>
      <c r="C2348" s="397" t="s">
        <v>1053</v>
      </c>
      <c r="D2348" s="397" t="s">
        <v>1010</v>
      </c>
      <c r="E2348" s="397" t="s">
        <v>1009</v>
      </c>
      <c r="F2348" s="397" t="s">
        <v>191</v>
      </c>
      <c r="G2348" s="396">
        <v>1</v>
      </c>
      <c r="H2348" s="395">
        <v>141984.56300000002</v>
      </c>
      <c r="I2348" s="394">
        <v>116601.45</v>
      </c>
      <c r="J2348" s="394">
        <v>202835.09</v>
      </c>
      <c r="K2348" s="393" t="s">
        <v>1033</v>
      </c>
    </row>
    <row r="2349" spans="1:12" hidden="1" x14ac:dyDescent="0.3">
      <c r="A2349" s="397" t="s">
        <v>7088</v>
      </c>
      <c r="C2349" s="397" t="s">
        <v>1053</v>
      </c>
      <c r="D2349" s="397" t="s">
        <v>7087</v>
      </c>
      <c r="E2349" s="397" t="s">
        <v>7084</v>
      </c>
      <c r="F2349" s="397" t="s">
        <v>191</v>
      </c>
      <c r="G2349" s="396">
        <v>2</v>
      </c>
      <c r="H2349" s="395">
        <v>209584.48</v>
      </c>
      <c r="I2349" s="394">
        <v>200882.2</v>
      </c>
      <c r="J2349" s="394">
        <v>299406.40000000002</v>
      </c>
      <c r="K2349" s="393" t="s">
        <v>1033</v>
      </c>
    </row>
    <row r="2350" spans="1:12" hidden="1" x14ac:dyDescent="0.3">
      <c r="A2350" s="397" t="s">
        <v>883</v>
      </c>
      <c r="C2350" s="397" t="s">
        <v>1053</v>
      </c>
      <c r="D2350" s="397" t="s">
        <v>429</v>
      </c>
      <c r="E2350" s="397" t="s">
        <v>428</v>
      </c>
      <c r="F2350" s="397" t="s">
        <v>191</v>
      </c>
      <c r="G2350" s="396">
        <v>9</v>
      </c>
      <c r="H2350" s="395">
        <v>52067.897000000004</v>
      </c>
      <c r="I2350" s="394">
        <v>39465.51</v>
      </c>
      <c r="J2350" s="394">
        <v>74382.710000000006</v>
      </c>
      <c r="K2350" s="393" t="s">
        <v>1033</v>
      </c>
    </row>
    <row r="2351" spans="1:12" hidden="1" x14ac:dyDescent="0.3">
      <c r="A2351" s="397" t="s">
        <v>6570</v>
      </c>
      <c r="C2351" s="397" t="s">
        <v>1053</v>
      </c>
      <c r="D2351" s="397" t="s">
        <v>6569</v>
      </c>
      <c r="E2351" s="397" t="s">
        <v>6566</v>
      </c>
      <c r="F2351" s="397" t="s">
        <v>191</v>
      </c>
      <c r="G2351" s="396">
        <v>1</v>
      </c>
      <c r="H2351" s="395">
        <v>179801.24399999998</v>
      </c>
      <c r="I2351" s="394">
        <v>172690.74</v>
      </c>
      <c r="J2351" s="394">
        <v>256858.92</v>
      </c>
      <c r="K2351" s="393" t="s">
        <v>1033</v>
      </c>
    </row>
    <row r="2352" spans="1:12" hidden="1" x14ac:dyDescent="0.3">
      <c r="A2352" s="397" t="s">
        <v>6497</v>
      </c>
      <c r="C2352" s="397" t="s">
        <v>1053</v>
      </c>
      <c r="D2352" s="397" t="s">
        <v>6496</v>
      </c>
      <c r="E2352" s="397" t="s">
        <v>6495</v>
      </c>
      <c r="F2352" s="397" t="s">
        <v>191</v>
      </c>
      <c r="G2352" s="396">
        <v>1</v>
      </c>
      <c r="H2352" s="395">
        <v>58145.227000000006</v>
      </c>
      <c r="I2352" s="394">
        <v>223.28</v>
      </c>
      <c r="J2352" s="394">
        <v>83064.61</v>
      </c>
      <c r="K2352" s="393" t="s">
        <v>1033</v>
      </c>
    </row>
    <row r="2353" spans="1:12" hidden="1" x14ac:dyDescent="0.3">
      <c r="A2353" s="397" t="s">
        <v>7863</v>
      </c>
      <c r="C2353" s="397" t="s">
        <v>1053</v>
      </c>
      <c r="D2353" s="397" t="s">
        <v>7862</v>
      </c>
      <c r="E2353" s="397" t="s">
        <v>7835</v>
      </c>
      <c r="F2353" s="397" t="s">
        <v>191</v>
      </c>
      <c r="G2353" s="396">
        <v>1</v>
      </c>
      <c r="H2353" s="395">
        <v>124990.41800000001</v>
      </c>
      <c r="I2353" s="394">
        <v>4951.09</v>
      </c>
      <c r="J2353" s="394">
        <v>178557.74</v>
      </c>
      <c r="K2353" s="393" t="s">
        <v>1033</v>
      </c>
    </row>
    <row r="2354" spans="1:12" hidden="1" x14ac:dyDescent="0.3">
      <c r="A2354" s="397" t="s">
        <v>4870</v>
      </c>
      <c r="C2354" s="397" t="s">
        <v>1053</v>
      </c>
      <c r="D2354" s="397" t="s">
        <v>4869</v>
      </c>
      <c r="E2354" s="397" t="s">
        <v>4868</v>
      </c>
      <c r="F2354" s="397" t="s">
        <v>191</v>
      </c>
      <c r="G2354" s="396">
        <v>1</v>
      </c>
      <c r="H2354" s="395">
        <v>127404.837</v>
      </c>
      <c r="I2354" s="394">
        <v>98722.77</v>
      </c>
      <c r="J2354" s="394">
        <v>182006.91</v>
      </c>
      <c r="K2354" s="393" t="s">
        <v>1033</v>
      </c>
    </row>
    <row r="2355" spans="1:12" hidden="1" x14ac:dyDescent="0.3">
      <c r="A2355" s="397" t="s">
        <v>7885</v>
      </c>
      <c r="C2355" s="397" t="s">
        <v>1053</v>
      </c>
      <c r="D2355" s="397" t="s">
        <v>7884</v>
      </c>
      <c r="E2355" s="397" t="s">
        <v>6045</v>
      </c>
      <c r="F2355" s="397" t="s">
        <v>191</v>
      </c>
      <c r="G2355" s="396">
        <v>3</v>
      </c>
      <c r="H2355" s="395">
        <v>99865.248000000007</v>
      </c>
      <c r="I2355" s="394">
        <v>20803.34</v>
      </c>
      <c r="J2355" s="394">
        <v>142664.64000000001</v>
      </c>
      <c r="K2355" s="393" t="s">
        <v>1033</v>
      </c>
    </row>
    <row r="2356" spans="1:12" hidden="1" x14ac:dyDescent="0.3">
      <c r="A2356" s="397" t="s">
        <v>7216</v>
      </c>
      <c r="C2356" s="397" t="s">
        <v>1053</v>
      </c>
      <c r="D2356" s="397" t="s">
        <v>7215</v>
      </c>
      <c r="E2356" s="397" t="s">
        <v>7214</v>
      </c>
      <c r="F2356" s="397" t="s">
        <v>191</v>
      </c>
      <c r="G2356" s="396">
        <v>3</v>
      </c>
      <c r="H2356" s="395">
        <v>123955.545</v>
      </c>
      <c r="I2356" s="394">
        <v>115341.1</v>
      </c>
      <c r="J2356" s="394">
        <v>177079.35</v>
      </c>
      <c r="K2356" s="393" t="s">
        <v>1033</v>
      </c>
    </row>
    <row r="2357" spans="1:12" hidden="1" x14ac:dyDescent="0.3">
      <c r="A2357" s="397" t="s">
        <v>6084</v>
      </c>
      <c r="C2357" s="397" t="s">
        <v>1053</v>
      </c>
      <c r="D2357" s="397" t="s">
        <v>6083</v>
      </c>
      <c r="E2357" s="397" t="s">
        <v>6082</v>
      </c>
      <c r="F2357" s="397" t="s">
        <v>191</v>
      </c>
      <c r="G2357" s="396">
        <v>1</v>
      </c>
      <c r="H2357" s="395">
        <v>537.005</v>
      </c>
      <c r="I2357" s="394">
        <v>319.58999999999997</v>
      </c>
      <c r="J2357" s="394">
        <v>767.15</v>
      </c>
      <c r="K2357" s="393" t="s">
        <v>1033</v>
      </c>
    </row>
    <row r="2358" spans="1:12" hidden="1" x14ac:dyDescent="0.3">
      <c r="A2358" s="397" t="s">
        <v>6608</v>
      </c>
      <c r="C2358" s="397" t="s">
        <v>1053</v>
      </c>
      <c r="D2358" s="397" t="s">
        <v>6607</v>
      </c>
      <c r="E2358" s="397" t="s">
        <v>542</v>
      </c>
      <c r="F2358" s="397" t="s">
        <v>191</v>
      </c>
      <c r="G2358" s="396">
        <v>1</v>
      </c>
      <c r="H2358" s="395">
        <v>110125.463</v>
      </c>
      <c r="I2358" s="394">
        <v>88341.21</v>
      </c>
      <c r="J2358" s="394">
        <v>157322.09</v>
      </c>
      <c r="K2358" s="393" t="s">
        <v>1033</v>
      </c>
    </row>
    <row r="2359" spans="1:12" hidden="1" x14ac:dyDescent="0.3">
      <c r="A2359" s="397" t="s">
        <v>7066</v>
      </c>
      <c r="C2359" s="397" t="s">
        <v>1053</v>
      </c>
      <c r="D2359" s="397" t="s">
        <v>7065</v>
      </c>
      <c r="E2359" s="397" t="s">
        <v>7064</v>
      </c>
      <c r="F2359" s="397" t="s">
        <v>191</v>
      </c>
      <c r="G2359" s="396">
        <v>2</v>
      </c>
      <c r="H2359" s="395">
        <v>324305.59700000001</v>
      </c>
      <c r="I2359" s="394">
        <v>43725.72</v>
      </c>
      <c r="J2359" s="394">
        <v>463293.71</v>
      </c>
      <c r="K2359" s="393" t="s">
        <v>1033</v>
      </c>
    </row>
    <row r="2360" spans="1:12" hidden="1" x14ac:dyDescent="0.3">
      <c r="A2360" s="397" t="s">
        <v>7157</v>
      </c>
      <c r="C2360" s="397" t="s">
        <v>1053</v>
      </c>
      <c r="D2360" s="397" t="s">
        <v>7883</v>
      </c>
      <c r="E2360" s="397" t="s">
        <v>7882</v>
      </c>
      <c r="F2360" s="397" t="s">
        <v>191</v>
      </c>
      <c r="G2360" s="396">
        <v>1</v>
      </c>
      <c r="H2360" s="395">
        <v>101671.73099999999</v>
      </c>
      <c r="I2360" s="394">
        <v>5064.8900000000003</v>
      </c>
      <c r="J2360" s="394">
        <v>145245.32999999999</v>
      </c>
      <c r="K2360" s="393" t="s">
        <v>1033</v>
      </c>
    </row>
    <row r="2361" spans="1:12" hidden="1" x14ac:dyDescent="0.3">
      <c r="A2361" s="397" t="s">
        <v>7157</v>
      </c>
      <c r="C2361" s="397" t="s">
        <v>1053</v>
      </c>
      <c r="D2361" s="397" t="s">
        <v>7156</v>
      </c>
      <c r="E2361" s="397" t="s">
        <v>7155</v>
      </c>
      <c r="F2361" s="397" t="s">
        <v>191</v>
      </c>
      <c r="G2361" s="396">
        <v>2</v>
      </c>
      <c r="H2361" s="395">
        <v>172183.802</v>
      </c>
      <c r="I2361" s="394">
        <v>145289.24</v>
      </c>
      <c r="J2361" s="394">
        <v>245976.86000000002</v>
      </c>
      <c r="K2361" s="393" t="s">
        <v>1033</v>
      </c>
      <c r="L2361" s="395">
        <v>1</v>
      </c>
    </row>
    <row r="2362" spans="1:12" hidden="1" x14ac:dyDescent="0.3">
      <c r="A2362" s="397" t="s">
        <v>837</v>
      </c>
      <c r="C2362" s="397" t="s">
        <v>1053</v>
      </c>
      <c r="D2362" s="397" t="s">
        <v>6181</v>
      </c>
      <c r="E2362" s="397" t="s">
        <v>6180</v>
      </c>
      <c r="F2362" s="397" t="s">
        <v>191</v>
      </c>
      <c r="G2362" s="396">
        <v>2</v>
      </c>
      <c r="H2362" s="395">
        <v>118182.04300000001</v>
      </c>
      <c r="I2362" s="394">
        <v>108785.21</v>
      </c>
      <c r="J2362" s="394">
        <v>168831.49</v>
      </c>
      <c r="K2362" s="393" t="s">
        <v>1033</v>
      </c>
    </row>
    <row r="2363" spans="1:12" hidden="1" x14ac:dyDescent="0.3">
      <c r="A2363" s="397" t="s">
        <v>2862</v>
      </c>
      <c r="C2363" s="397" t="s">
        <v>1053</v>
      </c>
      <c r="D2363" s="397" t="s">
        <v>2861</v>
      </c>
      <c r="E2363" s="397" t="s">
        <v>2860</v>
      </c>
      <c r="F2363" s="397" t="s">
        <v>191</v>
      </c>
      <c r="G2363" s="396">
        <v>10</v>
      </c>
      <c r="H2363" s="395">
        <v>23652.292999999998</v>
      </c>
      <c r="I2363" s="394">
        <v>17579.38</v>
      </c>
      <c r="J2363" s="394">
        <v>33788.99</v>
      </c>
      <c r="K2363" s="393" t="s">
        <v>1033</v>
      </c>
      <c r="L2363" s="395">
        <v>1</v>
      </c>
    </row>
    <row r="2364" spans="1:12" hidden="1" x14ac:dyDescent="0.3">
      <c r="A2364" s="397" t="s">
        <v>7844</v>
      </c>
      <c r="C2364" s="397" t="s">
        <v>1053</v>
      </c>
      <c r="D2364" s="397" t="s">
        <v>7843</v>
      </c>
      <c r="E2364" s="397" t="s">
        <v>7835</v>
      </c>
      <c r="F2364" s="397" t="s">
        <v>191</v>
      </c>
      <c r="G2364" s="396">
        <v>1</v>
      </c>
      <c r="H2364" s="395">
        <v>175037.93300000002</v>
      </c>
      <c r="I2364" s="394">
        <v>36923.15</v>
      </c>
      <c r="J2364" s="394">
        <v>250054.19</v>
      </c>
      <c r="K2364" s="393" t="s">
        <v>1033</v>
      </c>
    </row>
    <row r="2365" spans="1:12" hidden="1" x14ac:dyDescent="0.3">
      <c r="A2365" s="397" t="s">
        <v>7858</v>
      </c>
      <c r="C2365" s="397" t="s">
        <v>1053</v>
      </c>
      <c r="D2365" s="397" t="s">
        <v>7857</v>
      </c>
      <c r="E2365" s="397" t="s">
        <v>7856</v>
      </c>
      <c r="F2365" s="397" t="s">
        <v>191</v>
      </c>
      <c r="G2365" s="396">
        <v>1</v>
      </c>
      <c r="H2365" s="395">
        <v>140785.848</v>
      </c>
      <c r="I2365" s="394">
        <v>24912.22</v>
      </c>
      <c r="J2365" s="394">
        <v>201122.64</v>
      </c>
      <c r="K2365" s="393" t="s">
        <v>1033</v>
      </c>
    </row>
    <row r="2366" spans="1:12" hidden="1" x14ac:dyDescent="0.3">
      <c r="A2366" s="397" t="s">
        <v>2863</v>
      </c>
      <c r="C2366" s="397" t="s">
        <v>1053</v>
      </c>
      <c r="D2366" s="397" t="s">
        <v>687</v>
      </c>
      <c r="E2366" s="397" t="s">
        <v>608</v>
      </c>
      <c r="F2366" s="397" t="s">
        <v>191</v>
      </c>
      <c r="G2366" s="396">
        <v>4</v>
      </c>
      <c r="H2366" s="395">
        <v>27017.332999999999</v>
      </c>
      <c r="I2366" s="394">
        <v>24272.799999999999</v>
      </c>
      <c r="J2366" s="394">
        <v>38596.19</v>
      </c>
      <c r="K2366" s="393" t="s">
        <v>1033</v>
      </c>
    </row>
    <row r="2367" spans="1:12" hidden="1" x14ac:dyDescent="0.3">
      <c r="A2367" s="397" t="s">
        <v>7086</v>
      </c>
      <c r="C2367" s="397" t="s">
        <v>1053</v>
      </c>
      <c r="D2367" s="397" t="s">
        <v>7085</v>
      </c>
      <c r="E2367" s="397" t="s">
        <v>7084</v>
      </c>
      <c r="F2367" s="397" t="s">
        <v>191</v>
      </c>
      <c r="G2367" s="396">
        <v>2</v>
      </c>
      <c r="H2367" s="395">
        <v>209584.48</v>
      </c>
      <c r="I2367" s="394">
        <v>196943.34</v>
      </c>
      <c r="J2367" s="394">
        <v>299406.40000000002</v>
      </c>
      <c r="K2367" s="393" t="s">
        <v>1033</v>
      </c>
    </row>
    <row r="2368" spans="1:12" hidden="1" x14ac:dyDescent="0.3">
      <c r="A2368" s="397" t="s">
        <v>7079</v>
      </c>
      <c r="C2368" s="397" t="s">
        <v>1053</v>
      </c>
      <c r="D2368" s="397" t="s">
        <v>7078</v>
      </c>
      <c r="E2368" s="397" t="s">
        <v>7077</v>
      </c>
      <c r="F2368" s="397" t="s">
        <v>191</v>
      </c>
      <c r="G2368" s="396">
        <v>3</v>
      </c>
      <c r="H2368" s="395">
        <v>127106.74900000001</v>
      </c>
      <c r="I2368" s="394">
        <v>111260.36</v>
      </c>
      <c r="J2368" s="394">
        <v>181581.07</v>
      </c>
      <c r="K2368" s="393" t="s">
        <v>1033</v>
      </c>
    </row>
    <row r="2369" spans="1:12" hidden="1" x14ac:dyDescent="0.3">
      <c r="A2369" s="397" t="s">
        <v>7093</v>
      </c>
      <c r="C2369" s="397" t="s">
        <v>1053</v>
      </c>
      <c r="D2369" s="397" t="s">
        <v>7092</v>
      </c>
      <c r="E2369" s="397" t="s">
        <v>7084</v>
      </c>
      <c r="F2369" s="397" t="s">
        <v>191</v>
      </c>
      <c r="G2369" s="396">
        <v>2</v>
      </c>
      <c r="H2369" s="395">
        <v>189850.68899999998</v>
      </c>
      <c r="I2369" s="394">
        <v>167719.15</v>
      </c>
      <c r="J2369" s="394">
        <v>271215.27</v>
      </c>
      <c r="K2369" s="393" t="s">
        <v>1033</v>
      </c>
    </row>
    <row r="2370" spans="1:12" hidden="1" x14ac:dyDescent="0.3">
      <c r="A2370" s="397" t="s">
        <v>7091</v>
      </c>
      <c r="C2370" s="397" t="s">
        <v>1053</v>
      </c>
      <c r="D2370" s="397" t="s">
        <v>7090</v>
      </c>
      <c r="E2370" s="397" t="s">
        <v>7089</v>
      </c>
      <c r="F2370" s="397" t="s">
        <v>191</v>
      </c>
      <c r="G2370" s="396">
        <v>4</v>
      </c>
      <c r="H2370" s="395">
        <v>209981.63199999998</v>
      </c>
      <c r="I2370" s="394">
        <v>191569.35</v>
      </c>
      <c r="J2370" s="394">
        <v>299973.76000000001</v>
      </c>
      <c r="K2370" s="393" t="s">
        <v>1033</v>
      </c>
    </row>
    <row r="2371" spans="1:12" hidden="1" x14ac:dyDescent="0.3">
      <c r="A2371" s="397" t="s">
        <v>7081</v>
      </c>
      <c r="C2371" s="397" t="s">
        <v>1053</v>
      </c>
      <c r="D2371" s="397" t="s">
        <v>7080</v>
      </c>
      <c r="E2371" s="397" t="s">
        <v>7077</v>
      </c>
      <c r="F2371" s="397" t="s">
        <v>191</v>
      </c>
      <c r="G2371" s="396">
        <v>5</v>
      </c>
      <c r="H2371" s="395">
        <v>102671.716</v>
      </c>
      <c r="I2371" s="394">
        <v>93308.97</v>
      </c>
      <c r="J2371" s="394">
        <v>146673.88</v>
      </c>
      <c r="K2371" s="393" t="s">
        <v>1033</v>
      </c>
    </row>
    <row r="2372" spans="1:12" hidden="1" x14ac:dyDescent="0.3">
      <c r="A2372" s="397" t="s">
        <v>864</v>
      </c>
      <c r="C2372" s="397" t="s">
        <v>1053</v>
      </c>
      <c r="D2372" s="397" t="s">
        <v>249</v>
      </c>
      <c r="E2372" s="397" t="s">
        <v>248</v>
      </c>
      <c r="F2372" s="397" t="s">
        <v>191</v>
      </c>
      <c r="G2372" s="396">
        <v>7</v>
      </c>
      <c r="H2372" s="395">
        <v>249440.429</v>
      </c>
      <c r="I2372" s="394">
        <v>216381.04</v>
      </c>
      <c r="J2372" s="394">
        <v>356343.47000000003</v>
      </c>
      <c r="K2372" s="393" t="s">
        <v>1033</v>
      </c>
      <c r="L2372" s="395">
        <v>3</v>
      </c>
    </row>
    <row r="2373" spans="1:12" hidden="1" x14ac:dyDescent="0.3">
      <c r="A2373" s="397" t="s">
        <v>866</v>
      </c>
      <c r="C2373" s="397" t="s">
        <v>1053</v>
      </c>
      <c r="D2373" s="397" t="s">
        <v>473</v>
      </c>
      <c r="E2373" s="397" t="s">
        <v>474</v>
      </c>
      <c r="F2373" s="397" t="s">
        <v>191</v>
      </c>
      <c r="G2373" s="396">
        <v>22</v>
      </c>
      <c r="H2373" s="395">
        <v>158481.302</v>
      </c>
      <c r="I2373" s="394">
        <v>155679.07999999999</v>
      </c>
      <c r="J2373" s="394">
        <v>226401.86000000002</v>
      </c>
      <c r="K2373" s="393" t="s">
        <v>1033</v>
      </c>
      <c r="L2373" s="395">
        <v>7</v>
      </c>
    </row>
    <row r="2374" spans="1:12" hidden="1" x14ac:dyDescent="0.3">
      <c r="A2374" s="397" t="s">
        <v>865</v>
      </c>
      <c r="C2374" s="397" t="s">
        <v>1053</v>
      </c>
      <c r="D2374" s="397" t="s">
        <v>476</v>
      </c>
      <c r="E2374" s="397" t="s">
        <v>7177</v>
      </c>
      <c r="F2374" s="397" t="s">
        <v>191</v>
      </c>
      <c r="G2374" s="396">
        <v>11</v>
      </c>
      <c r="H2374" s="395">
        <v>137730.88699999999</v>
      </c>
      <c r="I2374" s="394">
        <v>135295.56</v>
      </c>
      <c r="J2374" s="394">
        <v>196758.41</v>
      </c>
      <c r="K2374" s="393" t="s">
        <v>1033</v>
      </c>
      <c r="L2374" s="395">
        <v>8</v>
      </c>
    </row>
    <row r="2375" spans="1:12" hidden="1" x14ac:dyDescent="0.3">
      <c r="A2375" s="397" t="s">
        <v>7180</v>
      </c>
      <c r="C2375" s="397" t="s">
        <v>1053</v>
      </c>
      <c r="D2375" s="397" t="s">
        <v>7179</v>
      </c>
      <c r="E2375" s="397" t="s">
        <v>7178</v>
      </c>
      <c r="F2375" s="397" t="s">
        <v>191</v>
      </c>
      <c r="G2375" s="396">
        <v>2</v>
      </c>
      <c r="H2375" s="395">
        <v>3633.2449999999999</v>
      </c>
      <c r="I2375" s="394">
        <v>400.6</v>
      </c>
      <c r="J2375" s="394">
        <v>5190.3500000000004</v>
      </c>
      <c r="K2375" s="393" t="s">
        <v>1033</v>
      </c>
    </row>
    <row r="2376" spans="1:12" hidden="1" x14ac:dyDescent="0.3">
      <c r="A2376" s="397" t="s">
        <v>7665</v>
      </c>
      <c r="C2376" s="397" t="s">
        <v>1053</v>
      </c>
      <c r="D2376" s="397" t="s">
        <v>7664</v>
      </c>
      <c r="E2376" s="397" t="s">
        <v>7663</v>
      </c>
      <c r="F2376" s="397" t="s">
        <v>191</v>
      </c>
      <c r="G2376" s="396">
        <v>4</v>
      </c>
      <c r="H2376" s="395">
        <v>129158.808</v>
      </c>
      <c r="I2376" s="394">
        <v>130304.34</v>
      </c>
      <c r="J2376" s="394">
        <v>215264.68</v>
      </c>
      <c r="K2376" s="393" t="s">
        <v>1033</v>
      </c>
    </row>
    <row r="2377" spans="1:12" hidden="1" x14ac:dyDescent="0.3">
      <c r="A2377" s="397" t="s">
        <v>884</v>
      </c>
      <c r="C2377" s="397" t="s">
        <v>1053</v>
      </c>
      <c r="D2377" s="397" t="s">
        <v>427</v>
      </c>
      <c r="E2377" s="397" t="s">
        <v>425</v>
      </c>
      <c r="F2377" s="397" t="s">
        <v>191</v>
      </c>
      <c r="G2377" s="396">
        <v>14</v>
      </c>
      <c r="H2377" s="395">
        <v>114073.379</v>
      </c>
      <c r="I2377" s="394">
        <v>112091.97</v>
      </c>
      <c r="J2377" s="394">
        <v>162961.97</v>
      </c>
      <c r="K2377" s="393" t="s">
        <v>1033</v>
      </c>
      <c r="L2377" s="395">
        <v>4</v>
      </c>
    </row>
    <row r="2378" spans="1:12" hidden="1" x14ac:dyDescent="0.3">
      <c r="A2378" s="397" t="s">
        <v>2391</v>
      </c>
      <c r="C2378" s="397" t="s">
        <v>1053</v>
      </c>
      <c r="D2378" s="397" t="s">
        <v>7937</v>
      </c>
      <c r="E2378" s="397" t="s">
        <v>7932</v>
      </c>
      <c r="F2378" s="397" t="s">
        <v>191</v>
      </c>
      <c r="G2378" s="396">
        <v>2</v>
      </c>
      <c r="H2378" s="395">
        <v>70598.955000000002</v>
      </c>
      <c r="I2378" s="394">
        <v>67649.259999999995</v>
      </c>
      <c r="J2378" s="394">
        <v>100855.65000000001</v>
      </c>
      <c r="K2378" s="393" t="s">
        <v>1033</v>
      </c>
    </row>
    <row r="2379" spans="1:12" hidden="1" x14ac:dyDescent="0.3">
      <c r="A2379" s="397" t="s">
        <v>2391</v>
      </c>
      <c r="C2379" s="397" t="s">
        <v>1053</v>
      </c>
      <c r="D2379" s="397" t="s">
        <v>2390</v>
      </c>
      <c r="E2379" s="397" t="s">
        <v>708</v>
      </c>
      <c r="F2379" s="397" t="s">
        <v>191</v>
      </c>
      <c r="G2379" s="396">
        <v>2</v>
      </c>
      <c r="H2379" s="395">
        <v>34451.641000000003</v>
      </c>
      <c r="I2379" s="394">
        <v>31422.25</v>
      </c>
      <c r="J2379" s="394">
        <v>49216.630000000005</v>
      </c>
      <c r="K2379" s="393" t="s">
        <v>1033</v>
      </c>
    </row>
    <row r="2380" spans="1:12" hidden="1" x14ac:dyDescent="0.3">
      <c r="A2380" s="397" t="s">
        <v>7733</v>
      </c>
      <c r="C2380" s="397" t="s">
        <v>1053</v>
      </c>
      <c r="D2380" s="397" t="s">
        <v>7732</v>
      </c>
      <c r="E2380" s="397" t="s">
        <v>425</v>
      </c>
      <c r="F2380" s="397" t="s">
        <v>191</v>
      </c>
      <c r="G2380" s="396">
        <v>2</v>
      </c>
      <c r="H2380" s="395">
        <v>121214.289</v>
      </c>
      <c r="I2380" s="394">
        <v>5210.62</v>
      </c>
      <c r="J2380" s="394">
        <v>173163.27</v>
      </c>
      <c r="K2380" s="393" t="s">
        <v>1033</v>
      </c>
    </row>
    <row r="2381" spans="1:12" hidden="1" x14ac:dyDescent="0.3">
      <c r="A2381" s="397" t="s">
        <v>2366</v>
      </c>
      <c r="C2381" s="397" t="s">
        <v>1053</v>
      </c>
      <c r="D2381" s="397" t="s">
        <v>2365</v>
      </c>
      <c r="E2381" s="397" t="s">
        <v>708</v>
      </c>
      <c r="F2381" s="397" t="s">
        <v>191</v>
      </c>
      <c r="G2381" s="396">
        <v>1</v>
      </c>
      <c r="H2381" s="395">
        <v>84235.361000000004</v>
      </c>
      <c r="I2381" s="394">
        <v>61057.919999999998</v>
      </c>
      <c r="J2381" s="394">
        <v>120336.23</v>
      </c>
      <c r="K2381" s="393" t="s">
        <v>1033</v>
      </c>
    </row>
    <row r="2382" spans="1:12" hidden="1" x14ac:dyDescent="0.3">
      <c r="A2382" s="397" t="s">
        <v>1988</v>
      </c>
      <c r="C2382" s="397" t="s">
        <v>1053</v>
      </c>
      <c r="D2382" s="397" t="s">
        <v>1987</v>
      </c>
      <c r="E2382" s="397" t="s">
        <v>1986</v>
      </c>
      <c r="F2382" s="397" t="s">
        <v>191</v>
      </c>
      <c r="G2382" s="396">
        <v>1</v>
      </c>
      <c r="H2382" s="395">
        <v>14436.275</v>
      </c>
      <c r="I2382" s="394">
        <v>2111.8000000000002</v>
      </c>
      <c r="J2382" s="394">
        <v>20623.25</v>
      </c>
      <c r="K2382" s="393" t="s">
        <v>1033</v>
      </c>
    </row>
    <row r="2383" spans="1:12" hidden="1" x14ac:dyDescent="0.3">
      <c r="A2383" s="397" t="s">
        <v>3917</v>
      </c>
      <c r="C2383" s="397" t="s">
        <v>1053</v>
      </c>
      <c r="D2383" s="397" t="s">
        <v>3985</v>
      </c>
      <c r="E2383" s="397" t="s">
        <v>3984</v>
      </c>
      <c r="F2383" s="397" t="s">
        <v>191</v>
      </c>
      <c r="G2383" s="396">
        <v>1</v>
      </c>
      <c r="H2383" s="395">
        <v>23480.38</v>
      </c>
      <c r="I2383" s="394">
        <v>4751.45</v>
      </c>
      <c r="J2383" s="394">
        <v>33543.4</v>
      </c>
      <c r="K2383" s="393" t="s">
        <v>1033</v>
      </c>
    </row>
    <row r="2384" spans="1:12" hidden="1" x14ac:dyDescent="0.3">
      <c r="A2384" s="397" t="s">
        <v>3917</v>
      </c>
      <c r="C2384" s="397" t="s">
        <v>1053</v>
      </c>
      <c r="D2384" s="397" t="s">
        <v>3916</v>
      </c>
      <c r="E2384" s="397" t="s">
        <v>3915</v>
      </c>
      <c r="F2384" s="397" t="s">
        <v>191</v>
      </c>
      <c r="G2384" s="396">
        <v>1</v>
      </c>
      <c r="H2384" s="395">
        <v>16214.646000000001</v>
      </c>
      <c r="I2384" s="394">
        <v>13403.27</v>
      </c>
      <c r="J2384" s="394">
        <v>23163.78</v>
      </c>
      <c r="K2384" s="393" t="s">
        <v>1033</v>
      </c>
    </row>
    <row r="2385" spans="1:12" hidden="1" x14ac:dyDescent="0.3">
      <c r="A2385" s="397" t="s">
        <v>3934</v>
      </c>
      <c r="C2385" s="397" t="s">
        <v>1053</v>
      </c>
      <c r="D2385" s="397" t="s">
        <v>3933</v>
      </c>
      <c r="E2385" s="397" t="s">
        <v>3932</v>
      </c>
      <c r="F2385" s="397" t="s">
        <v>191</v>
      </c>
      <c r="G2385" s="396">
        <v>1</v>
      </c>
      <c r="H2385" s="395">
        <v>57424.549000000006</v>
      </c>
      <c r="I2385" s="394">
        <v>11628.86</v>
      </c>
      <c r="J2385" s="394">
        <v>82035.070000000007</v>
      </c>
      <c r="K2385" s="393" t="s">
        <v>1033</v>
      </c>
    </row>
    <row r="2386" spans="1:12" hidden="1" x14ac:dyDescent="0.3">
      <c r="A2386" s="397" t="s">
        <v>3936</v>
      </c>
      <c r="C2386" s="397" t="s">
        <v>1053</v>
      </c>
      <c r="D2386" s="397" t="s">
        <v>3935</v>
      </c>
      <c r="E2386" s="397" t="s">
        <v>3918</v>
      </c>
      <c r="F2386" s="397" t="s">
        <v>191</v>
      </c>
      <c r="G2386" s="396">
        <v>3</v>
      </c>
      <c r="H2386" s="395">
        <v>35374.864000000001</v>
      </c>
      <c r="I2386" s="394">
        <v>33205.870000000003</v>
      </c>
      <c r="J2386" s="394">
        <v>50535.520000000004</v>
      </c>
      <c r="K2386" s="393" t="s">
        <v>1033</v>
      </c>
    </row>
    <row r="2387" spans="1:12" hidden="1" x14ac:dyDescent="0.3">
      <c r="A2387" s="397" t="s">
        <v>2395</v>
      </c>
      <c r="C2387" s="397" t="s">
        <v>1053</v>
      </c>
      <c r="D2387" s="397" t="s">
        <v>2394</v>
      </c>
      <c r="E2387" s="397" t="s">
        <v>708</v>
      </c>
      <c r="F2387" s="397" t="s">
        <v>191</v>
      </c>
      <c r="G2387" s="396">
        <v>1</v>
      </c>
      <c r="H2387" s="395">
        <v>33969.53</v>
      </c>
      <c r="I2387" s="394">
        <v>104.52</v>
      </c>
      <c r="J2387" s="394">
        <v>48527.9</v>
      </c>
      <c r="K2387" s="393" t="s">
        <v>1033</v>
      </c>
    </row>
    <row r="2388" spans="1:12" hidden="1" x14ac:dyDescent="0.3">
      <c r="A2388" s="397" t="s">
        <v>7735</v>
      </c>
      <c r="C2388" s="397" t="s">
        <v>1053</v>
      </c>
      <c r="D2388" s="397" t="s">
        <v>7734</v>
      </c>
      <c r="E2388" s="397" t="s">
        <v>425</v>
      </c>
      <c r="F2388" s="397" t="s">
        <v>191</v>
      </c>
      <c r="G2388" s="396">
        <v>2</v>
      </c>
      <c r="H2388" s="395">
        <v>107802.42199999999</v>
      </c>
      <c r="I2388" s="394">
        <v>442.09000000000003</v>
      </c>
      <c r="J2388" s="394">
        <v>154003.46</v>
      </c>
      <c r="K2388" s="393" t="s">
        <v>1033</v>
      </c>
    </row>
    <row r="2389" spans="1:12" hidden="1" x14ac:dyDescent="0.3">
      <c r="A2389" s="397" t="s">
        <v>1981</v>
      </c>
      <c r="C2389" s="397" t="s">
        <v>1053</v>
      </c>
      <c r="D2389" s="397" t="s">
        <v>1980</v>
      </c>
      <c r="E2389" s="397" t="s">
        <v>708</v>
      </c>
      <c r="F2389" s="397" t="s">
        <v>191</v>
      </c>
      <c r="G2389" s="396">
        <v>1</v>
      </c>
      <c r="H2389" s="395">
        <v>31369.59</v>
      </c>
      <c r="I2389" s="394">
        <v>141.37</v>
      </c>
      <c r="J2389" s="394">
        <v>44813.700000000004</v>
      </c>
      <c r="K2389" s="393" t="s">
        <v>1033</v>
      </c>
    </row>
    <row r="2390" spans="1:12" hidden="1" x14ac:dyDescent="0.3">
      <c r="A2390" s="397" t="s">
        <v>2375</v>
      </c>
      <c r="C2390" s="397" t="s">
        <v>1053</v>
      </c>
      <c r="D2390" s="397" t="s">
        <v>2378</v>
      </c>
      <c r="E2390" s="397" t="s">
        <v>708</v>
      </c>
      <c r="F2390" s="397" t="s">
        <v>191</v>
      </c>
      <c r="G2390" s="396">
        <v>1</v>
      </c>
      <c r="H2390" s="395">
        <v>75429.543000000005</v>
      </c>
      <c r="I2390" s="394">
        <v>74095.81</v>
      </c>
      <c r="J2390" s="394">
        <v>107756.49</v>
      </c>
      <c r="K2390" s="393" t="s">
        <v>1033</v>
      </c>
      <c r="L2390" s="395">
        <v>1</v>
      </c>
    </row>
    <row r="2391" spans="1:12" hidden="1" x14ac:dyDescent="0.3">
      <c r="A2391" s="397" t="s">
        <v>2375</v>
      </c>
      <c r="C2391" s="397" t="s">
        <v>1053</v>
      </c>
      <c r="D2391" s="397" t="s">
        <v>2374</v>
      </c>
      <c r="E2391" s="397" t="s">
        <v>708</v>
      </c>
      <c r="F2391" s="397" t="s">
        <v>191</v>
      </c>
      <c r="G2391" s="396">
        <v>2</v>
      </c>
      <c r="H2391" s="395">
        <v>45784.745999999999</v>
      </c>
      <c r="I2391" s="394">
        <v>37873.519999999997</v>
      </c>
      <c r="J2391" s="394">
        <v>65406.78</v>
      </c>
      <c r="K2391" s="393" t="s">
        <v>1033</v>
      </c>
    </row>
    <row r="2392" spans="1:12" hidden="1" x14ac:dyDescent="0.3">
      <c r="A2392" s="397" t="s">
        <v>2377</v>
      </c>
      <c r="C2392" s="397" t="s">
        <v>1053</v>
      </c>
      <c r="D2392" s="397" t="s">
        <v>2376</v>
      </c>
      <c r="E2392" s="397" t="s">
        <v>708</v>
      </c>
      <c r="F2392" s="397" t="s">
        <v>191</v>
      </c>
      <c r="G2392" s="396">
        <v>4</v>
      </c>
      <c r="H2392" s="395">
        <v>44467.199000000008</v>
      </c>
      <c r="I2392" s="394">
        <v>43006.43</v>
      </c>
      <c r="J2392" s="394">
        <v>63524.57</v>
      </c>
      <c r="K2392" s="393" t="s">
        <v>1033</v>
      </c>
    </row>
    <row r="2393" spans="1:12" hidden="1" x14ac:dyDescent="0.3">
      <c r="A2393" s="397" t="s">
        <v>2381</v>
      </c>
      <c r="C2393" s="397" t="s">
        <v>1053</v>
      </c>
      <c r="D2393" s="397" t="s">
        <v>2380</v>
      </c>
      <c r="E2393" s="397" t="s">
        <v>2379</v>
      </c>
      <c r="F2393" s="397" t="s">
        <v>191</v>
      </c>
      <c r="G2393" s="396">
        <v>1</v>
      </c>
      <c r="H2393" s="395">
        <v>26590.487000000001</v>
      </c>
      <c r="I2393" s="394">
        <v>144.61000000000001</v>
      </c>
      <c r="J2393" s="394">
        <v>37986.410000000003</v>
      </c>
      <c r="K2393" s="393" t="s">
        <v>1033</v>
      </c>
    </row>
    <row r="2394" spans="1:12" hidden="1" x14ac:dyDescent="0.3">
      <c r="A2394" s="397" t="s">
        <v>1979</v>
      </c>
      <c r="C2394" s="397" t="s">
        <v>1053</v>
      </c>
      <c r="D2394" s="397" t="s">
        <v>1978</v>
      </c>
      <c r="E2394" s="397" t="s">
        <v>708</v>
      </c>
      <c r="F2394" s="397" t="s">
        <v>191</v>
      </c>
      <c r="G2394" s="396">
        <v>1</v>
      </c>
      <c r="H2394" s="395">
        <v>38187.737000000001</v>
      </c>
      <c r="I2394" s="394">
        <v>238.89000000000001</v>
      </c>
      <c r="J2394" s="394">
        <v>54553.91</v>
      </c>
      <c r="K2394" s="393" t="s">
        <v>1033</v>
      </c>
    </row>
    <row r="2395" spans="1:12" hidden="1" x14ac:dyDescent="0.3">
      <c r="A2395" s="397" t="s">
        <v>1983</v>
      </c>
      <c r="C2395" s="397" t="s">
        <v>1053</v>
      </c>
      <c r="D2395" s="397" t="s">
        <v>1982</v>
      </c>
      <c r="E2395" s="397" t="s">
        <v>708</v>
      </c>
      <c r="F2395" s="397" t="s">
        <v>191</v>
      </c>
      <c r="G2395" s="396">
        <v>3</v>
      </c>
      <c r="H2395" s="395">
        <v>24932.522999999997</v>
      </c>
      <c r="I2395" s="394">
        <v>1158.28</v>
      </c>
      <c r="J2395" s="394">
        <v>35617.89</v>
      </c>
      <c r="K2395" s="393" t="s">
        <v>1033</v>
      </c>
    </row>
    <row r="2396" spans="1:12" hidden="1" x14ac:dyDescent="0.3">
      <c r="A2396" s="397" t="s">
        <v>2389</v>
      </c>
      <c r="C2396" s="397" t="s">
        <v>1053</v>
      </c>
      <c r="D2396" s="397" t="s">
        <v>2388</v>
      </c>
      <c r="E2396" s="397" t="s">
        <v>2387</v>
      </c>
      <c r="F2396" s="397" t="s">
        <v>191</v>
      </c>
      <c r="G2396" s="396">
        <v>1</v>
      </c>
      <c r="H2396" s="395">
        <v>22284.822000000004</v>
      </c>
      <c r="I2396" s="394">
        <v>14734.550000000001</v>
      </c>
      <c r="J2396" s="394">
        <v>31835.46</v>
      </c>
      <c r="K2396" s="393" t="s">
        <v>1033</v>
      </c>
    </row>
    <row r="2397" spans="1:12" hidden="1" x14ac:dyDescent="0.3">
      <c r="A2397" s="397" t="s">
        <v>3987</v>
      </c>
      <c r="C2397" s="397" t="s">
        <v>1053</v>
      </c>
      <c r="D2397" s="397" t="s">
        <v>3986</v>
      </c>
      <c r="E2397" s="397" t="s">
        <v>3918</v>
      </c>
      <c r="F2397" s="397" t="s">
        <v>191</v>
      </c>
      <c r="G2397" s="396">
        <v>2</v>
      </c>
      <c r="H2397" s="395">
        <v>28361.612999999998</v>
      </c>
      <c r="I2397" s="394">
        <v>27176.63</v>
      </c>
      <c r="J2397" s="394">
        <v>40516.589999999997</v>
      </c>
      <c r="K2397" s="393" t="s">
        <v>1033</v>
      </c>
    </row>
    <row r="2398" spans="1:12" hidden="1" x14ac:dyDescent="0.3">
      <c r="A2398" s="397" t="s">
        <v>1985</v>
      </c>
      <c r="C2398" s="397" t="s">
        <v>1053</v>
      </c>
      <c r="D2398" s="397" t="s">
        <v>1984</v>
      </c>
      <c r="E2398" s="397" t="s">
        <v>708</v>
      </c>
      <c r="F2398" s="397" t="s">
        <v>191</v>
      </c>
      <c r="G2398" s="396">
        <v>1</v>
      </c>
      <c r="H2398" s="395">
        <v>19952.324000000001</v>
      </c>
      <c r="I2398" s="394">
        <v>40.29</v>
      </c>
      <c r="J2398" s="394">
        <v>28503.32</v>
      </c>
      <c r="K2398" s="393" t="s">
        <v>1033</v>
      </c>
    </row>
    <row r="2399" spans="1:12" hidden="1" x14ac:dyDescent="0.3">
      <c r="A2399" s="397" t="s">
        <v>2393</v>
      </c>
      <c r="C2399" s="397" t="s">
        <v>1053</v>
      </c>
      <c r="D2399" s="397" t="s">
        <v>2392</v>
      </c>
      <c r="E2399" s="397" t="s">
        <v>708</v>
      </c>
      <c r="F2399" s="397" t="s">
        <v>191</v>
      </c>
      <c r="G2399" s="396">
        <v>1</v>
      </c>
      <c r="H2399" s="395">
        <v>26440.763999999996</v>
      </c>
      <c r="I2399" s="394">
        <v>96.64</v>
      </c>
      <c r="J2399" s="394">
        <v>37772.519999999997</v>
      </c>
      <c r="K2399" s="393" t="s">
        <v>1033</v>
      </c>
    </row>
    <row r="2400" spans="1:12" hidden="1" x14ac:dyDescent="0.3">
      <c r="A2400" s="397" t="s">
        <v>2363</v>
      </c>
      <c r="C2400" s="397" t="s">
        <v>1053</v>
      </c>
      <c r="D2400" s="397" t="s">
        <v>2362</v>
      </c>
      <c r="E2400" s="397" t="s">
        <v>2361</v>
      </c>
      <c r="F2400" s="397" t="s">
        <v>191</v>
      </c>
      <c r="G2400" s="396">
        <v>6</v>
      </c>
      <c r="H2400" s="395">
        <v>41682.382000000005</v>
      </c>
      <c r="I2400" s="394">
        <v>40340.26</v>
      </c>
      <c r="J2400" s="394">
        <v>59546.26</v>
      </c>
      <c r="K2400" s="393" t="s">
        <v>1033</v>
      </c>
    </row>
    <row r="2401" spans="1:12" hidden="1" x14ac:dyDescent="0.3">
      <c r="A2401" s="397" t="s">
        <v>1975</v>
      </c>
      <c r="C2401" s="397" t="s">
        <v>1053</v>
      </c>
      <c r="D2401" s="397" t="s">
        <v>1974</v>
      </c>
      <c r="E2401" s="397" t="s">
        <v>1973</v>
      </c>
      <c r="F2401" s="397" t="s">
        <v>191</v>
      </c>
      <c r="G2401" s="396">
        <v>1</v>
      </c>
      <c r="H2401" s="395">
        <v>60696.979000000007</v>
      </c>
      <c r="I2401" s="394">
        <v>55359.79</v>
      </c>
      <c r="J2401" s="394">
        <v>86709.97</v>
      </c>
      <c r="K2401" s="393" t="s">
        <v>1033</v>
      </c>
    </row>
    <row r="2402" spans="1:12" hidden="1" x14ac:dyDescent="0.3">
      <c r="A2402" s="397" t="s">
        <v>1977</v>
      </c>
      <c r="C2402" s="397" t="s">
        <v>1053</v>
      </c>
      <c r="D2402" s="397" t="s">
        <v>1976</v>
      </c>
      <c r="E2402" s="397" t="s">
        <v>708</v>
      </c>
      <c r="F2402" s="397" t="s">
        <v>191</v>
      </c>
      <c r="G2402" s="396">
        <v>1</v>
      </c>
      <c r="H2402" s="395">
        <v>53550.685999999994</v>
      </c>
      <c r="I2402" s="394">
        <v>232.85</v>
      </c>
      <c r="J2402" s="394">
        <v>76500.98</v>
      </c>
      <c r="K2402" s="393" t="s">
        <v>1033</v>
      </c>
    </row>
    <row r="2403" spans="1:12" hidden="1" x14ac:dyDescent="0.3">
      <c r="A2403" s="397" t="s">
        <v>2383</v>
      </c>
      <c r="C2403" s="397" t="s">
        <v>1053</v>
      </c>
      <c r="D2403" s="397" t="s">
        <v>2382</v>
      </c>
      <c r="E2403" s="397" t="s">
        <v>708</v>
      </c>
      <c r="F2403" s="397" t="s">
        <v>191</v>
      </c>
      <c r="G2403" s="396">
        <v>2</v>
      </c>
      <c r="H2403" s="395">
        <v>32346.657000000003</v>
      </c>
      <c r="I2403" s="394">
        <v>89.070000000000007</v>
      </c>
      <c r="J2403" s="394">
        <v>46209.51</v>
      </c>
      <c r="K2403" s="393" t="s">
        <v>1033</v>
      </c>
    </row>
    <row r="2404" spans="1:12" hidden="1" x14ac:dyDescent="0.3">
      <c r="A2404" s="397" t="s">
        <v>2386</v>
      </c>
      <c r="C2404" s="397" t="s">
        <v>1053</v>
      </c>
      <c r="D2404" s="397" t="s">
        <v>2385</v>
      </c>
      <c r="E2404" s="397" t="s">
        <v>2384</v>
      </c>
      <c r="F2404" s="397" t="s">
        <v>191</v>
      </c>
      <c r="G2404" s="396">
        <v>1</v>
      </c>
      <c r="H2404" s="395">
        <v>45515.245999999999</v>
      </c>
      <c r="I2404" s="394">
        <v>2108.33</v>
      </c>
      <c r="J2404" s="394">
        <v>65021.78</v>
      </c>
      <c r="K2404" s="393" t="s">
        <v>1033</v>
      </c>
    </row>
    <row r="2405" spans="1:12" hidden="1" x14ac:dyDescent="0.3">
      <c r="A2405" s="397" t="s">
        <v>1990</v>
      </c>
      <c r="C2405" s="397" t="s">
        <v>1053</v>
      </c>
      <c r="D2405" s="397" t="s">
        <v>1989</v>
      </c>
      <c r="E2405" s="397" t="s">
        <v>708</v>
      </c>
      <c r="F2405" s="397" t="s">
        <v>191</v>
      </c>
      <c r="G2405" s="396">
        <v>1</v>
      </c>
      <c r="H2405" s="395">
        <v>15192.764999999999</v>
      </c>
      <c r="I2405" s="394">
        <v>648.52</v>
      </c>
      <c r="J2405" s="394">
        <v>21703.95</v>
      </c>
      <c r="K2405" s="393" t="s">
        <v>1033</v>
      </c>
    </row>
    <row r="2406" spans="1:12" hidden="1" x14ac:dyDescent="0.3">
      <c r="A2406" s="397" t="s">
        <v>2367</v>
      </c>
      <c r="C2406" s="397" t="s">
        <v>1053</v>
      </c>
      <c r="D2406" s="397" t="s">
        <v>709</v>
      </c>
      <c r="E2406" s="397" t="s">
        <v>708</v>
      </c>
      <c r="F2406" s="397" t="s">
        <v>191</v>
      </c>
      <c r="G2406" s="396">
        <v>10</v>
      </c>
      <c r="H2406" s="395">
        <v>62309.87</v>
      </c>
      <c r="I2406" s="394">
        <v>61208.12</v>
      </c>
      <c r="J2406" s="394">
        <v>89014.1</v>
      </c>
      <c r="K2406" s="393" t="s">
        <v>1033</v>
      </c>
      <c r="L2406" s="395">
        <v>1</v>
      </c>
    </row>
    <row r="2407" spans="1:12" hidden="1" x14ac:dyDescent="0.3">
      <c r="A2407" s="397" t="s">
        <v>2364</v>
      </c>
      <c r="C2407" s="397" t="s">
        <v>1053</v>
      </c>
      <c r="D2407" s="397" t="s">
        <v>711</v>
      </c>
      <c r="E2407" s="397" t="s">
        <v>708</v>
      </c>
      <c r="F2407" s="397" t="s">
        <v>191</v>
      </c>
      <c r="G2407" s="396">
        <v>9</v>
      </c>
      <c r="H2407" s="395">
        <v>78250.290999999997</v>
      </c>
      <c r="I2407" s="394">
        <v>75730.73</v>
      </c>
      <c r="J2407" s="394">
        <v>111786.13</v>
      </c>
      <c r="K2407" s="393" t="s">
        <v>1033</v>
      </c>
      <c r="L2407" s="395">
        <v>1</v>
      </c>
    </row>
    <row r="2408" spans="1:12" hidden="1" x14ac:dyDescent="0.3">
      <c r="A2408" s="397" t="s">
        <v>890</v>
      </c>
      <c r="C2408" s="397" t="s">
        <v>1053</v>
      </c>
      <c r="D2408" s="397" t="s">
        <v>405</v>
      </c>
      <c r="E2408" s="397" t="s">
        <v>406</v>
      </c>
      <c r="F2408" s="397" t="s">
        <v>191</v>
      </c>
      <c r="G2408" s="396">
        <v>263</v>
      </c>
      <c r="H2408" s="395">
        <v>3202.2759999999998</v>
      </c>
      <c r="I2408" s="394">
        <v>3124.17</v>
      </c>
      <c r="J2408" s="394">
        <v>4574.68</v>
      </c>
      <c r="K2408" s="393" t="s">
        <v>1033</v>
      </c>
      <c r="L2408" s="395">
        <v>166</v>
      </c>
    </row>
    <row r="2409" spans="1:12" hidden="1" x14ac:dyDescent="0.3">
      <c r="A2409" s="397" t="s">
        <v>793</v>
      </c>
      <c r="C2409" s="397" t="s">
        <v>1053</v>
      </c>
      <c r="D2409" s="397" t="s">
        <v>658</v>
      </c>
      <c r="E2409" s="397" t="s">
        <v>655</v>
      </c>
      <c r="F2409" s="397" t="s">
        <v>191</v>
      </c>
      <c r="G2409" s="396">
        <v>9</v>
      </c>
      <c r="H2409" s="395">
        <v>13463.562</v>
      </c>
      <c r="I2409" s="394">
        <v>12903.64</v>
      </c>
      <c r="J2409" s="394">
        <v>19233.66</v>
      </c>
      <c r="K2409" s="393" t="s">
        <v>1033</v>
      </c>
      <c r="L2409" s="395">
        <v>1</v>
      </c>
    </row>
    <row r="2410" spans="1:12" hidden="1" x14ac:dyDescent="0.3">
      <c r="A2410" s="397" t="s">
        <v>3964</v>
      </c>
      <c r="C2410" s="397" t="s">
        <v>1053</v>
      </c>
      <c r="D2410" s="397" t="s">
        <v>3963</v>
      </c>
      <c r="E2410" s="397" t="s">
        <v>655</v>
      </c>
      <c r="F2410" s="397" t="s">
        <v>191</v>
      </c>
      <c r="G2410" s="396">
        <v>17</v>
      </c>
      <c r="H2410" s="395">
        <v>10782.764999999999</v>
      </c>
      <c r="I2410" s="394">
        <v>10328.76</v>
      </c>
      <c r="J2410" s="394">
        <v>15403.95</v>
      </c>
      <c r="K2410" s="393" t="s">
        <v>1033</v>
      </c>
      <c r="L2410" s="395">
        <v>3</v>
      </c>
    </row>
    <row r="2411" spans="1:12" hidden="1" x14ac:dyDescent="0.3">
      <c r="A2411" s="397" t="s">
        <v>3938</v>
      </c>
      <c r="C2411" s="397" t="s">
        <v>1053</v>
      </c>
      <c r="D2411" s="397" t="s">
        <v>3937</v>
      </c>
      <c r="E2411" s="397" t="s">
        <v>655</v>
      </c>
      <c r="F2411" s="397" t="s">
        <v>191</v>
      </c>
      <c r="G2411" s="396">
        <v>8</v>
      </c>
      <c r="H2411" s="395">
        <v>9144.4989999999998</v>
      </c>
      <c r="I2411" s="394">
        <v>8748.7199999999993</v>
      </c>
      <c r="J2411" s="394">
        <v>13063.57</v>
      </c>
      <c r="K2411" s="393" t="s">
        <v>1033</v>
      </c>
    </row>
    <row r="2412" spans="1:12" hidden="1" x14ac:dyDescent="0.3">
      <c r="A2412" s="397" t="s">
        <v>796</v>
      </c>
      <c r="C2412" s="397" t="s">
        <v>1053</v>
      </c>
      <c r="D2412" s="397" t="s">
        <v>654</v>
      </c>
      <c r="E2412" s="397" t="s">
        <v>655</v>
      </c>
      <c r="F2412" s="397" t="s">
        <v>191</v>
      </c>
      <c r="G2412" s="396">
        <v>7</v>
      </c>
      <c r="H2412" s="395">
        <v>9948.7360000000008</v>
      </c>
      <c r="I2412" s="394">
        <v>9509.48</v>
      </c>
      <c r="J2412" s="394">
        <v>14212.48</v>
      </c>
      <c r="K2412" s="393" t="s">
        <v>1033</v>
      </c>
    </row>
    <row r="2413" spans="1:12" hidden="1" x14ac:dyDescent="0.3">
      <c r="A2413" s="397" t="s">
        <v>3954</v>
      </c>
      <c r="C2413" s="397" t="s">
        <v>1053</v>
      </c>
      <c r="D2413" s="397" t="s">
        <v>3953</v>
      </c>
      <c r="E2413" s="397" t="s">
        <v>655</v>
      </c>
      <c r="F2413" s="397" t="s">
        <v>191</v>
      </c>
      <c r="G2413" s="396">
        <v>3</v>
      </c>
      <c r="H2413" s="395">
        <v>12450.816000000001</v>
      </c>
      <c r="I2413" s="394">
        <v>11416.85</v>
      </c>
      <c r="J2413" s="394">
        <v>17786.88</v>
      </c>
      <c r="K2413" s="393" t="s">
        <v>1033</v>
      </c>
      <c r="L2413" s="395">
        <v>1</v>
      </c>
    </row>
    <row r="2414" spans="1:12" hidden="1" x14ac:dyDescent="0.3">
      <c r="A2414" s="397" t="s">
        <v>3958</v>
      </c>
      <c r="C2414" s="397" t="s">
        <v>1053</v>
      </c>
      <c r="D2414" s="397" t="s">
        <v>3957</v>
      </c>
      <c r="E2414" s="397" t="s">
        <v>655</v>
      </c>
      <c r="F2414" s="397" t="s">
        <v>191</v>
      </c>
      <c r="G2414" s="396">
        <v>2</v>
      </c>
      <c r="H2414" s="395">
        <v>10824.638999999999</v>
      </c>
      <c r="I2414" s="394">
        <v>181.3</v>
      </c>
      <c r="J2414" s="394">
        <v>15463.77</v>
      </c>
      <c r="K2414" s="393" t="s">
        <v>1033</v>
      </c>
    </row>
    <row r="2415" spans="1:12" hidden="1" x14ac:dyDescent="0.3">
      <c r="A2415" s="397" t="s">
        <v>792</v>
      </c>
      <c r="C2415" s="397" t="s">
        <v>1053</v>
      </c>
      <c r="D2415" s="397" t="s">
        <v>659</v>
      </c>
      <c r="E2415" s="397" t="s">
        <v>655</v>
      </c>
      <c r="F2415" s="397" t="s">
        <v>191</v>
      </c>
      <c r="G2415" s="396">
        <v>13</v>
      </c>
      <c r="H2415" s="395">
        <v>8548.764000000001</v>
      </c>
      <c r="I2415" s="394">
        <v>8192.7800000000007</v>
      </c>
      <c r="J2415" s="394">
        <v>12212.52</v>
      </c>
      <c r="K2415" s="393" t="s">
        <v>1033</v>
      </c>
      <c r="L2415" s="395">
        <v>1</v>
      </c>
    </row>
    <row r="2416" spans="1:12" hidden="1" x14ac:dyDescent="0.3">
      <c r="A2416" s="397" t="s">
        <v>3926</v>
      </c>
      <c r="C2416" s="397" t="s">
        <v>1053</v>
      </c>
      <c r="D2416" s="397" t="s">
        <v>3925</v>
      </c>
      <c r="E2416" s="397" t="s">
        <v>3924</v>
      </c>
      <c r="F2416" s="397" t="s">
        <v>191</v>
      </c>
      <c r="G2416" s="396">
        <v>3</v>
      </c>
      <c r="H2416" s="395">
        <v>42191.750999999997</v>
      </c>
      <c r="I2416" s="394">
        <v>41445.72</v>
      </c>
      <c r="J2416" s="394">
        <v>60273.93</v>
      </c>
      <c r="K2416" s="393" t="s">
        <v>1033</v>
      </c>
    </row>
    <row r="2417" spans="1:12" hidden="1" x14ac:dyDescent="0.3">
      <c r="A2417" s="397" t="s">
        <v>795</v>
      </c>
      <c r="C2417" s="397" t="s">
        <v>1053</v>
      </c>
      <c r="D2417" s="397" t="s">
        <v>656</v>
      </c>
      <c r="E2417" s="397" t="s">
        <v>655</v>
      </c>
      <c r="F2417" s="397" t="s">
        <v>191</v>
      </c>
      <c r="G2417" s="396">
        <v>5</v>
      </c>
      <c r="H2417" s="395">
        <v>20076.196</v>
      </c>
      <c r="I2417" s="394">
        <v>19253.05</v>
      </c>
      <c r="J2417" s="394">
        <v>28680.28</v>
      </c>
      <c r="K2417" s="393" t="s">
        <v>1033</v>
      </c>
    </row>
    <row r="2418" spans="1:12" hidden="1" x14ac:dyDescent="0.3">
      <c r="A2418" s="397" t="s">
        <v>3962</v>
      </c>
      <c r="C2418" s="397" t="s">
        <v>1053</v>
      </c>
      <c r="D2418" s="397" t="s">
        <v>3961</v>
      </c>
      <c r="E2418" s="397" t="s">
        <v>655</v>
      </c>
      <c r="F2418" s="397" t="s">
        <v>191</v>
      </c>
      <c r="G2418" s="396">
        <v>1</v>
      </c>
      <c r="H2418" s="395">
        <v>9174.2839999999997</v>
      </c>
      <c r="I2418" s="394">
        <v>36.33</v>
      </c>
      <c r="J2418" s="394">
        <v>13106.12</v>
      </c>
      <c r="K2418" s="393" t="s">
        <v>1033</v>
      </c>
    </row>
    <row r="2419" spans="1:12" hidden="1" x14ac:dyDescent="0.3">
      <c r="A2419" s="397" t="s">
        <v>3969</v>
      </c>
      <c r="C2419" s="397" t="s">
        <v>1053</v>
      </c>
      <c r="D2419" s="397" t="s">
        <v>3968</v>
      </c>
      <c r="E2419" s="397" t="s">
        <v>655</v>
      </c>
      <c r="F2419" s="397" t="s">
        <v>191</v>
      </c>
      <c r="G2419" s="396">
        <v>2</v>
      </c>
      <c r="H2419" s="395">
        <v>8548.764000000001</v>
      </c>
      <c r="I2419" s="394">
        <v>6509.08</v>
      </c>
      <c r="J2419" s="394">
        <v>12212.52</v>
      </c>
      <c r="K2419" s="393" t="s">
        <v>1033</v>
      </c>
    </row>
    <row r="2420" spans="1:12" hidden="1" x14ac:dyDescent="0.3">
      <c r="A2420" s="397" t="s">
        <v>3956</v>
      </c>
      <c r="C2420" s="397" t="s">
        <v>1053</v>
      </c>
      <c r="D2420" s="397" t="s">
        <v>3955</v>
      </c>
      <c r="E2420" s="397" t="s">
        <v>655</v>
      </c>
      <c r="F2420" s="397" t="s">
        <v>191</v>
      </c>
      <c r="G2420" s="396">
        <v>5</v>
      </c>
      <c r="H2420" s="395">
        <v>7585.0319999999992</v>
      </c>
      <c r="I2420" s="394">
        <v>7450.91</v>
      </c>
      <c r="J2420" s="394">
        <v>10835.76</v>
      </c>
      <c r="K2420" s="393" t="s">
        <v>1033</v>
      </c>
    </row>
    <row r="2421" spans="1:12" hidden="1" x14ac:dyDescent="0.3">
      <c r="A2421" s="397" t="s">
        <v>3920</v>
      </c>
      <c r="C2421" s="397" t="s">
        <v>1053</v>
      </c>
      <c r="D2421" s="397" t="s">
        <v>3967</v>
      </c>
      <c r="E2421" s="397" t="s">
        <v>655</v>
      </c>
      <c r="F2421" s="397" t="s">
        <v>191</v>
      </c>
      <c r="G2421" s="396">
        <v>1</v>
      </c>
      <c r="H2421" s="395">
        <v>11673.843999999999</v>
      </c>
      <c r="I2421" s="394">
        <v>7927.89</v>
      </c>
      <c r="J2421" s="394">
        <v>16676.919999999998</v>
      </c>
      <c r="K2421" s="393" t="s">
        <v>1033</v>
      </c>
    </row>
    <row r="2422" spans="1:12" hidden="1" x14ac:dyDescent="0.3">
      <c r="A2422" s="397" t="s">
        <v>3920</v>
      </c>
      <c r="C2422" s="397" t="s">
        <v>1053</v>
      </c>
      <c r="D2422" s="397" t="s">
        <v>3919</v>
      </c>
      <c r="E2422" s="397" t="s">
        <v>3918</v>
      </c>
      <c r="F2422" s="397" t="s">
        <v>191</v>
      </c>
      <c r="G2422" s="396">
        <v>2</v>
      </c>
      <c r="H2422" s="395">
        <v>16354.912</v>
      </c>
      <c r="I2422" s="394">
        <v>16038.17</v>
      </c>
      <c r="J2422" s="394">
        <v>23364.16</v>
      </c>
      <c r="K2422" s="393" t="s">
        <v>1033</v>
      </c>
    </row>
    <row r="2423" spans="1:12" hidden="1" x14ac:dyDescent="0.3">
      <c r="A2423" s="397" t="s">
        <v>3960</v>
      </c>
      <c r="C2423" s="397" t="s">
        <v>1053</v>
      </c>
      <c r="D2423" s="397" t="s">
        <v>3981</v>
      </c>
      <c r="E2423" s="397" t="s">
        <v>3980</v>
      </c>
      <c r="F2423" s="397" t="s">
        <v>191</v>
      </c>
      <c r="G2423" s="396">
        <v>3</v>
      </c>
      <c r="H2423" s="395">
        <v>23914.415000000001</v>
      </c>
      <c r="I2423" s="394">
        <v>23116.94</v>
      </c>
      <c r="J2423" s="394">
        <v>34163.449999999997</v>
      </c>
      <c r="K2423" s="393" t="s">
        <v>1033</v>
      </c>
    </row>
    <row r="2424" spans="1:12" hidden="1" x14ac:dyDescent="0.3">
      <c r="A2424" s="397" t="s">
        <v>3960</v>
      </c>
      <c r="C2424" s="397" t="s">
        <v>1053</v>
      </c>
      <c r="D2424" s="397" t="s">
        <v>3959</v>
      </c>
      <c r="E2424" s="397" t="s">
        <v>655</v>
      </c>
      <c r="F2424" s="397" t="s">
        <v>191</v>
      </c>
      <c r="G2424" s="396">
        <v>1</v>
      </c>
      <c r="H2424" s="395">
        <v>13612.493999999999</v>
      </c>
      <c r="I2424" s="394">
        <v>1517.57</v>
      </c>
      <c r="J2424" s="394">
        <v>19446.419999999998</v>
      </c>
      <c r="K2424" s="393" t="s">
        <v>1033</v>
      </c>
    </row>
    <row r="2425" spans="1:12" hidden="1" x14ac:dyDescent="0.3">
      <c r="A2425" s="397" t="s">
        <v>3990</v>
      </c>
      <c r="C2425" s="397" t="s">
        <v>1053</v>
      </c>
      <c r="D2425" s="397" t="s">
        <v>3989</v>
      </c>
      <c r="E2425" s="397" t="s">
        <v>3988</v>
      </c>
      <c r="F2425" s="397" t="s">
        <v>191</v>
      </c>
      <c r="G2425" s="396">
        <v>1</v>
      </c>
      <c r="H2425" s="395">
        <v>17869.775000000001</v>
      </c>
      <c r="I2425" s="394">
        <v>10995.68</v>
      </c>
      <c r="J2425" s="394">
        <v>25528.25</v>
      </c>
      <c r="K2425" s="393" t="s">
        <v>1033</v>
      </c>
    </row>
    <row r="2426" spans="1:12" hidden="1" x14ac:dyDescent="0.3">
      <c r="A2426" s="397" t="s">
        <v>3946</v>
      </c>
      <c r="C2426" s="397" t="s">
        <v>1053</v>
      </c>
      <c r="D2426" s="397" t="s">
        <v>3945</v>
      </c>
      <c r="E2426" s="397" t="s">
        <v>655</v>
      </c>
      <c r="F2426" s="397" t="s">
        <v>191</v>
      </c>
      <c r="G2426" s="396">
        <v>13</v>
      </c>
      <c r="H2426" s="395">
        <v>18281.116000000002</v>
      </c>
      <c r="I2426" s="394">
        <v>17928.77</v>
      </c>
      <c r="J2426" s="394">
        <v>26115.88</v>
      </c>
      <c r="K2426" s="393" t="s">
        <v>1033</v>
      </c>
    </row>
    <row r="2427" spans="1:12" hidden="1" x14ac:dyDescent="0.3">
      <c r="A2427" s="397" t="s">
        <v>794</v>
      </c>
      <c r="C2427" s="397" t="s">
        <v>1053</v>
      </c>
      <c r="D2427" s="397" t="s">
        <v>657</v>
      </c>
      <c r="E2427" s="397" t="s">
        <v>655</v>
      </c>
      <c r="F2427" s="397" t="s">
        <v>191</v>
      </c>
      <c r="G2427" s="396">
        <v>9</v>
      </c>
      <c r="H2427" s="395">
        <v>14833.749</v>
      </c>
      <c r="I2427" s="394">
        <v>14220.33</v>
      </c>
      <c r="J2427" s="394">
        <v>21191.07</v>
      </c>
      <c r="K2427" s="393" t="s">
        <v>1033</v>
      </c>
      <c r="L2427" s="395">
        <v>1</v>
      </c>
    </row>
    <row r="2428" spans="1:12" hidden="1" x14ac:dyDescent="0.3">
      <c r="A2428" s="397" t="s">
        <v>3942</v>
      </c>
      <c r="C2428" s="397" t="s">
        <v>1053</v>
      </c>
      <c r="D2428" s="397" t="s">
        <v>3941</v>
      </c>
      <c r="E2428" s="397" t="s">
        <v>655</v>
      </c>
      <c r="F2428" s="397" t="s">
        <v>191</v>
      </c>
      <c r="G2428" s="396">
        <v>20</v>
      </c>
      <c r="H2428" s="395">
        <v>15407.098</v>
      </c>
      <c r="I2428" s="394">
        <v>15134.67</v>
      </c>
      <c r="J2428" s="394">
        <v>22010.14</v>
      </c>
      <c r="K2428" s="393" t="s">
        <v>1033</v>
      </c>
      <c r="L2428" s="395">
        <v>2</v>
      </c>
    </row>
    <row r="2429" spans="1:12" hidden="1" x14ac:dyDescent="0.3">
      <c r="A2429" s="397" t="s">
        <v>791</v>
      </c>
      <c r="C2429" s="397" t="s">
        <v>1053</v>
      </c>
      <c r="D2429" s="397" t="s">
        <v>660</v>
      </c>
      <c r="E2429" s="397" t="s">
        <v>655</v>
      </c>
      <c r="F2429" s="397" t="s">
        <v>191</v>
      </c>
      <c r="G2429" s="396">
        <v>9</v>
      </c>
      <c r="H2429" s="395">
        <v>18281.116000000002</v>
      </c>
      <c r="I2429" s="394">
        <v>17957.87</v>
      </c>
      <c r="J2429" s="394">
        <v>26115.88</v>
      </c>
      <c r="K2429" s="393" t="s">
        <v>1033</v>
      </c>
      <c r="L2429" s="395">
        <v>3</v>
      </c>
    </row>
    <row r="2430" spans="1:12" hidden="1" x14ac:dyDescent="0.3">
      <c r="A2430" s="397" t="s">
        <v>3948</v>
      </c>
      <c r="C2430" s="397" t="s">
        <v>1053</v>
      </c>
      <c r="D2430" s="397" t="s">
        <v>3947</v>
      </c>
      <c r="E2430" s="397" t="s">
        <v>655</v>
      </c>
      <c r="F2430" s="397" t="s">
        <v>191</v>
      </c>
      <c r="G2430" s="396">
        <v>11</v>
      </c>
      <c r="H2430" s="395">
        <v>16888.55</v>
      </c>
      <c r="I2430" s="394">
        <v>16560.830000000002</v>
      </c>
      <c r="J2430" s="394">
        <v>24126.5</v>
      </c>
      <c r="K2430" s="393" t="s">
        <v>1033</v>
      </c>
    </row>
    <row r="2431" spans="1:12" hidden="1" x14ac:dyDescent="0.3">
      <c r="A2431" s="397" t="s">
        <v>3977</v>
      </c>
      <c r="C2431" s="397" t="s">
        <v>1053</v>
      </c>
      <c r="D2431" s="397" t="s">
        <v>3976</v>
      </c>
      <c r="E2431" s="397" t="s">
        <v>655</v>
      </c>
      <c r="F2431" s="397" t="s">
        <v>191</v>
      </c>
      <c r="G2431" s="396">
        <v>3</v>
      </c>
      <c r="H2431" s="395">
        <v>16888.55</v>
      </c>
      <c r="I2431" s="394">
        <v>938.81000000000006</v>
      </c>
      <c r="J2431" s="394">
        <v>24126.5</v>
      </c>
      <c r="K2431" s="393" t="s">
        <v>1033</v>
      </c>
    </row>
    <row r="2432" spans="1:12" hidden="1" x14ac:dyDescent="0.3">
      <c r="A2432" s="397" t="s">
        <v>3940</v>
      </c>
      <c r="C2432" s="397" t="s">
        <v>1053</v>
      </c>
      <c r="D2432" s="397" t="s">
        <v>3939</v>
      </c>
      <c r="E2432" s="397" t="s">
        <v>655</v>
      </c>
      <c r="F2432" s="397" t="s">
        <v>191</v>
      </c>
      <c r="G2432" s="396">
        <v>5</v>
      </c>
      <c r="H2432" s="395">
        <v>14193.571000000002</v>
      </c>
      <c r="I2432" s="394">
        <v>12433.69</v>
      </c>
      <c r="J2432" s="394">
        <v>20276.53</v>
      </c>
      <c r="K2432" s="393" t="s">
        <v>1033</v>
      </c>
      <c r="L2432" s="395">
        <v>1</v>
      </c>
    </row>
    <row r="2433" spans="1:12" hidden="1" x14ac:dyDescent="0.3">
      <c r="A2433" s="397" t="s">
        <v>3950</v>
      </c>
      <c r="C2433" s="397" t="s">
        <v>1053</v>
      </c>
      <c r="D2433" s="397" t="s">
        <v>3949</v>
      </c>
      <c r="E2433" s="397" t="s">
        <v>655</v>
      </c>
      <c r="F2433" s="397" t="s">
        <v>191</v>
      </c>
      <c r="G2433" s="396">
        <v>2</v>
      </c>
      <c r="H2433" s="395">
        <v>14833.749</v>
      </c>
      <c r="I2433" s="394">
        <v>110.55</v>
      </c>
      <c r="J2433" s="394">
        <v>21191.07</v>
      </c>
      <c r="K2433" s="393" t="s">
        <v>1033</v>
      </c>
    </row>
    <row r="2434" spans="1:12" hidden="1" x14ac:dyDescent="0.3">
      <c r="A2434" s="397" t="s">
        <v>3952</v>
      </c>
      <c r="C2434" s="397" t="s">
        <v>1053</v>
      </c>
      <c r="D2434" s="397" t="s">
        <v>3951</v>
      </c>
      <c r="E2434" s="397" t="s">
        <v>655</v>
      </c>
      <c r="F2434" s="397" t="s">
        <v>191</v>
      </c>
      <c r="G2434" s="396">
        <v>3</v>
      </c>
      <c r="H2434" s="395">
        <v>15436.728999999999</v>
      </c>
      <c r="I2434" s="394">
        <v>93.53</v>
      </c>
      <c r="J2434" s="394">
        <v>22052.47</v>
      </c>
      <c r="K2434" s="393" t="s">
        <v>1033</v>
      </c>
    </row>
    <row r="2435" spans="1:12" hidden="1" x14ac:dyDescent="0.3">
      <c r="A2435" s="397" t="s">
        <v>3975</v>
      </c>
      <c r="C2435" s="397" t="s">
        <v>1053</v>
      </c>
      <c r="D2435" s="397" t="s">
        <v>3974</v>
      </c>
      <c r="E2435" s="397" t="s">
        <v>655</v>
      </c>
      <c r="F2435" s="397" t="s">
        <v>191</v>
      </c>
      <c r="G2435" s="396">
        <v>4</v>
      </c>
      <c r="H2435" s="395">
        <v>8340.2619999999988</v>
      </c>
      <c r="I2435" s="394">
        <v>7639.21</v>
      </c>
      <c r="J2435" s="394">
        <v>11914.66</v>
      </c>
      <c r="K2435" s="393" t="s">
        <v>1033</v>
      </c>
    </row>
    <row r="2436" spans="1:12" hidden="1" x14ac:dyDescent="0.3">
      <c r="A2436" s="397" t="s">
        <v>3979</v>
      </c>
      <c r="C2436" s="397" t="s">
        <v>1053</v>
      </c>
      <c r="D2436" s="397" t="s">
        <v>3978</v>
      </c>
      <c r="E2436" s="397" t="s">
        <v>655</v>
      </c>
      <c r="F2436" s="397" t="s">
        <v>191</v>
      </c>
      <c r="G2436" s="396">
        <v>1</v>
      </c>
      <c r="H2436" s="395">
        <v>10725.715</v>
      </c>
      <c r="I2436" s="394">
        <v>597.41999999999996</v>
      </c>
      <c r="J2436" s="394">
        <v>15322.45</v>
      </c>
      <c r="K2436" s="393" t="s">
        <v>1033</v>
      </c>
    </row>
    <row r="2437" spans="1:12" hidden="1" x14ac:dyDescent="0.3">
      <c r="A2437" s="397" t="s">
        <v>3971</v>
      </c>
      <c r="C2437" s="397" t="s">
        <v>1053</v>
      </c>
      <c r="D2437" s="397" t="s">
        <v>3970</v>
      </c>
      <c r="E2437" s="397" t="s">
        <v>655</v>
      </c>
      <c r="F2437" s="397" t="s">
        <v>191</v>
      </c>
      <c r="G2437" s="396">
        <v>9</v>
      </c>
      <c r="H2437" s="395">
        <v>9084.9220000000005</v>
      </c>
      <c r="I2437" s="394">
        <v>8561.7800000000007</v>
      </c>
      <c r="J2437" s="394">
        <v>12978.460000000001</v>
      </c>
      <c r="K2437" s="393" t="s">
        <v>1033</v>
      </c>
    </row>
    <row r="2438" spans="1:12" hidden="1" x14ac:dyDescent="0.3">
      <c r="A2438" s="397" t="s">
        <v>3944</v>
      </c>
      <c r="C2438" s="397" t="s">
        <v>1053</v>
      </c>
      <c r="D2438" s="397" t="s">
        <v>3943</v>
      </c>
      <c r="E2438" s="397" t="s">
        <v>655</v>
      </c>
      <c r="F2438" s="397" t="s">
        <v>191</v>
      </c>
      <c r="G2438" s="396">
        <v>1</v>
      </c>
      <c r="H2438" s="395">
        <v>13362.698999999999</v>
      </c>
      <c r="I2438" s="394">
        <v>513.69000000000005</v>
      </c>
      <c r="J2438" s="394">
        <v>19089.57</v>
      </c>
      <c r="K2438" s="393" t="s">
        <v>1033</v>
      </c>
    </row>
    <row r="2439" spans="1:12" hidden="1" x14ac:dyDescent="0.3">
      <c r="A2439" s="397" t="s">
        <v>3983</v>
      </c>
      <c r="C2439" s="397" t="s">
        <v>1053</v>
      </c>
      <c r="D2439" s="397" t="s">
        <v>3982</v>
      </c>
      <c r="E2439" s="397" t="s">
        <v>3927</v>
      </c>
      <c r="F2439" s="397" t="s">
        <v>191</v>
      </c>
      <c r="G2439" s="396">
        <v>2</v>
      </c>
      <c r="H2439" s="395">
        <v>23480.38</v>
      </c>
      <c r="I2439" s="394">
        <v>2596.86</v>
      </c>
      <c r="J2439" s="394">
        <v>33543.4</v>
      </c>
      <c r="K2439" s="393" t="s">
        <v>1033</v>
      </c>
    </row>
    <row r="2440" spans="1:12" hidden="1" x14ac:dyDescent="0.3">
      <c r="A2440" s="397" t="s">
        <v>3966</v>
      </c>
      <c r="C2440" s="397" t="s">
        <v>1053</v>
      </c>
      <c r="D2440" s="397" t="s">
        <v>3965</v>
      </c>
      <c r="E2440" s="397" t="s">
        <v>655</v>
      </c>
      <c r="F2440" s="397" t="s">
        <v>191</v>
      </c>
      <c r="G2440" s="396">
        <v>8</v>
      </c>
      <c r="H2440" s="395">
        <v>19837.901999999998</v>
      </c>
      <c r="I2440" s="394">
        <v>19018.97</v>
      </c>
      <c r="J2440" s="394">
        <v>28339.86</v>
      </c>
      <c r="K2440" s="393" t="s">
        <v>1033</v>
      </c>
    </row>
    <row r="2441" spans="1:12" hidden="1" x14ac:dyDescent="0.3">
      <c r="A2441" s="397" t="s">
        <v>3931</v>
      </c>
      <c r="C2441" s="397" t="s">
        <v>1053</v>
      </c>
      <c r="D2441" s="397" t="s">
        <v>3930</v>
      </c>
      <c r="E2441" s="397" t="s">
        <v>3927</v>
      </c>
      <c r="F2441" s="397" t="s">
        <v>191</v>
      </c>
      <c r="G2441" s="396">
        <v>1</v>
      </c>
      <c r="H2441" s="395">
        <v>48868.372000000003</v>
      </c>
      <c r="I2441" s="394">
        <v>1735.04</v>
      </c>
      <c r="J2441" s="394">
        <v>69811.960000000006</v>
      </c>
      <c r="K2441" s="393" t="s">
        <v>1033</v>
      </c>
    </row>
    <row r="2442" spans="1:12" hidden="1" x14ac:dyDescent="0.3">
      <c r="A2442" s="397" t="s">
        <v>3929</v>
      </c>
      <c r="C2442" s="397" t="s">
        <v>1053</v>
      </c>
      <c r="D2442" s="397" t="s">
        <v>3928</v>
      </c>
      <c r="E2442" s="397" t="s">
        <v>3927</v>
      </c>
      <c r="F2442" s="397" t="s">
        <v>191</v>
      </c>
      <c r="G2442" s="396">
        <v>1</v>
      </c>
      <c r="H2442" s="395">
        <v>42724.759000000005</v>
      </c>
      <c r="I2442" s="394">
        <v>2321.87</v>
      </c>
      <c r="J2442" s="394">
        <v>61035.37</v>
      </c>
      <c r="K2442" s="393" t="s">
        <v>1033</v>
      </c>
    </row>
    <row r="2443" spans="1:12" hidden="1" x14ac:dyDescent="0.3">
      <c r="A2443" s="397" t="s">
        <v>5513</v>
      </c>
      <c r="C2443" s="397" t="s">
        <v>1053</v>
      </c>
      <c r="D2443" s="397" t="s">
        <v>5512</v>
      </c>
      <c r="E2443" s="397" t="s">
        <v>5511</v>
      </c>
      <c r="F2443" s="397" t="s">
        <v>191</v>
      </c>
      <c r="G2443" s="396">
        <v>1</v>
      </c>
      <c r="H2443" s="395">
        <v>263597.58600000001</v>
      </c>
      <c r="I2443" s="394">
        <v>8200.59</v>
      </c>
      <c r="J2443" s="394">
        <v>376567.98</v>
      </c>
      <c r="K2443" s="393" t="s">
        <v>1033</v>
      </c>
    </row>
    <row r="2444" spans="1:12" hidden="1" x14ac:dyDescent="0.3">
      <c r="A2444" s="397" t="s">
        <v>5510</v>
      </c>
      <c r="C2444" s="397" t="s">
        <v>1053</v>
      </c>
      <c r="D2444" s="397" t="s">
        <v>5509</v>
      </c>
      <c r="E2444" s="397" t="s">
        <v>5508</v>
      </c>
      <c r="F2444" s="397" t="s">
        <v>191</v>
      </c>
      <c r="G2444" s="396">
        <v>1</v>
      </c>
      <c r="H2444" s="395">
        <v>263597.58600000001</v>
      </c>
      <c r="I2444" s="394">
        <v>8200.59</v>
      </c>
      <c r="J2444" s="394">
        <v>376567.98</v>
      </c>
      <c r="K2444" s="393" t="s">
        <v>1033</v>
      </c>
    </row>
    <row r="2445" spans="1:12" hidden="1" x14ac:dyDescent="0.3">
      <c r="A2445" s="397" t="s">
        <v>3973</v>
      </c>
      <c r="C2445" s="397" t="s">
        <v>1053</v>
      </c>
      <c r="D2445" s="397" t="s">
        <v>3972</v>
      </c>
      <c r="E2445" s="397" t="s">
        <v>655</v>
      </c>
      <c r="F2445" s="397" t="s">
        <v>191</v>
      </c>
      <c r="G2445" s="396">
        <v>9</v>
      </c>
      <c r="H2445" s="395">
        <v>9144.4989999999998</v>
      </c>
      <c r="I2445" s="394">
        <v>8748.7199999999993</v>
      </c>
      <c r="J2445" s="394">
        <v>13063.57</v>
      </c>
      <c r="K2445" s="393" t="s">
        <v>1033</v>
      </c>
    </row>
    <row r="2446" spans="1:12" hidden="1" x14ac:dyDescent="0.3">
      <c r="A2446" s="397" t="s">
        <v>891</v>
      </c>
      <c r="C2446" s="397" t="s">
        <v>1053</v>
      </c>
      <c r="D2446" s="397" t="s">
        <v>402</v>
      </c>
      <c r="E2446" s="397" t="s">
        <v>403</v>
      </c>
      <c r="F2446" s="397" t="s">
        <v>191</v>
      </c>
      <c r="G2446" s="396">
        <v>70</v>
      </c>
      <c r="H2446" s="395">
        <v>10946.698</v>
      </c>
      <c r="I2446" s="394">
        <v>10679.7</v>
      </c>
      <c r="J2446" s="394">
        <v>15638.14</v>
      </c>
      <c r="K2446" s="393" t="s">
        <v>1033</v>
      </c>
      <c r="L2446" s="395">
        <v>6</v>
      </c>
    </row>
    <row r="2447" spans="1:12" hidden="1" x14ac:dyDescent="0.3">
      <c r="A2447" s="397" t="s">
        <v>6526</v>
      </c>
      <c r="C2447" s="397" t="s">
        <v>1053</v>
      </c>
      <c r="D2447" s="397" t="s">
        <v>6525</v>
      </c>
      <c r="E2447" s="397" t="s">
        <v>6524</v>
      </c>
      <c r="F2447" s="397" t="s">
        <v>191</v>
      </c>
      <c r="G2447" s="396">
        <v>1</v>
      </c>
      <c r="H2447" s="395">
        <v>126966.83300000001</v>
      </c>
      <c r="I2447" s="394">
        <v>120583.68000000001</v>
      </c>
      <c r="J2447" s="394">
        <v>181381.19</v>
      </c>
      <c r="K2447" s="393" t="s">
        <v>1033</v>
      </c>
    </row>
    <row r="2448" spans="1:12" hidden="1" x14ac:dyDescent="0.3">
      <c r="A2448" s="397" t="s">
        <v>6529</v>
      </c>
      <c r="C2448" s="397" t="s">
        <v>1053</v>
      </c>
      <c r="D2448" s="397" t="s">
        <v>549</v>
      </c>
      <c r="E2448" s="397" t="s">
        <v>550</v>
      </c>
      <c r="F2448" s="397" t="s">
        <v>191</v>
      </c>
      <c r="G2448" s="396">
        <v>3</v>
      </c>
      <c r="H2448" s="395">
        <v>100303.25199999999</v>
      </c>
      <c r="I2448" s="394">
        <v>85140.71</v>
      </c>
      <c r="J2448" s="394">
        <v>143290.35999999999</v>
      </c>
      <c r="K2448" s="393" t="s">
        <v>1033</v>
      </c>
      <c r="L2448" s="395">
        <v>1</v>
      </c>
    </row>
    <row r="2449" spans="1:12" hidden="1" x14ac:dyDescent="0.3">
      <c r="A2449" s="397" t="s">
        <v>4542</v>
      </c>
      <c r="C2449" s="397" t="s">
        <v>1053</v>
      </c>
      <c r="D2449" s="397" t="s">
        <v>4541</v>
      </c>
      <c r="E2449" s="397" t="s">
        <v>4540</v>
      </c>
      <c r="F2449" s="397" t="s">
        <v>191</v>
      </c>
      <c r="G2449" s="396">
        <v>1</v>
      </c>
      <c r="H2449" s="395">
        <v>55597.00299999999</v>
      </c>
      <c r="I2449" s="394">
        <v>51203.49</v>
      </c>
      <c r="J2449" s="394">
        <v>79424.289999999994</v>
      </c>
      <c r="K2449" s="393" t="s">
        <v>1033</v>
      </c>
    </row>
    <row r="2450" spans="1:12" hidden="1" x14ac:dyDescent="0.3">
      <c r="A2450" s="397" t="s">
        <v>7680</v>
      </c>
      <c r="C2450" s="397" t="s">
        <v>1053</v>
      </c>
      <c r="D2450" s="397" t="s">
        <v>7679</v>
      </c>
      <c r="E2450" s="397" t="s">
        <v>7676</v>
      </c>
      <c r="F2450" s="397" t="s">
        <v>191</v>
      </c>
      <c r="G2450" s="396">
        <v>1</v>
      </c>
      <c r="H2450" s="395">
        <v>22467.641</v>
      </c>
      <c r="I2450" s="394">
        <v>15507.380000000001</v>
      </c>
      <c r="J2450" s="394">
        <v>32096.63</v>
      </c>
      <c r="K2450" s="393" t="s">
        <v>1033</v>
      </c>
    </row>
    <row r="2451" spans="1:12" hidden="1" x14ac:dyDescent="0.3">
      <c r="A2451" s="397" t="s">
        <v>6538</v>
      </c>
      <c r="C2451" s="397" t="s">
        <v>1053</v>
      </c>
      <c r="D2451" s="397" t="s">
        <v>6537</v>
      </c>
      <c r="E2451" s="397" t="s">
        <v>6524</v>
      </c>
      <c r="F2451" s="397" t="s">
        <v>191</v>
      </c>
      <c r="G2451" s="396">
        <v>1</v>
      </c>
      <c r="H2451" s="395">
        <v>124184.76000000001</v>
      </c>
      <c r="I2451" s="394">
        <v>96614.52</v>
      </c>
      <c r="J2451" s="394">
        <v>177406.80000000002</v>
      </c>
      <c r="K2451" s="393" t="s">
        <v>1033</v>
      </c>
      <c r="L2451" s="395">
        <v>1</v>
      </c>
    </row>
    <row r="2452" spans="1:12" hidden="1" x14ac:dyDescent="0.3">
      <c r="A2452" s="397" t="s">
        <v>6533</v>
      </c>
      <c r="C2452" s="397" t="s">
        <v>1053</v>
      </c>
      <c r="D2452" s="397" t="s">
        <v>6532</v>
      </c>
      <c r="E2452" s="397" t="s">
        <v>6524</v>
      </c>
      <c r="F2452" s="397" t="s">
        <v>191</v>
      </c>
      <c r="G2452" s="396">
        <v>1</v>
      </c>
      <c r="H2452" s="395">
        <v>100303.25199999999</v>
      </c>
      <c r="I2452" s="394">
        <v>97586.880000000005</v>
      </c>
      <c r="J2452" s="394">
        <v>143290.35999999999</v>
      </c>
      <c r="K2452" s="393" t="s">
        <v>1033</v>
      </c>
    </row>
    <row r="2453" spans="1:12" hidden="1" x14ac:dyDescent="0.3">
      <c r="A2453" s="397" t="s">
        <v>6523</v>
      </c>
      <c r="C2453" s="397" t="s">
        <v>1053</v>
      </c>
      <c r="D2453" s="397" t="s">
        <v>247</v>
      </c>
      <c r="E2453" s="397" t="s">
        <v>246</v>
      </c>
      <c r="F2453" s="397" t="s">
        <v>191</v>
      </c>
      <c r="G2453" s="396">
        <v>2</v>
      </c>
      <c r="H2453" s="395">
        <v>128064.965</v>
      </c>
      <c r="I2453" s="394">
        <v>120235.74</v>
      </c>
      <c r="J2453" s="394">
        <v>182949.95</v>
      </c>
      <c r="K2453" s="393" t="s">
        <v>1033</v>
      </c>
    </row>
    <row r="2454" spans="1:12" hidden="1" x14ac:dyDescent="0.3">
      <c r="A2454" s="397" t="s">
        <v>6531</v>
      </c>
      <c r="C2454" s="397" t="s">
        <v>1053</v>
      </c>
      <c r="D2454" s="397" t="s">
        <v>6530</v>
      </c>
      <c r="E2454" s="397" t="s">
        <v>6524</v>
      </c>
      <c r="F2454" s="397" t="s">
        <v>191</v>
      </c>
      <c r="G2454" s="396">
        <v>2</v>
      </c>
      <c r="H2454" s="395">
        <v>103941.194</v>
      </c>
      <c r="I2454" s="394">
        <v>4352.6400000000003</v>
      </c>
      <c r="J2454" s="394">
        <v>148487.42000000001</v>
      </c>
      <c r="K2454" s="393" t="s">
        <v>1033</v>
      </c>
    </row>
    <row r="2455" spans="1:12" hidden="1" x14ac:dyDescent="0.3">
      <c r="A2455" s="397" t="s">
        <v>7678</v>
      </c>
      <c r="C2455" s="397" t="s">
        <v>1053</v>
      </c>
      <c r="D2455" s="397" t="s">
        <v>7677</v>
      </c>
      <c r="E2455" s="397" t="s">
        <v>7676</v>
      </c>
      <c r="F2455" s="397" t="s">
        <v>191</v>
      </c>
      <c r="G2455" s="396">
        <v>1</v>
      </c>
      <c r="H2455" s="395">
        <v>24583.055</v>
      </c>
      <c r="I2455" s="394">
        <v>17190.349999999999</v>
      </c>
      <c r="J2455" s="394">
        <v>35118.65</v>
      </c>
      <c r="K2455" s="393" t="s">
        <v>1033</v>
      </c>
    </row>
    <row r="2456" spans="1:12" hidden="1" x14ac:dyDescent="0.3">
      <c r="A2456" s="397" t="s">
        <v>5797</v>
      </c>
      <c r="C2456" s="397" t="s">
        <v>1053</v>
      </c>
      <c r="D2456" s="397" t="s">
        <v>5796</v>
      </c>
      <c r="E2456" s="397" t="s">
        <v>597</v>
      </c>
      <c r="F2456" s="397" t="s">
        <v>191</v>
      </c>
      <c r="G2456" s="396">
        <v>1</v>
      </c>
      <c r="H2456" s="395">
        <v>58418.975999999995</v>
      </c>
      <c r="I2456" s="394">
        <v>44454.78</v>
      </c>
      <c r="J2456" s="394">
        <v>83455.679999999993</v>
      </c>
      <c r="K2456" s="393" t="s">
        <v>1033</v>
      </c>
    </row>
    <row r="2457" spans="1:12" hidden="1" x14ac:dyDescent="0.3">
      <c r="A2457" s="397" t="s">
        <v>5799</v>
      </c>
      <c r="C2457" s="397" t="s">
        <v>1053</v>
      </c>
      <c r="D2457" s="397" t="s">
        <v>5798</v>
      </c>
      <c r="E2457" s="397" t="s">
        <v>597</v>
      </c>
      <c r="F2457" s="397" t="s">
        <v>191</v>
      </c>
      <c r="G2457" s="396">
        <v>2</v>
      </c>
      <c r="H2457" s="395">
        <v>58418.975999999995</v>
      </c>
      <c r="I2457" s="394">
        <v>44454.78</v>
      </c>
      <c r="J2457" s="394">
        <v>83455.679999999993</v>
      </c>
      <c r="K2457" s="393" t="s">
        <v>1033</v>
      </c>
    </row>
    <row r="2458" spans="1:12" hidden="1" x14ac:dyDescent="0.3">
      <c r="A2458" s="397" t="s">
        <v>6536</v>
      </c>
      <c r="C2458" s="397" t="s">
        <v>1053</v>
      </c>
      <c r="D2458" s="397" t="s">
        <v>6535</v>
      </c>
      <c r="E2458" s="397" t="s">
        <v>6534</v>
      </c>
      <c r="F2458" s="397" t="s">
        <v>191</v>
      </c>
      <c r="G2458" s="396">
        <v>2</v>
      </c>
      <c r="H2458" s="395">
        <v>70573.629000000001</v>
      </c>
      <c r="I2458" s="394">
        <v>41422.980000000003</v>
      </c>
      <c r="J2458" s="394">
        <v>100819.47</v>
      </c>
      <c r="K2458" s="393" t="s">
        <v>1033</v>
      </c>
    </row>
    <row r="2459" spans="1:12" hidden="1" x14ac:dyDescent="0.3">
      <c r="A2459" s="397" t="s">
        <v>1523</v>
      </c>
      <c r="C2459" s="397" t="s">
        <v>1053</v>
      </c>
      <c r="D2459" s="397" t="s">
        <v>1522</v>
      </c>
      <c r="E2459" s="397" t="s">
        <v>1521</v>
      </c>
      <c r="F2459" s="397" t="s">
        <v>191</v>
      </c>
      <c r="G2459" s="396">
        <v>1</v>
      </c>
      <c r="H2459" s="395">
        <v>622490.10600000003</v>
      </c>
      <c r="I2459" s="394">
        <v>494637.10000000003</v>
      </c>
      <c r="J2459" s="394">
        <v>889271.58000000007</v>
      </c>
      <c r="K2459" s="393" t="s">
        <v>1033</v>
      </c>
    </row>
    <row r="2460" spans="1:12" hidden="1" x14ac:dyDescent="0.3">
      <c r="A2460" s="397" t="s">
        <v>1066</v>
      </c>
      <c r="C2460" s="397" t="s">
        <v>1034</v>
      </c>
      <c r="D2460" s="397" t="s">
        <v>1065</v>
      </c>
      <c r="E2460" s="397" t="s">
        <v>1064</v>
      </c>
      <c r="F2460" s="397" t="s">
        <v>416</v>
      </c>
      <c r="G2460" s="396">
        <v>1</v>
      </c>
      <c r="H2460" s="395">
        <v>99892.443000000014</v>
      </c>
      <c r="I2460" s="394">
        <v>74225.87</v>
      </c>
      <c r="J2460" s="394">
        <v>142703.49</v>
      </c>
      <c r="K2460" s="393" t="s">
        <v>1033</v>
      </c>
      <c r="L2460" s="395">
        <v>1</v>
      </c>
    </row>
    <row r="2461" spans="1:12" hidden="1" x14ac:dyDescent="0.3">
      <c r="A2461" s="397" t="s">
        <v>1887</v>
      </c>
      <c r="C2461" s="397" t="s">
        <v>1053</v>
      </c>
      <c r="D2461" s="397" t="s">
        <v>1886</v>
      </c>
      <c r="E2461" s="397" t="s">
        <v>1885</v>
      </c>
      <c r="F2461" s="397" t="s">
        <v>191</v>
      </c>
      <c r="G2461" s="396">
        <v>4</v>
      </c>
      <c r="H2461" s="395">
        <v>464028.06100000005</v>
      </c>
      <c r="I2461" s="394">
        <v>343206.41000000003</v>
      </c>
      <c r="J2461" s="394">
        <v>662897.23</v>
      </c>
      <c r="K2461" s="393" t="s">
        <v>1033</v>
      </c>
    </row>
    <row r="2462" spans="1:12" hidden="1" x14ac:dyDescent="0.3">
      <c r="A2462" s="397" t="s">
        <v>1584</v>
      </c>
      <c r="C2462" s="397" t="s">
        <v>1053</v>
      </c>
      <c r="D2462" s="397" t="s">
        <v>6769</v>
      </c>
      <c r="E2462" s="397" t="s">
        <v>6768</v>
      </c>
      <c r="F2462" s="397" t="s">
        <v>191</v>
      </c>
      <c r="G2462" s="396">
        <v>3</v>
      </c>
      <c r="H2462" s="395">
        <v>729063.48900000006</v>
      </c>
      <c r="I2462" s="394">
        <v>12724.32</v>
      </c>
      <c r="J2462" s="394">
        <v>1041519.27</v>
      </c>
      <c r="K2462" s="393" t="s">
        <v>1033</v>
      </c>
    </row>
    <row r="2463" spans="1:12" hidden="1" x14ac:dyDescent="0.3">
      <c r="A2463" s="397" t="s">
        <v>1584</v>
      </c>
      <c r="B2463" s="397" t="s">
        <v>1583</v>
      </c>
      <c r="C2463" s="397" t="s">
        <v>1053</v>
      </c>
      <c r="D2463" s="397" t="s">
        <v>1582</v>
      </c>
      <c r="E2463" s="397" t="s">
        <v>1581</v>
      </c>
      <c r="F2463" s="397" t="s">
        <v>191</v>
      </c>
      <c r="G2463" s="396">
        <v>93</v>
      </c>
      <c r="H2463" s="395">
        <v>77553.15400000001</v>
      </c>
      <c r="I2463" s="394">
        <v>73805.41</v>
      </c>
      <c r="J2463" s="394">
        <v>110790.22</v>
      </c>
      <c r="K2463" s="393" t="s">
        <v>1033</v>
      </c>
    </row>
    <row r="2464" spans="1:12" hidden="1" x14ac:dyDescent="0.3">
      <c r="A2464" s="397" t="s">
        <v>7257</v>
      </c>
      <c r="C2464" s="397" t="s">
        <v>1053</v>
      </c>
      <c r="D2464" s="397" t="s">
        <v>7256</v>
      </c>
      <c r="E2464" s="397" t="s">
        <v>7255</v>
      </c>
      <c r="F2464" s="397" t="s">
        <v>191</v>
      </c>
      <c r="G2464" s="396">
        <v>3</v>
      </c>
      <c r="H2464" s="395">
        <v>3094411.6489999997</v>
      </c>
      <c r="I2464" s="394">
        <v>1943937.77</v>
      </c>
      <c r="J2464" s="394">
        <v>4420588.07</v>
      </c>
      <c r="K2464" s="393" t="s">
        <v>1033</v>
      </c>
    </row>
    <row r="2465" spans="1:12" hidden="1" x14ac:dyDescent="0.3">
      <c r="A2465" s="397" t="s">
        <v>7259</v>
      </c>
      <c r="C2465" s="397" t="s">
        <v>1053</v>
      </c>
      <c r="D2465" s="397" t="s">
        <v>7258</v>
      </c>
      <c r="E2465" s="397" t="s">
        <v>7255</v>
      </c>
      <c r="F2465" s="397" t="s">
        <v>191</v>
      </c>
      <c r="G2465" s="396">
        <v>1</v>
      </c>
      <c r="H2465" s="395">
        <v>3074575.6719999998</v>
      </c>
      <c r="I2465" s="394">
        <v>3020294.64</v>
      </c>
      <c r="J2465" s="394">
        <v>4392250.96</v>
      </c>
      <c r="K2465" s="393" t="s">
        <v>1033</v>
      </c>
    </row>
    <row r="2466" spans="1:12" hidden="1" x14ac:dyDescent="0.3">
      <c r="A2466" s="397" t="s">
        <v>810</v>
      </c>
      <c r="C2466" s="397" t="s">
        <v>1053</v>
      </c>
      <c r="D2466" s="397" t="s">
        <v>809</v>
      </c>
      <c r="E2466" s="397" t="s">
        <v>808</v>
      </c>
      <c r="F2466" s="397" t="s">
        <v>191</v>
      </c>
      <c r="G2466" s="396">
        <v>2</v>
      </c>
      <c r="H2466" s="395">
        <v>134230.516</v>
      </c>
      <c r="I2466" s="394">
        <v>129172.85</v>
      </c>
      <c r="J2466" s="394">
        <v>191757.88</v>
      </c>
      <c r="K2466" s="393" t="s">
        <v>1033</v>
      </c>
    </row>
    <row r="2467" spans="1:12" hidden="1" x14ac:dyDescent="0.3">
      <c r="A2467" s="397" t="s">
        <v>856</v>
      </c>
      <c r="C2467" s="397" t="s">
        <v>1053</v>
      </c>
      <c r="D2467" s="397" t="s">
        <v>264</v>
      </c>
      <c r="E2467" s="397" t="s">
        <v>263</v>
      </c>
      <c r="F2467" s="397" t="s">
        <v>191</v>
      </c>
      <c r="G2467" s="396">
        <v>1</v>
      </c>
      <c r="H2467" s="395">
        <v>534994.201</v>
      </c>
      <c r="I2467" s="394">
        <v>399307.28</v>
      </c>
      <c r="J2467" s="394">
        <v>764277.43</v>
      </c>
      <c r="K2467" s="393" t="s">
        <v>1033</v>
      </c>
      <c r="L2467" s="395">
        <v>1</v>
      </c>
    </row>
    <row r="2468" spans="1:12" hidden="1" x14ac:dyDescent="0.3">
      <c r="A2468" s="397" t="s">
        <v>856</v>
      </c>
      <c r="C2468" s="397" t="s">
        <v>1053</v>
      </c>
      <c r="D2468" s="397" t="s">
        <v>4453</v>
      </c>
      <c r="E2468" s="397" t="s">
        <v>808</v>
      </c>
      <c r="F2468" s="397" t="s">
        <v>191</v>
      </c>
      <c r="G2468" s="396">
        <v>1</v>
      </c>
      <c r="H2468" s="395">
        <v>86032.898000000016</v>
      </c>
      <c r="I2468" s="394">
        <v>82789.72</v>
      </c>
      <c r="J2468" s="394">
        <v>122904.14</v>
      </c>
      <c r="K2468" s="393" t="s">
        <v>1033</v>
      </c>
    </row>
    <row r="2469" spans="1:12" hidden="1" x14ac:dyDescent="0.3">
      <c r="A2469" s="397" t="s">
        <v>856</v>
      </c>
      <c r="C2469" s="397" t="s">
        <v>1053</v>
      </c>
      <c r="D2469" s="397" t="s">
        <v>4452</v>
      </c>
      <c r="E2469" s="397" t="s">
        <v>808</v>
      </c>
      <c r="F2469" s="397" t="s">
        <v>191</v>
      </c>
      <c r="G2469" s="396">
        <v>1</v>
      </c>
      <c r="H2469" s="395">
        <v>75487.502999999997</v>
      </c>
      <c r="I2469" s="394">
        <v>73498.23</v>
      </c>
      <c r="J2469" s="394">
        <v>107839.29000000001</v>
      </c>
      <c r="K2469" s="393" t="s">
        <v>1033</v>
      </c>
    </row>
    <row r="2470" spans="1:12" hidden="1" x14ac:dyDescent="0.3">
      <c r="A2470" s="397" t="s">
        <v>6241</v>
      </c>
      <c r="C2470" s="397" t="s">
        <v>1053</v>
      </c>
      <c r="D2470" s="397" t="s">
        <v>6240</v>
      </c>
      <c r="E2470" s="397" t="s">
        <v>6239</v>
      </c>
      <c r="F2470" s="397" t="s">
        <v>191</v>
      </c>
      <c r="G2470" s="396">
        <v>1</v>
      </c>
      <c r="H2470" s="395">
        <v>72141.748000000007</v>
      </c>
      <c r="I2470" s="394">
        <v>51145.1</v>
      </c>
      <c r="J2470" s="394">
        <v>103059.64</v>
      </c>
      <c r="K2470" s="393" t="s">
        <v>1033</v>
      </c>
    </row>
    <row r="2471" spans="1:12" hidden="1" x14ac:dyDescent="0.3">
      <c r="A2471" s="397" t="s">
        <v>6214</v>
      </c>
      <c r="C2471" s="397" t="s">
        <v>1053</v>
      </c>
      <c r="D2471" s="397" t="s">
        <v>6213</v>
      </c>
      <c r="E2471" s="397" t="s">
        <v>6200</v>
      </c>
      <c r="F2471" s="397" t="s">
        <v>191</v>
      </c>
      <c r="G2471" s="396">
        <v>5</v>
      </c>
      <c r="H2471" s="395">
        <v>75656.805000000008</v>
      </c>
      <c r="I2471" s="394">
        <v>73220.740000000005</v>
      </c>
      <c r="J2471" s="394">
        <v>108081.15000000001</v>
      </c>
      <c r="K2471" s="393" t="s">
        <v>1033</v>
      </c>
    </row>
    <row r="2472" spans="1:12" hidden="1" x14ac:dyDescent="0.3">
      <c r="A2472" s="397" t="s">
        <v>6219</v>
      </c>
      <c r="C2472" s="397" t="s">
        <v>1053</v>
      </c>
      <c r="D2472" s="397" t="s">
        <v>6218</v>
      </c>
      <c r="E2472" s="397" t="s">
        <v>6217</v>
      </c>
      <c r="F2472" s="397" t="s">
        <v>191</v>
      </c>
      <c r="G2472" s="396">
        <v>2</v>
      </c>
      <c r="H2472" s="395">
        <v>911086.05700000003</v>
      </c>
      <c r="I2472" s="394">
        <v>51449.16</v>
      </c>
      <c r="J2472" s="394">
        <v>1301551.51</v>
      </c>
      <c r="K2472" s="393" t="s">
        <v>1033</v>
      </c>
    </row>
    <row r="2473" spans="1:12" hidden="1" x14ac:dyDescent="0.3">
      <c r="A2473" s="397" t="s">
        <v>6256</v>
      </c>
      <c r="C2473" s="397" t="s">
        <v>1053</v>
      </c>
      <c r="D2473" s="397" t="s">
        <v>6255</v>
      </c>
      <c r="E2473" s="397" t="s">
        <v>6197</v>
      </c>
      <c r="F2473" s="397" t="s">
        <v>191</v>
      </c>
      <c r="G2473" s="396">
        <v>4</v>
      </c>
      <c r="H2473" s="395">
        <v>85150.394</v>
      </c>
      <c r="I2473" s="394">
        <v>4016.94</v>
      </c>
      <c r="J2473" s="394">
        <v>121643.42</v>
      </c>
      <c r="K2473" s="393" t="s">
        <v>1033</v>
      </c>
      <c r="L2473" s="395">
        <v>1</v>
      </c>
    </row>
    <row r="2474" spans="1:12" hidden="1" x14ac:dyDescent="0.3">
      <c r="A2474" s="397" t="s">
        <v>6251</v>
      </c>
      <c r="C2474" s="397" t="s">
        <v>1053</v>
      </c>
      <c r="D2474" s="397" t="s">
        <v>6250</v>
      </c>
      <c r="E2474" s="397" t="s">
        <v>6197</v>
      </c>
      <c r="F2474" s="397" t="s">
        <v>191</v>
      </c>
      <c r="G2474" s="396">
        <v>5</v>
      </c>
      <c r="H2474" s="395">
        <v>83833.630999999994</v>
      </c>
      <c r="I2474" s="394">
        <v>81163.42</v>
      </c>
      <c r="J2474" s="394">
        <v>119762.33</v>
      </c>
      <c r="K2474" s="393" t="s">
        <v>1033</v>
      </c>
    </row>
    <row r="2475" spans="1:12" hidden="1" x14ac:dyDescent="0.3">
      <c r="A2475" s="397" t="s">
        <v>6301</v>
      </c>
      <c r="C2475" s="397" t="s">
        <v>1053</v>
      </c>
      <c r="D2475" s="397" t="s">
        <v>6300</v>
      </c>
      <c r="E2475" s="397" t="s">
        <v>563</v>
      </c>
      <c r="F2475" s="397" t="s">
        <v>191</v>
      </c>
      <c r="G2475" s="396">
        <v>2</v>
      </c>
      <c r="H2475" s="395">
        <v>305894.61700000003</v>
      </c>
      <c r="I2475" s="394">
        <v>10637.49</v>
      </c>
      <c r="J2475" s="394">
        <v>436992.31</v>
      </c>
      <c r="K2475" s="393" t="s">
        <v>1033</v>
      </c>
    </row>
    <row r="2476" spans="1:12" hidden="1" x14ac:dyDescent="0.3">
      <c r="A2476" s="397" t="s">
        <v>1041</v>
      </c>
      <c r="C2476" s="397" t="s">
        <v>1034</v>
      </c>
      <c r="D2476" s="397" t="s">
        <v>1050</v>
      </c>
      <c r="E2476" s="397" t="s">
        <v>1049</v>
      </c>
      <c r="F2476" s="397" t="s">
        <v>416</v>
      </c>
      <c r="G2476" s="396">
        <v>1</v>
      </c>
      <c r="H2476" s="395">
        <v>114370.41</v>
      </c>
      <c r="I2476" s="394">
        <v>109971.54000000001</v>
      </c>
      <c r="J2476" s="394">
        <v>163386.29999999999</v>
      </c>
      <c r="K2476" s="393" t="s">
        <v>1033</v>
      </c>
    </row>
    <row r="2477" spans="1:12" hidden="1" x14ac:dyDescent="0.3">
      <c r="A2477" s="397" t="s">
        <v>1041</v>
      </c>
      <c r="C2477" s="397" t="s">
        <v>1034</v>
      </c>
      <c r="D2477" s="397" t="s">
        <v>1045</v>
      </c>
      <c r="E2477" s="397" t="s">
        <v>1044</v>
      </c>
      <c r="F2477" s="397" t="s">
        <v>416</v>
      </c>
      <c r="G2477" s="396">
        <v>1</v>
      </c>
      <c r="H2477" s="395">
        <v>232064.889</v>
      </c>
      <c r="I2477" s="394">
        <v>212346.98</v>
      </c>
      <c r="J2477" s="394">
        <v>331521.27</v>
      </c>
      <c r="K2477" s="393" t="s">
        <v>1033</v>
      </c>
    </row>
    <row r="2478" spans="1:12" hidden="1" x14ac:dyDescent="0.3">
      <c r="A2478" s="397" t="s">
        <v>1041</v>
      </c>
      <c r="C2478" s="397" t="s">
        <v>1034</v>
      </c>
      <c r="D2478" s="397" t="s">
        <v>1043</v>
      </c>
      <c r="E2478" s="397" t="s">
        <v>1042</v>
      </c>
      <c r="F2478" s="397" t="s">
        <v>416</v>
      </c>
      <c r="G2478" s="396">
        <v>1</v>
      </c>
      <c r="H2478" s="395">
        <v>95903.856999999989</v>
      </c>
      <c r="I2478" s="394">
        <v>53758.020000000004</v>
      </c>
      <c r="J2478" s="394">
        <v>137005.51</v>
      </c>
      <c r="K2478" s="393" t="s">
        <v>1033</v>
      </c>
    </row>
    <row r="2479" spans="1:12" hidden="1" x14ac:dyDescent="0.3">
      <c r="A2479" s="397" t="s">
        <v>1041</v>
      </c>
      <c r="C2479" s="397" t="s">
        <v>1034</v>
      </c>
      <c r="D2479" s="397" t="s">
        <v>1040</v>
      </c>
      <c r="E2479" s="397" t="s">
        <v>1039</v>
      </c>
      <c r="F2479" s="397" t="s">
        <v>416</v>
      </c>
      <c r="G2479" s="396">
        <v>1</v>
      </c>
      <c r="H2479" s="395">
        <v>34817.85</v>
      </c>
      <c r="I2479" s="394">
        <v>31636.799999999999</v>
      </c>
      <c r="J2479" s="394">
        <v>58029.75</v>
      </c>
      <c r="K2479" s="393" t="s">
        <v>1033</v>
      </c>
    </row>
    <row r="2480" spans="1:12" hidden="1" x14ac:dyDescent="0.3">
      <c r="A2480" s="397" t="s">
        <v>1499</v>
      </c>
      <c r="C2480" s="397" t="s">
        <v>1053</v>
      </c>
      <c r="D2480" s="397" t="s">
        <v>1498</v>
      </c>
      <c r="E2480" s="397" t="s">
        <v>1497</v>
      </c>
      <c r="F2480" s="397" t="s">
        <v>191</v>
      </c>
      <c r="G2480" s="396">
        <v>7</v>
      </c>
      <c r="H2480" s="395">
        <v>228264.51199999996</v>
      </c>
      <c r="I2480" s="394">
        <v>222697.08000000002</v>
      </c>
      <c r="J2480" s="394">
        <v>326092.15999999997</v>
      </c>
      <c r="K2480" s="393" t="s">
        <v>1033</v>
      </c>
      <c r="L2480" s="395">
        <v>4</v>
      </c>
    </row>
    <row r="2481" spans="1:12" hidden="1" x14ac:dyDescent="0.3">
      <c r="A2481" s="397" t="s">
        <v>6622</v>
      </c>
      <c r="C2481" s="397" t="s">
        <v>1053</v>
      </c>
      <c r="D2481" s="397" t="s">
        <v>6621</v>
      </c>
      <c r="E2481" s="397" t="s">
        <v>6620</v>
      </c>
      <c r="F2481" s="397" t="s">
        <v>191</v>
      </c>
      <c r="G2481" s="396">
        <v>12</v>
      </c>
      <c r="H2481" s="395">
        <v>135920.88</v>
      </c>
      <c r="I2481" s="394">
        <v>135921.49</v>
      </c>
      <c r="J2481" s="394">
        <v>226534.80000000002</v>
      </c>
      <c r="K2481" s="393" t="s">
        <v>1033</v>
      </c>
    </row>
    <row r="2482" spans="1:12" hidden="1" x14ac:dyDescent="0.3">
      <c r="A2482" s="397" t="s">
        <v>6073</v>
      </c>
      <c r="C2482" s="397" t="s">
        <v>1053</v>
      </c>
      <c r="D2482" s="397" t="s">
        <v>6072</v>
      </c>
      <c r="E2482" s="397" t="s">
        <v>6071</v>
      </c>
      <c r="F2482" s="397" t="s">
        <v>191</v>
      </c>
      <c r="G2482" s="396">
        <v>12</v>
      </c>
      <c r="H2482" s="395">
        <v>130251.485</v>
      </c>
      <c r="I2482" s="394">
        <v>117522.31</v>
      </c>
      <c r="J2482" s="394">
        <v>186073.55000000002</v>
      </c>
      <c r="K2482" s="393" t="s">
        <v>1033</v>
      </c>
    </row>
    <row r="2483" spans="1:12" hidden="1" x14ac:dyDescent="0.3">
      <c r="A2483" s="397" t="s">
        <v>7349</v>
      </c>
      <c r="C2483" s="397" t="s">
        <v>1053</v>
      </c>
      <c r="D2483" s="397" t="s">
        <v>7348</v>
      </c>
      <c r="E2483" s="397" t="s">
        <v>7347</v>
      </c>
      <c r="F2483" s="397" t="s">
        <v>191</v>
      </c>
      <c r="G2483" s="396">
        <v>10</v>
      </c>
      <c r="H2483" s="395">
        <v>97012.278000000006</v>
      </c>
      <c r="I2483" s="394">
        <v>98153.62</v>
      </c>
      <c r="J2483" s="394">
        <v>161687.13</v>
      </c>
      <c r="K2483" s="393" t="s">
        <v>1033</v>
      </c>
    </row>
    <row r="2484" spans="1:12" hidden="1" x14ac:dyDescent="0.3">
      <c r="A2484" s="397" t="s">
        <v>7449</v>
      </c>
      <c r="C2484" s="397" t="s">
        <v>1053</v>
      </c>
      <c r="D2484" s="397" t="s">
        <v>7448</v>
      </c>
      <c r="E2484" s="397" t="s">
        <v>7447</v>
      </c>
      <c r="F2484" s="397" t="s">
        <v>191</v>
      </c>
      <c r="G2484" s="396">
        <v>4</v>
      </c>
      <c r="H2484" s="395">
        <v>224374.38600000003</v>
      </c>
      <c r="I2484" s="394">
        <v>253859.28</v>
      </c>
      <c r="J2484" s="394">
        <v>373957.31</v>
      </c>
      <c r="K2484" s="393" t="s">
        <v>1033</v>
      </c>
    </row>
    <row r="2485" spans="1:12" hidden="1" x14ac:dyDescent="0.3">
      <c r="A2485" s="397" t="s">
        <v>7828</v>
      </c>
      <c r="C2485" s="397" t="s">
        <v>1053</v>
      </c>
      <c r="D2485" s="397" t="s">
        <v>7827</v>
      </c>
      <c r="E2485" s="397" t="s">
        <v>7826</v>
      </c>
      <c r="F2485" s="397" t="s">
        <v>191</v>
      </c>
      <c r="G2485" s="396">
        <v>4</v>
      </c>
      <c r="H2485" s="395">
        <v>162561.82800000001</v>
      </c>
      <c r="I2485" s="394">
        <v>145687.85</v>
      </c>
      <c r="J2485" s="394">
        <v>270936.38</v>
      </c>
      <c r="K2485" s="393" t="s">
        <v>1033</v>
      </c>
      <c r="L2485" s="395">
        <v>2</v>
      </c>
    </row>
    <row r="2486" spans="1:12" hidden="1" x14ac:dyDescent="0.3">
      <c r="A2486" s="397" t="s">
        <v>7648</v>
      </c>
      <c r="C2486" s="397" t="s">
        <v>1053</v>
      </c>
      <c r="D2486" s="397" t="s">
        <v>7647</v>
      </c>
      <c r="E2486" s="397" t="s">
        <v>7646</v>
      </c>
      <c r="F2486" s="397" t="s">
        <v>191</v>
      </c>
      <c r="G2486" s="396">
        <v>3</v>
      </c>
      <c r="H2486" s="395">
        <v>222122.565</v>
      </c>
      <c r="I2486" s="394">
        <v>50791.79</v>
      </c>
      <c r="J2486" s="394">
        <v>317317.95</v>
      </c>
      <c r="K2486" s="393" t="s">
        <v>1033</v>
      </c>
    </row>
    <row r="2487" spans="1:12" hidden="1" x14ac:dyDescent="0.3">
      <c r="A2487" s="397" t="s">
        <v>5269</v>
      </c>
      <c r="C2487" s="397" t="s">
        <v>1053</v>
      </c>
      <c r="D2487" s="397" t="s">
        <v>5268</v>
      </c>
      <c r="E2487" s="397" t="s">
        <v>610</v>
      </c>
      <c r="F2487" s="397" t="s">
        <v>191</v>
      </c>
      <c r="G2487" s="396">
        <v>1</v>
      </c>
      <c r="H2487" s="395">
        <v>710487.5959999999</v>
      </c>
      <c r="I2487" s="394">
        <v>68379.039999999994</v>
      </c>
      <c r="J2487" s="394">
        <v>1014982.28</v>
      </c>
      <c r="K2487" s="393" t="s">
        <v>1033</v>
      </c>
    </row>
    <row r="2488" spans="1:12" hidden="1" x14ac:dyDescent="0.3">
      <c r="A2488" s="397" t="s">
        <v>5243</v>
      </c>
      <c r="C2488" s="397" t="s">
        <v>1053</v>
      </c>
      <c r="D2488" s="397" t="s">
        <v>5242</v>
      </c>
      <c r="E2488" s="397" t="s">
        <v>610</v>
      </c>
      <c r="F2488" s="397" t="s">
        <v>191</v>
      </c>
      <c r="G2488" s="396">
        <v>1</v>
      </c>
      <c r="H2488" s="395">
        <v>475590.48600000003</v>
      </c>
      <c r="I2488" s="394">
        <v>4533.5200000000004</v>
      </c>
      <c r="J2488" s="394">
        <v>679414.98</v>
      </c>
      <c r="K2488" s="393" t="s">
        <v>1033</v>
      </c>
    </row>
    <row r="2489" spans="1:12" hidden="1" x14ac:dyDescent="0.3">
      <c r="A2489" s="397" t="s">
        <v>5280</v>
      </c>
      <c r="C2489" s="397" t="s">
        <v>1053</v>
      </c>
      <c r="D2489" s="397" t="s">
        <v>5279</v>
      </c>
      <c r="E2489" s="397" t="s">
        <v>5278</v>
      </c>
      <c r="F2489" s="397" t="s">
        <v>191</v>
      </c>
      <c r="G2489" s="396">
        <v>1</v>
      </c>
      <c r="H2489" s="395">
        <v>623938.777</v>
      </c>
      <c r="I2489" s="394">
        <v>37327.519999999997</v>
      </c>
      <c r="J2489" s="394">
        <v>891341.11</v>
      </c>
      <c r="K2489" s="393" t="s">
        <v>1033</v>
      </c>
    </row>
    <row r="2490" spans="1:12" hidden="1" x14ac:dyDescent="0.3">
      <c r="A2490" s="397" t="s">
        <v>5277</v>
      </c>
      <c r="C2490" s="397" t="s">
        <v>1053</v>
      </c>
      <c r="D2490" s="397" t="s">
        <v>5276</v>
      </c>
      <c r="E2490" s="397" t="s">
        <v>5275</v>
      </c>
      <c r="F2490" s="397" t="s">
        <v>191</v>
      </c>
      <c r="G2490" s="396">
        <v>1</v>
      </c>
      <c r="H2490" s="395">
        <v>623938.777</v>
      </c>
      <c r="I2490" s="394">
        <v>28890.09</v>
      </c>
      <c r="J2490" s="394">
        <v>891341.11</v>
      </c>
      <c r="K2490" s="393" t="s">
        <v>1033</v>
      </c>
    </row>
    <row r="2491" spans="1:12" hidden="1" x14ac:dyDescent="0.3">
      <c r="A2491" s="397" t="s">
        <v>5282</v>
      </c>
      <c r="C2491" s="397" t="s">
        <v>1053</v>
      </c>
      <c r="D2491" s="397" t="s">
        <v>5281</v>
      </c>
      <c r="E2491" s="397" t="s">
        <v>610</v>
      </c>
      <c r="F2491" s="397" t="s">
        <v>191</v>
      </c>
      <c r="G2491" s="396">
        <v>1</v>
      </c>
      <c r="H2491" s="395">
        <v>551593.94500000007</v>
      </c>
      <c r="I2491" s="394">
        <v>15924.34</v>
      </c>
      <c r="J2491" s="394">
        <v>787991.35</v>
      </c>
      <c r="K2491" s="393" t="s">
        <v>1033</v>
      </c>
    </row>
    <row r="2492" spans="1:12" hidden="1" x14ac:dyDescent="0.3">
      <c r="A2492" s="397" t="s">
        <v>5236</v>
      </c>
      <c r="C2492" s="397" t="s">
        <v>1053</v>
      </c>
      <c r="D2492" s="397" t="s">
        <v>5235</v>
      </c>
      <c r="E2492" s="397" t="s">
        <v>610</v>
      </c>
      <c r="F2492" s="397" t="s">
        <v>191</v>
      </c>
      <c r="G2492" s="396">
        <v>1</v>
      </c>
      <c r="H2492" s="395">
        <v>558627.16700000002</v>
      </c>
      <c r="I2492" s="394">
        <v>2708.71</v>
      </c>
      <c r="J2492" s="394">
        <v>798038.81</v>
      </c>
      <c r="K2492" s="393" t="s">
        <v>1033</v>
      </c>
    </row>
    <row r="2493" spans="1:12" hidden="1" x14ac:dyDescent="0.3">
      <c r="A2493" s="397" t="s">
        <v>5072</v>
      </c>
      <c r="C2493" s="397" t="s">
        <v>1053</v>
      </c>
      <c r="D2493" s="397" t="s">
        <v>5071</v>
      </c>
      <c r="E2493" s="397" t="s">
        <v>612</v>
      </c>
      <c r="F2493" s="397" t="s">
        <v>191</v>
      </c>
      <c r="G2493" s="396">
        <v>1</v>
      </c>
      <c r="H2493" s="395">
        <v>290617.98499999999</v>
      </c>
      <c r="I2493" s="394">
        <v>7681.5</v>
      </c>
      <c r="J2493" s="394">
        <v>415168.55</v>
      </c>
      <c r="K2493" s="393" t="s">
        <v>1033</v>
      </c>
    </row>
    <row r="2494" spans="1:12" hidden="1" x14ac:dyDescent="0.3">
      <c r="A2494" s="397" t="s">
        <v>1676</v>
      </c>
      <c r="C2494" s="397" t="s">
        <v>1053</v>
      </c>
      <c r="D2494" s="397" t="s">
        <v>1675</v>
      </c>
      <c r="E2494" s="397" t="s">
        <v>1674</v>
      </c>
      <c r="F2494" s="397" t="s">
        <v>191</v>
      </c>
      <c r="G2494" s="396">
        <v>2</v>
      </c>
      <c r="H2494" s="395">
        <v>92977.5</v>
      </c>
      <c r="I2494" s="394">
        <v>61107.15</v>
      </c>
      <c r="J2494" s="394">
        <v>132825</v>
      </c>
      <c r="K2494" s="393" t="s">
        <v>1033</v>
      </c>
      <c r="L2494" s="395">
        <v>1</v>
      </c>
    </row>
    <row r="2495" spans="1:12" hidden="1" x14ac:dyDescent="0.3">
      <c r="A2495" s="397" t="s">
        <v>833</v>
      </c>
      <c r="C2495" s="397" t="s">
        <v>1053</v>
      </c>
      <c r="D2495" s="397" t="s">
        <v>587</v>
      </c>
      <c r="E2495" s="397" t="s">
        <v>270</v>
      </c>
      <c r="F2495" s="397" t="s">
        <v>191</v>
      </c>
      <c r="G2495" s="396">
        <v>2</v>
      </c>
      <c r="H2495" s="395">
        <v>449642.95599999995</v>
      </c>
      <c r="I2495" s="394">
        <v>17385.7</v>
      </c>
      <c r="J2495" s="394">
        <v>642347.07999999996</v>
      </c>
      <c r="K2495" s="393" t="s">
        <v>1033</v>
      </c>
    </row>
    <row r="2496" spans="1:12" hidden="1" x14ac:dyDescent="0.3">
      <c r="A2496" s="397" t="s">
        <v>5813</v>
      </c>
      <c r="C2496" s="397" t="s">
        <v>1053</v>
      </c>
      <c r="D2496" s="397" t="s">
        <v>5812</v>
      </c>
      <c r="E2496" s="397" t="s">
        <v>5811</v>
      </c>
      <c r="F2496" s="397" t="s">
        <v>191</v>
      </c>
      <c r="G2496" s="396">
        <v>1</v>
      </c>
      <c r="H2496" s="395">
        <v>506564.61100000003</v>
      </c>
      <c r="I2496" s="394">
        <v>501151.45</v>
      </c>
      <c r="J2496" s="394">
        <v>723663.73</v>
      </c>
      <c r="K2496" s="393" t="s">
        <v>1033</v>
      </c>
    </row>
    <row r="2497" spans="1:12" hidden="1" x14ac:dyDescent="0.3">
      <c r="A2497" s="397" t="s">
        <v>5375</v>
      </c>
      <c r="C2497" s="397" t="s">
        <v>1053</v>
      </c>
      <c r="D2497" s="397" t="s">
        <v>5374</v>
      </c>
      <c r="E2497" s="397" t="s">
        <v>5373</v>
      </c>
      <c r="F2497" s="397" t="s">
        <v>191</v>
      </c>
      <c r="G2497" s="396">
        <v>4</v>
      </c>
      <c r="H2497" s="395">
        <v>70618.547999999995</v>
      </c>
      <c r="I2497" s="394">
        <v>3141.85</v>
      </c>
      <c r="J2497" s="394">
        <v>100883.64</v>
      </c>
      <c r="K2497" s="393" t="s">
        <v>1033</v>
      </c>
    </row>
    <row r="2498" spans="1:12" hidden="1" x14ac:dyDescent="0.3">
      <c r="A2498" s="397" t="s">
        <v>5460</v>
      </c>
      <c r="C2498" s="397" t="s">
        <v>1053</v>
      </c>
      <c r="D2498" s="397" t="s">
        <v>5459</v>
      </c>
      <c r="E2498" s="397" t="s">
        <v>5458</v>
      </c>
      <c r="F2498" s="397" t="s">
        <v>191</v>
      </c>
      <c r="G2498" s="396">
        <v>1</v>
      </c>
      <c r="H2498" s="395">
        <v>83005.440000000002</v>
      </c>
      <c r="I2498" s="394">
        <v>17577</v>
      </c>
      <c r="J2498" s="394">
        <v>118579.2</v>
      </c>
      <c r="K2498" s="393" t="s">
        <v>1033</v>
      </c>
    </row>
    <row r="2499" spans="1:12" hidden="1" x14ac:dyDescent="0.3">
      <c r="A2499" s="397" t="s">
        <v>5384</v>
      </c>
      <c r="C2499" s="397" t="s">
        <v>1053</v>
      </c>
      <c r="D2499" s="397" t="s">
        <v>5383</v>
      </c>
      <c r="E2499" s="397" t="s">
        <v>5382</v>
      </c>
      <c r="F2499" s="397" t="s">
        <v>191</v>
      </c>
      <c r="G2499" s="396">
        <v>1</v>
      </c>
      <c r="H2499" s="395">
        <v>104712.811</v>
      </c>
      <c r="I2499" s="394">
        <v>97923.95</v>
      </c>
      <c r="J2499" s="394">
        <v>149589.73000000001</v>
      </c>
      <c r="K2499" s="393" t="s">
        <v>1033</v>
      </c>
    </row>
    <row r="2500" spans="1:12" hidden="1" x14ac:dyDescent="0.3">
      <c r="A2500" s="397" t="s">
        <v>5909</v>
      </c>
      <c r="C2500" s="397" t="s">
        <v>1053</v>
      </c>
      <c r="D2500" s="397" t="s">
        <v>5908</v>
      </c>
      <c r="E2500" s="397" t="s">
        <v>5902</v>
      </c>
      <c r="F2500" s="397" t="s">
        <v>191</v>
      </c>
      <c r="G2500" s="396">
        <v>1</v>
      </c>
      <c r="H2500" s="395">
        <v>647296.79700000002</v>
      </c>
      <c r="I2500" s="394">
        <v>2109.37</v>
      </c>
      <c r="J2500" s="394">
        <v>924709.71</v>
      </c>
      <c r="K2500" s="393" t="s">
        <v>1033</v>
      </c>
    </row>
    <row r="2501" spans="1:12" hidden="1" x14ac:dyDescent="0.3">
      <c r="A2501" s="397" t="s">
        <v>5921</v>
      </c>
      <c r="C2501" s="397" t="s">
        <v>1053</v>
      </c>
      <c r="D2501" s="397" t="s">
        <v>5920</v>
      </c>
      <c r="E2501" s="397" t="s">
        <v>5919</v>
      </c>
      <c r="F2501" s="397" t="s">
        <v>191</v>
      </c>
      <c r="G2501" s="396">
        <v>1</v>
      </c>
      <c r="H2501" s="395">
        <v>485498.60100000002</v>
      </c>
      <c r="I2501" s="394">
        <v>434554.2</v>
      </c>
      <c r="J2501" s="394">
        <v>693569.43</v>
      </c>
      <c r="K2501" s="393" t="s">
        <v>1033</v>
      </c>
    </row>
    <row r="2502" spans="1:12" hidden="1" x14ac:dyDescent="0.3">
      <c r="A2502" s="397" t="s">
        <v>831</v>
      </c>
      <c r="C2502" s="397" t="s">
        <v>1053</v>
      </c>
      <c r="D2502" s="397" t="s">
        <v>269</v>
      </c>
      <c r="E2502" s="397" t="s">
        <v>268</v>
      </c>
      <c r="F2502" s="397" t="s">
        <v>191</v>
      </c>
      <c r="G2502" s="396">
        <v>1</v>
      </c>
      <c r="H2502" s="395">
        <v>432414.64700000006</v>
      </c>
      <c r="I2502" s="394">
        <v>418480.31</v>
      </c>
      <c r="J2502" s="394">
        <v>617735.21</v>
      </c>
      <c r="K2502" s="393" t="s">
        <v>1033</v>
      </c>
      <c r="L2502" s="395">
        <v>1</v>
      </c>
    </row>
    <row r="2503" spans="1:12" hidden="1" x14ac:dyDescent="0.3">
      <c r="A2503" s="397" t="s">
        <v>5904</v>
      </c>
      <c r="C2503" s="397" t="s">
        <v>1053</v>
      </c>
      <c r="D2503" s="397" t="s">
        <v>5903</v>
      </c>
      <c r="E2503" s="397" t="s">
        <v>5902</v>
      </c>
      <c r="F2503" s="397" t="s">
        <v>191</v>
      </c>
      <c r="G2503" s="396">
        <v>1</v>
      </c>
      <c r="H2503" s="395">
        <v>363285.31400000001</v>
      </c>
      <c r="I2503" s="394">
        <v>333457.84999999998</v>
      </c>
      <c r="J2503" s="394">
        <v>518979.02</v>
      </c>
      <c r="K2503" s="393" t="s">
        <v>1033</v>
      </c>
    </row>
    <row r="2504" spans="1:12" hidden="1" x14ac:dyDescent="0.3">
      <c r="A2504" s="397" t="s">
        <v>5901</v>
      </c>
      <c r="C2504" s="397" t="s">
        <v>1053</v>
      </c>
      <c r="D2504" s="397" t="s">
        <v>5911</v>
      </c>
      <c r="E2504" s="397" t="s">
        <v>5910</v>
      </c>
      <c r="F2504" s="397" t="s">
        <v>191</v>
      </c>
      <c r="G2504" s="396">
        <v>2</v>
      </c>
      <c r="H2504" s="395">
        <v>494119.52100000001</v>
      </c>
      <c r="I2504" s="394">
        <v>316111.13</v>
      </c>
      <c r="J2504" s="394">
        <v>705885.03</v>
      </c>
      <c r="K2504" s="393" t="s">
        <v>1033</v>
      </c>
    </row>
    <row r="2505" spans="1:12" hidden="1" x14ac:dyDescent="0.3">
      <c r="A2505" s="397" t="s">
        <v>5901</v>
      </c>
      <c r="C2505" s="397" t="s">
        <v>1053</v>
      </c>
      <c r="D2505" s="397" t="s">
        <v>5900</v>
      </c>
      <c r="E2505" s="397" t="s">
        <v>5899</v>
      </c>
      <c r="F2505" s="397" t="s">
        <v>191</v>
      </c>
      <c r="G2505" s="396">
        <v>2</v>
      </c>
      <c r="H2505" s="395">
        <v>464282.80499999999</v>
      </c>
      <c r="I2505" s="394">
        <v>449158.32</v>
      </c>
      <c r="J2505" s="394">
        <v>663261.15</v>
      </c>
      <c r="K2505" s="393" t="s">
        <v>1033</v>
      </c>
    </row>
    <row r="2506" spans="1:12" hidden="1" x14ac:dyDescent="0.3">
      <c r="A2506" s="397" t="s">
        <v>5915</v>
      </c>
      <c r="C2506" s="397" t="s">
        <v>1053</v>
      </c>
      <c r="D2506" s="397" t="s">
        <v>5914</v>
      </c>
      <c r="E2506" s="397" t="s">
        <v>270</v>
      </c>
      <c r="F2506" s="397" t="s">
        <v>191</v>
      </c>
      <c r="G2506" s="396">
        <v>1</v>
      </c>
      <c r="H2506" s="395">
        <v>555065.06299999997</v>
      </c>
      <c r="I2506" s="394">
        <v>100754.99</v>
      </c>
      <c r="J2506" s="394">
        <v>792950.09</v>
      </c>
      <c r="K2506" s="393" t="s">
        <v>1033</v>
      </c>
    </row>
    <row r="2507" spans="1:12" hidden="1" x14ac:dyDescent="0.3">
      <c r="A2507" s="397" t="s">
        <v>5807</v>
      </c>
      <c r="C2507" s="397" t="s">
        <v>1053</v>
      </c>
      <c r="D2507" s="397" t="s">
        <v>5806</v>
      </c>
      <c r="E2507" s="397" t="s">
        <v>5803</v>
      </c>
      <c r="F2507" s="397" t="s">
        <v>191</v>
      </c>
      <c r="G2507" s="396">
        <v>1</v>
      </c>
      <c r="H2507" s="395">
        <v>467490.68799999997</v>
      </c>
      <c r="I2507" s="394">
        <v>461734.38</v>
      </c>
      <c r="J2507" s="394">
        <v>667843.83999999997</v>
      </c>
      <c r="K2507" s="393" t="s">
        <v>1033</v>
      </c>
    </row>
    <row r="2508" spans="1:12" hidden="1" x14ac:dyDescent="0.3">
      <c r="A2508" s="397" t="s">
        <v>5805</v>
      </c>
      <c r="C2508" s="397" t="s">
        <v>1053</v>
      </c>
      <c r="D2508" s="397" t="s">
        <v>5804</v>
      </c>
      <c r="E2508" s="397" t="s">
        <v>5803</v>
      </c>
      <c r="F2508" s="397" t="s">
        <v>191</v>
      </c>
      <c r="G2508" s="396">
        <v>1</v>
      </c>
      <c r="H2508" s="395">
        <v>385221.16499999998</v>
      </c>
      <c r="I2508" s="394">
        <v>372875.13</v>
      </c>
      <c r="J2508" s="394">
        <v>550315.94999999995</v>
      </c>
      <c r="K2508" s="393" t="s">
        <v>1033</v>
      </c>
    </row>
    <row r="2509" spans="1:12" hidden="1" x14ac:dyDescent="0.3">
      <c r="A2509" s="397" t="s">
        <v>5918</v>
      </c>
      <c r="C2509" s="397" t="s">
        <v>1053</v>
      </c>
      <c r="D2509" s="397" t="s">
        <v>5917</v>
      </c>
      <c r="E2509" s="397" t="s">
        <v>5916</v>
      </c>
      <c r="F2509" s="397" t="s">
        <v>191</v>
      </c>
      <c r="G2509" s="396">
        <v>1</v>
      </c>
      <c r="H2509" s="395">
        <v>501627.71399999998</v>
      </c>
      <c r="I2509" s="394">
        <v>459231.31</v>
      </c>
      <c r="J2509" s="394">
        <v>716611.02</v>
      </c>
      <c r="K2509" s="393" t="s">
        <v>1033</v>
      </c>
    </row>
    <row r="2510" spans="1:12" hidden="1" x14ac:dyDescent="0.3">
      <c r="A2510" s="397" t="s">
        <v>5907</v>
      </c>
      <c r="C2510" s="397" t="s">
        <v>1053</v>
      </c>
      <c r="D2510" s="397" t="s">
        <v>5913</v>
      </c>
      <c r="E2510" s="397" t="s">
        <v>5912</v>
      </c>
      <c r="F2510" s="397" t="s">
        <v>191</v>
      </c>
      <c r="G2510" s="396">
        <v>1</v>
      </c>
      <c r="H2510" s="395">
        <v>523873.53899999999</v>
      </c>
      <c r="I2510" s="394">
        <v>506830.3</v>
      </c>
      <c r="J2510" s="394">
        <v>748390.77</v>
      </c>
      <c r="K2510" s="393" t="s">
        <v>1033</v>
      </c>
    </row>
    <row r="2511" spans="1:12" hidden="1" x14ac:dyDescent="0.3">
      <c r="A2511" s="397" t="s">
        <v>5907</v>
      </c>
      <c r="C2511" s="397" t="s">
        <v>1053</v>
      </c>
      <c r="D2511" s="397" t="s">
        <v>5906</v>
      </c>
      <c r="E2511" s="397" t="s">
        <v>5905</v>
      </c>
      <c r="F2511" s="397" t="s">
        <v>191</v>
      </c>
      <c r="G2511" s="396">
        <v>1</v>
      </c>
      <c r="H2511" s="395">
        <v>511830.46600000001</v>
      </c>
      <c r="I2511" s="394">
        <v>502606.72000000003</v>
      </c>
      <c r="J2511" s="394">
        <v>731186.38</v>
      </c>
      <c r="K2511" s="393" t="s">
        <v>1033</v>
      </c>
    </row>
    <row r="2512" spans="1:12" hidden="1" x14ac:dyDescent="0.3">
      <c r="A2512" s="397" t="s">
        <v>832</v>
      </c>
      <c r="C2512" s="397" t="s">
        <v>1053</v>
      </c>
      <c r="D2512" s="397" t="s">
        <v>588</v>
      </c>
      <c r="E2512" s="397" t="s">
        <v>589</v>
      </c>
      <c r="F2512" s="397" t="s">
        <v>191</v>
      </c>
      <c r="G2512" s="396">
        <v>1</v>
      </c>
      <c r="H2512" s="395">
        <v>487295.49400000001</v>
      </c>
      <c r="I2512" s="394">
        <v>484135.04000000004</v>
      </c>
      <c r="J2512" s="394">
        <v>696136.42</v>
      </c>
      <c r="K2512" s="393" t="s">
        <v>1033</v>
      </c>
      <c r="L2512" s="395">
        <v>1</v>
      </c>
    </row>
    <row r="2513" spans="1:12" hidden="1" x14ac:dyDescent="0.3">
      <c r="A2513" s="397" t="s">
        <v>7694</v>
      </c>
      <c r="C2513" s="397" t="s">
        <v>1053</v>
      </c>
      <c r="D2513" s="397" t="s">
        <v>7693</v>
      </c>
      <c r="E2513" s="397" t="s">
        <v>7692</v>
      </c>
      <c r="F2513" s="397" t="s">
        <v>191</v>
      </c>
      <c r="G2513" s="396">
        <v>9</v>
      </c>
      <c r="H2513" s="395">
        <v>205371.67199999999</v>
      </c>
      <c r="I2513" s="394">
        <v>219063.12</v>
      </c>
      <c r="J2513" s="394">
        <v>342286.12</v>
      </c>
      <c r="K2513" s="393" t="s">
        <v>1033</v>
      </c>
    </row>
    <row r="2514" spans="1:12" hidden="1" x14ac:dyDescent="0.3">
      <c r="A2514" s="397" t="s">
        <v>7970</v>
      </c>
      <c r="C2514" s="397" t="s">
        <v>1053</v>
      </c>
      <c r="D2514" s="397" t="s">
        <v>7969</v>
      </c>
      <c r="E2514" s="397" t="s">
        <v>7968</v>
      </c>
      <c r="F2514" s="397" t="s">
        <v>191</v>
      </c>
      <c r="G2514" s="396">
        <v>4</v>
      </c>
      <c r="H2514" s="395">
        <v>259480.27800000002</v>
      </c>
      <c r="I2514" s="394">
        <v>249101.08000000002</v>
      </c>
      <c r="J2514" s="394">
        <v>432467.13</v>
      </c>
      <c r="K2514" s="393" t="s">
        <v>1033</v>
      </c>
    </row>
    <row r="2515" spans="1:12" hidden="1" x14ac:dyDescent="0.3">
      <c r="A2515" s="397" t="s">
        <v>7346</v>
      </c>
      <c r="C2515" s="397" t="s">
        <v>1053</v>
      </c>
      <c r="D2515" s="397" t="s">
        <v>7345</v>
      </c>
      <c r="E2515" s="397" t="s">
        <v>7344</v>
      </c>
      <c r="F2515" s="397" t="s">
        <v>191</v>
      </c>
      <c r="G2515" s="396">
        <v>4</v>
      </c>
      <c r="H2515" s="395">
        <v>220234.848</v>
      </c>
      <c r="I2515" s="394">
        <v>124986.43000000001</v>
      </c>
      <c r="J2515" s="394">
        <v>367058.08</v>
      </c>
      <c r="K2515" s="393" t="s">
        <v>1033</v>
      </c>
    </row>
    <row r="2516" spans="1:12" hidden="1" x14ac:dyDescent="0.3">
      <c r="A2516" s="397" t="s">
        <v>7432</v>
      </c>
      <c r="C2516" s="397" t="s">
        <v>1053</v>
      </c>
      <c r="D2516" s="397" t="s">
        <v>7431</v>
      </c>
      <c r="E2516" s="397" t="s">
        <v>7430</v>
      </c>
      <c r="F2516" s="397" t="s">
        <v>191</v>
      </c>
      <c r="G2516" s="396">
        <v>4</v>
      </c>
      <c r="H2516" s="395">
        <v>277463.64</v>
      </c>
      <c r="I2516" s="394">
        <v>246023.99</v>
      </c>
      <c r="J2516" s="394">
        <v>462439.4</v>
      </c>
      <c r="K2516" s="393" t="s">
        <v>1033</v>
      </c>
    </row>
    <row r="2517" spans="1:12" hidden="1" x14ac:dyDescent="0.3">
      <c r="A2517" s="397" t="s">
        <v>888</v>
      </c>
      <c r="C2517" s="397" t="s">
        <v>1053</v>
      </c>
      <c r="D2517" s="397" t="s">
        <v>412</v>
      </c>
      <c r="E2517" s="397" t="s">
        <v>413</v>
      </c>
      <c r="F2517" s="397" t="s">
        <v>191</v>
      </c>
      <c r="G2517" s="396">
        <v>4</v>
      </c>
      <c r="H2517" s="395">
        <v>141184.60800000001</v>
      </c>
      <c r="I2517" s="394">
        <v>137741.07999999999</v>
      </c>
      <c r="J2517" s="394">
        <v>235307.68</v>
      </c>
      <c r="K2517" s="393" t="s">
        <v>1033</v>
      </c>
      <c r="L2517" s="395">
        <v>4</v>
      </c>
    </row>
    <row r="2518" spans="1:12" hidden="1" x14ac:dyDescent="0.3">
      <c r="A2518" s="397" t="s">
        <v>881</v>
      </c>
      <c r="C2518" s="397" t="s">
        <v>1053</v>
      </c>
      <c r="D2518" s="397" t="s">
        <v>278</v>
      </c>
      <c r="E2518" s="397" t="s">
        <v>277</v>
      </c>
      <c r="F2518" s="397" t="s">
        <v>191</v>
      </c>
      <c r="G2518" s="396">
        <v>14</v>
      </c>
      <c r="H2518" s="395">
        <v>217444.23</v>
      </c>
      <c r="I2518" s="394">
        <v>206572.03</v>
      </c>
      <c r="J2518" s="394">
        <v>362407.05</v>
      </c>
      <c r="K2518" s="393" t="s">
        <v>1033</v>
      </c>
      <c r="L2518" s="395">
        <v>1</v>
      </c>
    </row>
    <row r="2519" spans="1:12" hidden="1" x14ac:dyDescent="0.3">
      <c r="A2519" s="397" t="s">
        <v>1897</v>
      </c>
      <c r="C2519" s="397" t="s">
        <v>1034</v>
      </c>
      <c r="D2519" s="397" t="s">
        <v>1896</v>
      </c>
      <c r="E2519" s="397" t="s">
        <v>1895</v>
      </c>
      <c r="F2519" s="397" t="s">
        <v>191</v>
      </c>
      <c r="G2519" s="396">
        <v>1</v>
      </c>
      <c r="H2519" s="395">
        <v>143885.70000000001</v>
      </c>
      <c r="I2519" s="394">
        <v>124906.05</v>
      </c>
      <c r="J2519" s="394">
        <v>239809.5</v>
      </c>
      <c r="K2519" s="393" t="s">
        <v>1033</v>
      </c>
    </row>
    <row r="2520" spans="1:12" hidden="1" x14ac:dyDescent="0.3">
      <c r="A2520" s="397" t="s">
        <v>7374</v>
      </c>
      <c r="C2520" s="397" t="s">
        <v>1053</v>
      </c>
      <c r="D2520" s="397" t="s">
        <v>7373</v>
      </c>
      <c r="E2520" s="397" t="s">
        <v>7372</v>
      </c>
      <c r="F2520" s="397" t="s">
        <v>191</v>
      </c>
      <c r="G2520" s="396">
        <v>4</v>
      </c>
      <c r="H2520" s="395">
        <v>333818.80800000002</v>
      </c>
      <c r="I2520" s="394">
        <v>237333.78</v>
      </c>
      <c r="J2520" s="394">
        <v>556364.68000000005</v>
      </c>
      <c r="K2520" s="393" t="s">
        <v>1033</v>
      </c>
    </row>
    <row r="2521" spans="1:12" hidden="1" x14ac:dyDescent="0.3">
      <c r="A2521" s="397" t="s">
        <v>882</v>
      </c>
      <c r="C2521" s="397" t="s">
        <v>1053</v>
      </c>
      <c r="D2521" s="397" t="s">
        <v>431</v>
      </c>
      <c r="E2521" s="397" t="s">
        <v>432</v>
      </c>
      <c r="F2521" s="397" t="s">
        <v>191</v>
      </c>
      <c r="G2521" s="396">
        <v>14</v>
      </c>
      <c r="H2521" s="395">
        <v>219782.17800000001</v>
      </c>
      <c r="I2521" s="394">
        <v>225276.73</v>
      </c>
      <c r="J2521" s="394">
        <v>366303.63</v>
      </c>
      <c r="K2521" s="393" t="s">
        <v>1033</v>
      </c>
    </row>
    <row r="2522" spans="1:12" hidden="1" x14ac:dyDescent="0.3">
      <c r="A2522" s="397" t="s">
        <v>882</v>
      </c>
      <c r="C2522" s="397" t="s">
        <v>1053</v>
      </c>
      <c r="D2522" s="397" t="s">
        <v>7675</v>
      </c>
      <c r="E2522" s="397" t="s">
        <v>7674</v>
      </c>
      <c r="F2522" s="397" t="s">
        <v>191</v>
      </c>
      <c r="G2522" s="396">
        <v>1</v>
      </c>
      <c r="H2522" s="395">
        <v>205679.07600000003</v>
      </c>
      <c r="I2522" s="394">
        <v>61581.93</v>
      </c>
      <c r="J2522" s="394">
        <v>342798.46</v>
      </c>
      <c r="K2522" s="393" t="s">
        <v>1033</v>
      </c>
      <c r="L2522" s="395">
        <v>1</v>
      </c>
    </row>
    <row r="2523" spans="1:12" hidden="1" x14ac:dyDescent="0.3">
      <c r="A2523" s="397" t="s">
        <v>2771</v>
      </c>
      <c r="C2523" s="397" t="s">
        <v>1053</v>
      </c>
      <c r="D2523" s="397" t="s">
        <v>2770</v>
      </c>
      <c r="E2523" s="397" t="s">
        <v>2769</v>
      </c>
      <c r="F2523" s="397" t="s">
        <v>191</v>
      </c>
      <c r="G2523" s="396">
        <v>4</v>
      </c>
      <c r="H2523" s="395">
        <v>243782.79</v>
      </c>
      <c r="I2523" s="394">
        <v>243782.79</v>
      </c>
      <c r="J2523" s="394">
        <v>406304.65</v>
      </c>
      <c r="K2523" s="393" t="s">
        <v>1033</v>
      </c>
    </row>
    <row r="2524" spans="1:12" hidden="1" x14ac:dyDescent="0.3">
      <c r="A2524" s="397" t="s">
        <v>7831</v>
      </c>
      <c r="C2524" s="397" t="s">
        <v>1053</v>
      </c>
      <c r="D2524" s="397" t="s">
        <v>7830</v>
      </c>
      <c r="E2524" s="397" t="s">
        <v>7829</v>
      </c>
      <c r="F2524" s="397" t="s">
        <v>191</v>
      </c>
      <c r="G2524" s="396">
        <v>4</v>
      </c>
      <c r="H2524" s="395">
        <v>161401.068</v>
      </c>
      <c r="I2524" s="394">
        <v>151165.88</v>
      </c>
      <c r="J2524" s="394">
        <v>269001.78000000003</v>
      </c>
      <c r="K2524" s="393" t="s">
        <v>1033</v>
      </c>
    </row>
    <row r="2525" spans="1:12" hidden="1" x14ac:dyDescent="0.3">
      <c r="A2525" s="397" t="s">
        <v>6735</v>
      </c>
      <c r="C2525" s="397" t="s">
        <v>1053</v>
      </c>
      <c r="D2525" s="397" t="s">
        <v>7910</v>
      </c>
      <c r="E2525" s="397" t="s">
        <v>7909</v>
      </c>
      <c r="F2525" s="397" t="s">
        <v>191</v>
      </c>
      <c r="G2525" s="396">
        <v>7</v>
      </c>
      <c r="H2525" s="395">
        <v>206087.71800000002</v>
      </c>
      <c r="I2525" s="394">
        <v>189474.06</v>
      </c>
      <c r="J2525" s="394">
        <v>343479.53</v>
      </c>
      <c r="K2525" s="393" t="s">
        <v>1033</v>
      </c>
    </row>
    <row r="2526" spans="1:12" hidden="1" x14ac:dyDescent="0.3">
      <c r="A2526" s="397" t="s">
        <v>6735</v>
      </c>
      <c r="C2526" s="397" t="s">
        <v>1053</v>
      </c>
      <c r="D2526" s="397" t="s">
        <v>6734</v>
      </c>
      <c r="E2526" s="397" t="s">
        <v>6733</v>
      </c>
      <c r="F2526" s="397" t="s">
        <v>191</v>
      </c>
      <c r="G2526" s="396">
        <v>12</v>
      </c>
      <c r="H2526" s="395">
        <v>219658.68</v>
      </c>
      <c r="I2526" s="394">
        <v>219658.68</v>
      </c>
      <c r="J2526" s="394">
        <v>366097.8</v>
      </c>
      <c r="K2526" s="393" t="s">
        <v>1033</v>
      </c>
    </row>
    <row r="2527" spans="1:12" hidden="1" x14ac:dyDescent="0.3">
      <c r="A2527" s="397" t="s">
        <v>7366</v>
      </c>
      <c r="C2527" s="397" t="s">
        <v>1053</v>
      </c>
      <c r="D2527" s="397" t="s">
        <v>7495</v>
      </c>
      <c r="E2527" s="397" t="s">
        <v>7494</v>
      </c>
      <c r="F2527" s="397" t="s">
        <v>191</v>
      </c>
      <c r="G2527" s="396">
        <v>4</v>
      </c>
      <c r="H2527" s="395">
        <v>257569.80000000002</v>
      </c>
      <c r="I2527" s="394">
        <v>240719.45</v>
      </c>
      <c r="J2527" s="394">
        <v>429283</v>
      </c>
      <c r="K2527" s="393" t="s">
        <v>1033</v>
      </c>
    </row>
    <row r="2528" spans="1:12" hidden="1" x14ac:dyDescent="0.3">
      <c r="A2528" s="397" t="s">
        <v>7366</v>
      </c>
      <c r="C2528" s="397" t="s">
        <v>1053</v>
      </c>
      <c r="D2528" s="397" t="s">
        <v>7371</v>
      </c>
      <c r="E2528" s="397" t="s">
        <v>7370</v>
      </c>
      <c r="F2528" s="397" t="s">
        <v>191</v>
      </c>
      <c r="G2528" s="396">
        <v>2</v>
      </c>
      <c r="H2528" s="395">
        <v>162434.49</v>
      </c>
      <c r="I2528" s="394">
        <v>162434.49</v>
      </c>
      <c r="J2528" s="394">
        <v>270724.15000000002</v>
      </c>
      <c r="K2528" s="393" t="s">
        <v>1033</v>
      </c>
    </row>
    <row r="2529" spans="1:12" hidden="1" x14ac:dyDescent="0.3">
      <c r="A2529" s="397" t="s">
        <v>7366</v>
      </c>
      <c r="C2529" s="397" t="s">
        <v>1053</v>
      </c>
      <c r="D2529" s="397" t="s">
        <v>7365</v>
      </c>
      <c r="E2529" s="397" t="s">
        <v>7364</v>
      </c>
      <c r="F2529" s="397" t="s">
        <v>191</v>
      </c>
      <c r="G2529" s="396">
        <v>8</v>
      </c>
      <c r="H2529" s="395">
        <v>221137.08000000002</v>
      </c>
      <c r="I2529" s="394">
        <v>226665.51</v>
      </c>
      <c r="J2529" s="394">
        <v>368561.8</v>
      </c>
      <c r="K2529" s="393" t="s">
        <v>1033</v>
      </c>
    </row>
    <row r="2530" spans="1:12" hidden="1" x14ac:dyDescent="0.3">
      <c r="A2530" s="397" t="s">
        <v>1685</v>
      </c>
      <c r="C2530" s="397" t="s">
        <v>1053</v>
      </c>
      <c r="D2530" s="397" t="s">
        <v>1684</v>
      </c>
      <c r="E2530" s="397" t="s">
        <v>1683</v>
      </c>
      <c r="F2530" s="397" t="s">
        <v>191</v>
      </c>
      <c r="G2530" s="396">
        <v>1</v>
      </c>
      <c r="H2530" s="395">
        <v>78954.001000000004</v>
      </c>
      <c r="I2530" s="394">
        <v>5698.99</v>
      </c>
      <c r="J2530" s="394">
        <v>112791.43000000001</v>
      </c>
      <c r="K2530" s="393" t="s">
        <v>1033</v>
      </c>
      <c r="L2530" s="395">
        <v>2</v>
      </c>
    </row>
    <row r="2531" spans="1:12" hidden="1" x14ac:dyDescent="0.3">
      <c r="A2531" s="397" t="s">
        <v>1694</v>
      </c>
      <c r="C2531" s="397" t="s">
        <v>1053</v>
      </c>
      <c r="D2531" s="397" t="s">
        <v>1693</v>
      </c>
      <c r="E2531" s="397" t="s">
        <v>1692</v>
      </c>
      <c r="F2531" s="397" t="s">
        <v>191</v>
      </c>
      <c r="G2531" s="396">
        <v>2</v>
      </c>
      <c r="H2531" s="395">
        <v>168521.33199999999</v>
      </c>
      <c r="I2531" s="394">
        <v>1534.04</v>
      </c>
      <c r="J2531" s="394">
        <v>240744.76</v>
      </c>
      <c r="K2531" s="393" t="s">
        <v>1033</v>
      </c>
    </row>
    <row r="2532" spans="1:12" hidden="1" x14ac:dyDescent="0.3">
      <c r="A2532" s="397" t="s">
        <v>6594</v>
      </c>
      <c r="C2532" s="397" t="s">
        <v>1053</v>
      </c>
      <c r="D2532" s="397" t="s">
        <v>6593</v>
      </c>
      <c r="E2532" s="397" t="s">
        <v>6592</v>
      </c>
      <c r="F2532" s="397" t="s">
        <v>191</v>
      </c>
      <c r="G2532" s="396">
        <v>1</v>
      </c>
      <c r="H2532" s="395">
        <v>2212229.6910000001</v>
      </c>
      <c r="I2532" s="394">
        <v>5253.91</v>
      </c>
      <c r="J2532" s="394">
        <v>3160328.13</v>
      </c>
      <c r="K2532" s="393" t="s">
        <v>1033</v>
      </c>
    </row>
    <row r="2533" spans="1:12" hidden="1" x14ac:dyDescent="0.3">
      <c r="A2533" s="397" t="s">
        <v>5338</v>
      </c>
      <c r="C2533" s="397" t="s">
        <v>1053</v>
      </c>
      <c r="D2533" s="397" t="s">
        <v>5337</v>
      </c>
      <c r="E2533" s="397" t="s">
        <v>5336</v>
      </c>
      <c r="F2533" s="397" t="s">
        <v>191</v>
      </c>
      <c r="G2533" s="396">
        <v>1</v>
      </c>
      <c r="H2533" s="395">
        <v>207258.28200000001</v>
      </c>
      <c r="I2533" s="394">
        <v>1199.9100000000001</v>
      </c>
      <c r="J2533" s="394">
        <v>296083.26</v>
      </c>
      <c r="K2533" s="393" t="s">
        <v>1033</v>
      </c>
    </row>
    <row r="2534" spans="1:12" hidden="1" x14ac:dyDescent="0.3">
      <c r="A2534" s="397" t="s">
        <v>1718</v>
      </c>
      <c r="C2534" s="397" t="s">
        <v>1053</v>
      </c>
      <c r="D2534" s="397" t="s">
        <v>3759</v>
      </c>
      <c r="E2534" s="397" t="s">
        <v>3698</v>
      </c>
      <c r="F2534" s="397" t="s">
        <v>191</v>
      </c>
      <c r="G2534" s="396">
        <v>1</v>
      </c>
      <c r="H2534" s="395">
        <v>558830.47499999998</v>
      </c>
      <c r="I2534" s="394">
        <v>26148.560000000001</v>
      </c>
      <c r="J2534" s="394">
        <v>798329.25</v>
      </c>
      <c r="K2534" s="393" t="s">
        <v>1033</v>
      </c>
      <c r="L2534" s="395">
        <v>1</v>
      </c>
    </row>
    <row r="2535" spans="1:12" hidden="1" x14ac:dyDescent="0.3">
      <c r="A2535" s="397" t="s">
        <v>1718</v>
      </c>
      <c r="C2535" s="397" t="s">
        <v>1053</v>
      </c>
      <c r="D2535" s="397" t="s">
        <v>1717</v>
      </c>
      <c r="E2535" s="397" t="s">
        <v>1716</v>
      </c>
      <c r="F2535" s="397" t="s">
        <v>191</v>
      </c>
      <c r="G2535" s="396">
        <v>5</v>
      </c>
      <c r="H2535" s="395">
        <v>50736.329000000005</v>
      </c>
      <c r="I2535" s="394">
        <v>489.91</v>
      </c>
      <c r="J2535" s="394">
        <v>72480.47</v>
      </c>
      <c r="K2535" s="393" t="s">
        <v>1033</v>
      </c>
    </row>
    <row r="2536" spans="1:12" hidden="1" x14ac:dyDescent="0.3">
      <c r="A2536" s="397" t="s">
        <v>1643</v>
      </c>
      <c r="C2536" s="397" t="s">
        <v>1053</v>
      </c>
      <c r="D2536" s="397" t="s">
        <v>4451</v>
      </c>
      <c r="E2536" s="397" t="s">
        <v>808</v>
      </c>
      <c r="F2536" s="397" t="s">
        <v>191</v>
      </c>
      <c r="G2536" s="396">
        <v>1</v>
      </c>
      <c r="H2536" s="395">
        <v>829912.54500000004</v>
      </c>
      <c r="I2536" s="394">
        <v>1417.97</v>
      </c>
      <c r="J2536" s="394">
        <v>1185589.3500000001</v>
      </c>
      <c r="K2536" s="393" t="s">
        <v>1033</v>
      </c>
    </row>
    <row r="2537" spans="1:12" hidden="1" x14ac:dyDescent="0.3">
      <c r="A2537" s="397" t="s">
        <v>1643</v>
      </c>
      <c r="C2537" s="397" t="s">
        <v>1053</v>
      </c>
      <c r="D2537" s="397" t="s">
        <v>1642</v>
      </c>
      <c r="E2537" s="397" t="s">
        <v>1639</v>
      </c>
      <c r="F2537" s="397" t="s">
        <v>191</v>
      </c>
      <c r="G2537" s="396">
        <v>1</v>
      </c>
      <c r="H2537" s="395">
        <v>36499.154999999999</v>
      </c>
      <c r="I2537" s="394">
        <v>26728.37</v>
      </c>
      <c r="J2537" s="394">
        <v>52141.65</v>
      </c>
      <c r="K2537" s="393" t="s">
        <v>1033</v>
      </c>
      <c r="L2537" s="395">
        <v>1</v>
      </c>
    </row>
    <row r="2538" spans="1:12" hidden="1" x14ac:dyDescent="0.3">
      <c r="A2538" s="397" t="s">
        <v>1114</v>
      </c>
      <c r="C2538" s="397" t="s">
        <v>1034</v>
      </c>
      <c r="D2538" s="397" t="s">
        <v>1113</v>
      </c>
      <c r="E2538" s="397" t="s">
        <v>1112</v>
      </c>
      <c r="F2538" s="397" t="s">
        <v>416</v>
      </c>
      <c r="G2538" s="396">
        <v>1</v>
      </c>
      <c r="H2538" s="395">
        <v>2750.7829999999999</v>
      </c>
      <c r="I2538" s="394">
        <v>2750.76</v>
      </c>
      <c r="J2538" s="394">
        <v>3929.69</v>
      </c>
      <c r="K2538" s="393" t="s">
        <v>1033</v>
      </c>
    </row>
    <row r="2539" spans="1:12" hidden="1" x14ac:dyDescent="0.3">
      <c r="A2539" s="397" t="s">
        <v>1363</v>
      </c>
      <c r="C2539" s="397" t="s">
        <v>1053</v>
      </c>
      <c r="D2539" s="397" t="s">
        <v>1362</v>
      </c>
      <c r="E2539" s="397" t="s">
        <v>1361</v>
      </c>
      <c r="F2539" s="397" t="s">
        <v>191</v>
      </c>
      <c r="G2539" s="396">
        <v>1</v>
      </c>
      <c r="H2539" s="395">
        <v>28381.744999999999</v>
      </c>
      <c r="I2539" s="394">
        <v>15821.550000000001</v>
      </c>
      <c r="J2539" s="394">
        <v>40545.35</v>
      </c>
      <c r="K2539" s="393" t="s">
        <v>1033</v>
      </c>
    </row>
    <row r="2540" spans="1:12" hidden="1" x14ac:dyDescent="0.3">
      <c r="A2540" s="397" t="s">
        <v>1291</v>
      </c>
      <c r="C2540" s="397" t="s">
        <v>1053</v>
      </c>
      <c r="D2540" s="397" t="s">
        <v>1290</v>
      </c>
      <c r="E2540" s="397" t="s">
        <v>1289</v>
      </c>
      <c r="F2540" s="397" t="s">
        <v>191</v>
      </c>
      <c r="G2540" s="396">
        <v>3</v>
      </c>
      <c r="H2540" s="395">
        <v>59535.259000000005</v>
      </c>
      <c r="I2540" s="394">
        <v>716.29</v>
      </c>
      <c r="J2540" s="394">
        <v>85050.37</v>
      </c>
      <c r="K2540" s="393" t="s">
        <v>1033</v>
      </c>
    </row>
    <row r="2541" spans="1:12" hidden="1" x14ac:dyDescent="0.3">
      <c r="A2541" s="397" t="s">
        <v>1165</v>
      </c>
      <c r="C2541" s="397" t="s">
        <v>1034</v>
      </c>
      <c r="D2541" s="397" t="s">
        <v>1164</v>
      </c>
      <c r="E2541" s="397" t="s">
        <v>1163</v>
      </c>
      <c r="F2541" s="397" t="s">
        <v>416</v>
      </c>
      <c r="G2541" s="396">
        <v>5</v>
      </c>
      <c r="H2541" s="395">
        <v>20.317499999999999</v>
      </c>
      <c r="I2541" s="394">
        <v>20.32</v>
      </c>
      <c r="J2541" s="394">
        <v>32.25</v>
      </c>
      <c r="K2541" s="393" t="s">
        <v>1033</v>
      </c>
    </row>
    <row r="2542" spans="1:12" hidden="1" x14ac:dyDescent="0.3">
      <c r="A2542" s="397" t="s">
        <v>1336</v>
      </c>
      <c r="C2542" s="397" t="s">
        <v>1053</v>
      </c>
      <c r="D2542" s="397" t="s">
        <v>1335</v>
      </c>
      <c r="E2542" s="397" t="s">
        <v>1334</v>
      </c>
      <c r="F2542" s="397" t="s">
        <v>191</v>
      </c>
      <c r="G2542" s="396">
        <v>1</v>
      </c>
      <c r="H2542" s="395">
        <v>31511.682999999997</v>
      </c>
      <c r="I2542" s="394">
        <v>17566.349999999999</v>
      </c>
      <c r="J2542" s="394">
        <v>45016.69</v>
      </c>
      <c r="K2542" s="393" t="s">
        <v>1033</v>
      </c>
    </row>
    <row r="2543" spans="1:12" hidden="1" x14ac:dyDescent="0.3">
      <c r="A2543" s="397" t="s">
        <v>4328</v>
      </c>
      <c r="C2543" s="397" t="s">
        <v>1053</v>
      </c>
      <c r="D2543" s="397" t="s">
        <v>4327</v>
      </c>
      <c r="E2543" s="397" t="s">
        <v>4326</v>
      </c>
      <c r="F2543" s="397" t="s">
        <v>191</v>
      </c>
      <c r="G2543" s="396">
        <v>1</v>
      </c>
      <c r="H2543" s="395">
        <v>244761.08300000001</v>
      </c>
      <c r="I2543" s="394">
        <v>767.24</v>
      </c>
      <c r="J2543" s="394">
        <v>349658.69</v>
      </c>
      <c r="K2543" s="393" t="s">
        <v>1033</v>
      </c>
    </row>
    <row r="2544" spans="1:12" hidden="1" x14ac:dyDescent="0.3">
      <c r="A2544" s="397" t="s">
        <v>4331</v>
      </c>
      <c r="C2544" s="397" t="s">
        <v>1053</v>
      </c>
      <c r="D2544" s="397" t="s">
        <v>4330</v>
      </c>
      <c r="E2544" s="397" t="s">
        <v>4329</v>
      </c>
      <c r="F2544" s="397" t="s">
        <v>191</v>
      </c>
      <c r="G2544" s="396">
        <v>1</v>
      </c>
      <c r="H2544" s="395">
        <v>215790.68699999995</v>
      </c>
      <c r="I2544" s="394">
        <v>639.88</v>
      </c>
      <c r="J2544" s="394">
        <v>308272.40999999997</v>
      </c>
      <c r="K2544" s="393" t="s">
        <v>1033</v>
      </c>
    </row>
    <row r="2545" spans="1:12" hidden="1" x14ac:dyDescent="0.3">
      <c r="A2545" s="397" t="s">
        <v>1629</v>
      </c>
      <c r="C2545" s="397" t="s">
        <v>1053</v>
      </c>
      <c r="D2545" s="397" t="s">
        <v>1628</v>
      </c>
      <c r="E2545" s="397" t="s">
        <v>1627</v>
      </c>
      <c r="F2545" s="397" t="s">
        <v>191</v>
      </c>
      <c r="G2545" s="396">
        <v>2</v>
      </c>
      <c r="H2545" s="395">
        <v>62913.466</v>
      </c>
      <c r="I2545" s="394">
        <v>53466.090000000004</v>
      </c>
      <c r="J2545" s="394">
        <v>89876.38</v>
      </c>
      <c r="K2545" s="393" t="s">
        <v>1033</v>
      </c>
    </row>
    <row r="2546" spans="1:12" hidden="1" x14ac:dyDescent="0.3">
      <c r="A2546" s="397" t="s">
        <v>4188</v>
      </c>
      <c r="C2546" s="397" t="s">
        <v>1053</v>
      </c>
      <c r="D2546" s="397" t="s">
        <v>4187</v>
      </c>
      <c r="E2546" s="397" t="s">
        <v>4149</v>
      </c>
      <c r="F2546" s="397" t="s">
        <v>191</v>
      </c>
      <c r="G2546" s="396">
        <v>1</v>
      </c>
      <c r="H2546" s="395">
        <v>49769.222999999998</v>
      </c>
      <c r="I2546" s="394">
        <v>404.85</v>
      </c>
      <c r="J2546" s="394">
        <v>71098.89</v>
      </c>
      <c r="K2546" s="393" t="s">
        <v>1033</v>
      </c>
    </row>
    <row r="2547" spans="1:12" hidden="1" x14ac:dyDescent="0.3">
      <c r="A2547" s="397" t="s">
        <v>4766</v>
      </c>
      <c r="C2547" s="397" t="s">
        <v>1053</v>
      </c>
      <c r="D2547" s="397" t="s">
        <v>4765</v>
      </c>
      <c r="E2547" s="397" t="s">
        <v>813</v>
      </c>
      <c r="F2547" s="397" t="s">
        <v>191</v>
      </c>
      <c r="G2547" s="396">
        <v>1</v>
      </c>
      <c r="H2547" s="395">
        <v>38434.977000000006</v>
      </c>
      <c r="I2547" s="394">
        <v>15345.83</v>
      </c>
      <c r="J2547" s="394">
        <v>54907.11</v>
      </c>
      <c r="K2547" s="393" t="s">
        <v>1033</v>
      </c>
    </row>
    <row r="2548" spans="1:12" hidden="1" x14ac:dyDescent="0.3">
      <c r="A2548" s="397" t="s">
        <v>5544</v>
      </c>
      <c r="C2548" s="397" t="s">
        <v>1053</v>
      </c>
      <c r="D2548" s="397" t="s">
        <v>5543</v>
      </c>
      <c r="E2548" s="397" t="s">
        <v>5542</v>
      </c>
      <c r="F2548" s="397" t="s">
        <v>191</v>
      </c>
      <c r="G2548" s="396">
        <v>1</v>
      </c>
      <c r="H2548" s="395">
        <v>7929.7259999999997</v>
      </c>
      <c r="I2548" s="394">
        <v>629.45000000000005</v>
      </c>
      <c r="J2548" s="394">
        <v>11328.18</v>
      </c>
      <c r="K2548" s="393" t="s">
        <v>1033</v>
      </c>
    </row>
    <row r="2549" spans="1:12" hidden="1" x14ac:dyDescent="0.3">
      <c r="A2549" s="397" t="s">
        <v>1214</v>
      </c>
      <c r="C2549" s="397" t="s">
        <v>1053</v>
      </c>
      <c r="D2549" s="397" t="s">
        <v>1213</v>
      </c>
      <c r="E2549" s="397" t="s">
        <v>1210</v>
      </c>
      <c r="F2549" s="397" t="s">
        <v>191</v>
      </c>
      <c r="G2549" s="396">
        <v>2</v>
      </c>
      <c r="H2549" s="395">
        <v>29900.031000000003</v>
      </c>
      <c r="I2549" s="394">
        <v>558.80999999999995</v>
      </c>
      <c r="J2549" s="394">
        <v>42714.33</v>
      </c>
      <c r="K2549" s="393" t="s">
        <v>1033</v>
      </c>
      <c r="L2549" s="395">
        <v>1</v>
      </c>
    </row>
    <row r="2550" spans="1:12" hidden="1" x14ac:dyDescent="0.3">
      <c r="A2550" s="397" t="s">
        <v>4517</v>
      </c>
      <c r="C2550" s="397" t="s">
        <v>1053</v>
      </c>
      <c r="D2550" s="397" t="s">
        <v>4516</v>
      </c>
      <c r="E2550" s="397" t="s">
        <v>4515</v>
      </c>
      <c r="F2550" s="397" t="s">
        <v>191</v>
      </c>
      <c r="G2550" s="396">
        <v>6</v>
      </c>
      <c r="H2550" s="395">
        <v>34821.437000000005</v>
      </c>
      <c r="I2550" s="394">
        <v>104.9</v>
      </c>
      <c r="J2550" s="394">
        <v>49744.91</v>
      </c>
      <c r="K2550" s="393" t="s">
        <v>1033</v>
      </c>
    </row>
    <row r="2551" spans="1:12" hidden="1" x14ac:dyDescent="0.3">
      <c r="A2551" s="397" t="s">
        <v>5535</v>
      </c>
      <c r="C2551" s="397" t="s">
        <v>1053</v>
      </c>
      <c r="D2551" s="397" t="s">
        <v>5534</v>
      </c>
      <c r="E2551" s="397" t="s">
        <v>5531</v>
      </c>
      <c r="F2551" s="397" t="s">
        <v>191</v>
      </c>
      <c r="G2551" s="396">
        <v>1</v>
      </c>
      <c r="H2551" s="395">
        <v>25194.442000000003</v>
      </c>
      <c r="I2551" s="394">
        <v>365.19</v>
      </c>
      <c r="J2551" s="394">
        <v>35992.06</v>
      </c>
      <c r="K2551" s="393" t="s">
        <v>1033</v>
      </c>
    </row>
    <row r="2552" spans="1:12" hidden="1" x14ac:dyDescent="0.3">
      <c r="A2552" s="397" t="s">
        <v>3543</v>
      </c>
      <c r="C2552" s="397" t="s">
        <v>1053</v>
      </c>
      <c r="D2552" s="397" t="s">
        <v>3542</v>
      </c>
      <c r="E2552" s="397" t="s">
        <v>3541</v>
      </c>
      <c r="F2552" s="397" t="s">
        <v>191</v>
      </c>
      <c r="G2552" s="396">
        <v>4</v>
      </c>
      <c r="H2552" s="395">
        <v>221103.12700000001</v>
      </c>
      <c r="I2552" s="394">
        <v>336.86</v>
      </c>
      <c r="J2552" s="394">
        <v>315861.61</v>
      </c>
      <c r="K2552" s="393" t="s">
        <v>1033</v>
      </c>
    </row>
    <row r="2553" spans="1:12" hidden="1" x14ac:dyDescent="0.3">
      <c r="A2553" s="397" t="s">
        <v>6104</v>
      </c>
      <c r="C2553" s="397" t="s">
        <v>1053</v>
      </c>
      <c r="D2553" s="397" t="s">
        <v>6103</v>
      </c>
      <c r="E2553" s="397" t="s">
        <v>6102</v>
      </c>
      <c r="F2553" s="397" t="s">
        <v>191</v>
      </c>
      <c r="G2553" s="396">
        <v>2</v>
      </c>
      <c r="H2553" s="395">
        <v>14026.823999999999</v>
      </c>
      <c r="I2553" s="394">
        <v>636.79</v>
      </c>
      <c r="J2553" s="394">
        <v>20038.32</v>
      </c>
      <c r="K2553" s="393" t="s">
        <v>1033</v>
      </c>
    </row>
    <row r="2554" spans="1:12" hidden="1" x14ac:dyDescent="0.3">
      <c r="A2554" s="397" t="s">
        <v>4660</v>
      </c>
      <c r="C2554" s="397" t="s">
        <v>1053</v>
      </c>
      <c r="D2554" s="397" t="s">
        <v>4659</v>
      </c>
      <c r="E2554" s="397" t="s">
        <v>4658</v>
      </c>
      <c r="F2554" s="397" t="s">
        <v>191</v>
      </c>
      <c r="G2554" s="396">
        <v>1</v>
      </c>
      <c r="H2554" s="395">
        <v>918.75</v>
      </c>
      <c r="I2554" s="394">
        <v>845.39</v>
      </c>
      <c r="J2554" s="394">
        <v>1312.5</v>
      </c>
      <c r="K2554" s="393" t="s">
        <v>1033</v>
      </c>
    </row>
    <row r="2555" spans="1:12" hidden="1" x14ac:dyDescent="0.3">
      <c r="A2555" s="397" t="s">
        <v>4491</v>
      </c>
      <c r="C2555" s="397" t="s">
        <v>1053</v>
      </c>
      <c r="D2555" s="397" t="s">
        <v>4490</v>
      </c>
      <c r="E2555" s="397" t="s">
        <v>4478</v>
      </c>
      <c r="F2555" s="397" t="s">
        <v>191</v>
      </c>
      <c r="G2555" s="396">
        <v>1</v>
      </c>
      <c r="H2555" s="395">
        <v>1416.6110000000001</v>
      </c>
      <c r="I2555" s="394">
        <v>57.550000000000004</v>
      </c>
      <c r="J2555" s="394">
        <v>2023.73</v>
      </c>
      <c r="K2555" s="393" t="s">
        <v>1033</v>
      </c>
    </row>
    <row r="2556" spans="1:12" hidden="1" x14ac:dyDescent="0.3">
      <c r="A2556" s="397" t="s">
        <v>5179</v>
      </c>
      <c r="C2556" s="397" t="s">
        <v>1053</v>
      </c>
      <c r="D2556" s="397" t="s">
        <v>5178</v>
      </c>
      <c r="E2556" s="397" t="s">
        <v>5177</v>
      </c>
      <c r="F2556" s="397" t="s">
        <v>191</v>
      </c>
      <c r="G2556" s="396">
        <v>1</v>
      </c>
      <c r="H2556" s="395">
        <v>166.75200000000001</v>
      </c>
      <c r="I2556" s="394">
        <v>120.43</v>
      </c>
      <c r="J2556" s="394">
        <v>208.44</v>
      </c>
      <c r="K2556" s="393" t="s">
        <v>1033</v>
      </c>
    </row>
    <row r="2557" spans="1:12" hidden="1" x14ac:dyDescent="0.3">
      <c r="A2557" s="397" t="s">
        <v>1745</v>
      </c>
      <c r="C2557" s="397" t="s">
        <v>1053</v>
      </c>
      <c r="D2557" s="397" t="s">
        <v>5112</v>
      </c>
      <c r="E2557" s="397" t="s">
        <v>4472</v>
      </c>
      <c r="F2557" s="397" t="s">
        <v>191</v>
      </c>
      <c r="G2557" s="396">
        <v>1</v>
      </c>
      <c r="H2557" s="395">
        <v>98555.954000000012</v>
      </c>
      <c r="I2557" s="394">
        <v>579.02</v>
      </c>
      <c r="J2557" s="394">
        <v>140794.22</v>
      </c>
      <c r="K2557" s="393" t="s">
        <v>1033</v>
      </c>
    </row>
    <row r="2558" spans="1:12" hidden="1" x14ac:dyDescent="0.3">
      <c r="A2558" s="397" t="s">
        <v>1745</v>
      </c>
      <c r="C2558" s="397" t="s">
        <v>1053</v>
      </c>
      <c r="D2558" s="397" t="s">
        <v>1744</v>
      </c>
      <c r="E2558" s="397" t="s">
        <v>1743</v>
      </c>
      <c r="F2558" s="397" t="s">
        <v>191</v>
      </c>
      <c r="G2558" s="396">
        <v>5</v>
      </c>
      <c r="H2558" s="395">
        <v>126328.31400000001</v>
      </c>
      <c r="I2558" s="394">
        <v>121425.75</v>
      </c>
      <c r="J2558" s="394">
        <v>180469.02</v>
      </c>
      <c r="K2558" s="393" t="s">
        <v>1033</v>
      </c>
      <c r="L2558" s="395">
        <v>1</v>
      </c>
    </row>
    <row r="2559" spans="1:12" hidden="1" x14ac:dyDescent="0.3">
      <c r="A2559" s="397" t="s">
        <v>6678</v>
      </c>
      <c r="C2559" s="397" t="s">
        <v>1053</v>
      </c>
      <c r="D2559" s="397" t="s">
        <v>6677</v>
      </c>
      <c r="E2559" s="397" t="s">
        <v>525</v>
      </c>
      <c r="F2559" s="397" t="s">
        <v>191</v>
      </c>
      <c r="G2559" s="396">
        <v>2</v>
      </c>
      <c r="H2559" s="395">
        <v>180420.989</v>
      </c>
      <c r="I2559" s="394">
        <v>456.89</v>
      </c>
      <c r="J2559" s="394">
        <v>257744.27000000002</v>
      </c>
      <c r="K2559" s="393" t="s">
        <v>1033</v>
      </c>
    </row>
    <row r="2560" spans="1:12" hidden="1" x14ac:dyDescent="0.3">
      <c r="A2560" s="397" t="s">
        <v>6676</v>
      </c>
      <c r="C2560" s="397" t="s">
        <v>1053</v>
      </c>
      <c r="D2560" s="397" t="s">
        <v>6675</v>
      </c>
      <c r="E2560" s="397" t="s">
        <v>525</v>
      </c>
      <c r="F2560" s="397" t="s">
        <v>191</v>
      </c>
      <c r="G2560" s="396">
        <v>2</v>
      </c>
      <c r="H2560" s="395">
        <v>180420.989</v>
      </c>
      <c r="I2560" s="394">
        <v>5353.1500000000005</v>
      </c>
      <c r="J2560" s="394">
        <v>257744.27000000002</v>
      </c>
      <c r="K2560" s="393" t="s">
        <v>1033</v>
      </c>
    </row>
    <row r="2561" spans="1:12" hidden="1" x14ac:dyDescent="0.3">
      <c r="A2561" s="397" t="s">
        <v>4850</v>
      </c>
      <c r="C2561" s="397" t="s">
        <v>1053</v>
      </c>
      <c r="D2561" s="397" t="s">
        <v>4849</v>
      </c>
      <c r="E2561" s="397" t="s">
        <v>4848</v>
      </c>
      <c r="F2561" s="397" t="s">
        <v>191</v>
      </c>
      <c r="G2561" s="396">
        <v>1</v>
      </c>
      <c r="H2561" s="395">
        <v>213034.90600000002</v>
      </c>
      <c r="I2561" s="394">
        <v>146140.42000000001</v>
      </c>
      <c r="J2561" s="394">
        <v>304335.58</v>
      </c>
      <c r="K2561" s="393" t="s">
        <v>1033</v>
      </c>
    </row>
    <row r="2562" spans="1:12" hidden="1" x14ac:dyDescent="0.3">
      <c r="A2562" s="397" t="s">
        <v>6444</v>
      </c>
      <c r="C2562" s="397" t="s">
        <v>1053</v>
      </c>
      <c r="D2562" s="397" t="s">
        <v>6443</v>
      </c>
      <c r="E2562" s="397" t="s">
        <v>6442</v>
      </c>
      <c r="F2562" s="397" t="s">
        <v>191</v>
      </c>
      <c r="G2562" s="396">
        <v>2</v>
      </c>
      <c r="H2562" s="395">
        <v>613604.79599999997</v>
      </c>
      <c r="I2562" s="394">
        <v>12623.61</v>
      </c>
      <c r="J2562" s="394">
        <v>876578.28</v>
      </c>
      <c r="K2562" s="393" t="s">
        <v>1033</v>
      </c>
    </row>
    <row r="2563" spans="1:12" hidden="1" x14ac:dyDescent="0.3">
      <c r="A2563" s="397" t="s">
        <v>1063</v>
      </c>
      <c r="C2563" s="397" t="s">
        <v>1034</v>
      </c>
      <c r="D2563" s="397" t="s">
        <v>1062</v>
      </c>
      <c r="E2563" s="397" t="s">
        <v>1061</v>
      </c>
      <c r="F2563" s="397" t="s">
        <v>416</v>
      </c>
      <c r="G2563" s="396">
        <v>2</v>
      </c>
      <c r="H2563" s="395">
        <v>1900.0029999999999</v>
      </c>
      <c r="I2563" s="394">
        <v>1900</v>
      </c>
      <c r="J2563" s="394">
        <v>2714.29</v>
      </c>
      <c r="K2563" s="393" t="s">
        <v>1033</v>
      </c>
    </row>
    <row r="2564" spans="1:12" hidden="1" x14ac:dyDescent="0.3">
      <c r="A2564" s="397" t="s">
        <v>4107</v>
      </c>
      <c r="C2564" s="397" t="s">
        <v>1053</v>
      </c>
      <c r="D2564" s="397" t="s">
        <v>6819</v>
      </c>
      <c r="E2564" s="397" t="s">
        <v>510</v>
      </c>
      <c r="F2564" s="397" t="s">
        <v>191</v>
      </c>
      <c r="G2564" s="396">
        <v>3</v>
      </c>
      <c r="H2564" s="395">
        <v>93500.476999999999</v>
      </c>
      <c r="I2564" s="394">
        <v>91048.02</v>
      </c>
      <c r="J2564" s="394">
        <v>133572.10999999999</v>
      </c>
      <c r="K2564" s="393" t="s">
        <v>1033</v>
      </c>
    </row>
    <row r="2565" spans="1:12" hidden="1" x14ac:dyDescent="0.3">
      <c r="A2565" s="397" t="s">
        <v>4107</v>
      </c>
      <c r="C2565" s="397" t="s">
        <v>1053</v>
      </c>
      <c r="D2565" s="397" t="s">
        <v>4106</v>
      </c>
      <c r="E2565" s="397" t="s">
        <v>4103</v>
      </c>
      <c r="F2565" s="397" t="s">
        <v>191</v>
      </c>
      <c r="G2565" s="396">
        <v>1</v>
      </c>
      <c r="H2565" s="395">
        <v>2777091.912</v>
      </c>
      <c r="I2565" s="394">
        <v>351614.07</v>
      </c>
      <c r="J2565" s="394">
        <v>3967274.16</v>
      </c>
      <c r="K2565" s="393" t="s">
        <v>1033</v>
      </c>
    </row>
    <row r="2566" spans="1:12" hidden="1" x14ac:dyDescent="0.3">
      <c r="A2566" s="397" t="s">
        <v>1691</v>
      </c>
      <c r="C2566" s="397" t="s">
        <v>1053</v>
      </c>
      <c r="D2566" s="397" t="s">
        <v>1690</v>
      </c>
      <c r="E2566" s="397" t="s">
        <v>1689</v>
      </c>
      <c r="F2566" s="397" t="s">
        <v>191</v>
      </c>
      <c r="G2566" s="396">
        <v>3</v>
      </c>
      <c r="H2566" s="395">
        <v>115099.85900000001</v>
      </c>
      <c r="I2566" s="394">
        <v>104262.02</v>
      </c>
      <c r="J2566" s="394">
        <v>164428.37</v>
      </c>
      <c r="K2566" s="393" t="s">
        <v>1033</v>
      </c>
      <c r="L2566" s="395">
        <v>1</v>
      </c>
    </row>
    <row r="2567" spans="1:12" hidden="1" x14ac:dyDescent="0.3">
      <c r="A2567" s="397" t="s">
        <v>8233</v>
      </c>
      <c r="C2567" s="397" t="s">
        <v>1053</v>
      </c>
      <c r="D2567" s="397" t="s">
        <v>8232</v>
      </c>
      <c r="E2567" s="397" t="s">
        <v>8231</v>
      </c>
      <c r="F2567" s="397" t="s">
        <v>191</v>
      </c>
      <c r="G2567" s="396">
        <v>1</v>
      </c>
      <c r="H2567" s="395">
        <v>136639.37700000001</v>
      </c>
      <c r="I2567" s="394">
        <v>1031.45</v>
      </c>
      <c r="J2567" s="394">
        <v>195199.11000000002</v>
      </c>
      <c r="K2567" s="393" t="s">
        <v>1033</v>
      </c>
    </row>
    <row r="2568" spans="1:12" hidden="1" x14ac:dyDescent="0.3">
      <c r="A2568" s="397" t="s">
        <v>8217</v>
      </c>
      <c r="C2568" s="397" t="s">
        <v>1053</v>
      </c>
      <c r="D2568" s="397" t="s">
        <v>8216</v>
      </c>
      <c r="E2568" s="397" t="s">
        <v>8215</v>
      </c>
      <c r="F2568" s="397" t="s">
        <v>191</v>
      </c>
      <c r="G2568" s="396">
        <v>1</v>
      </c>
      <c r="H2568" s="395">
        <v>166890.15</v>
      </c>
      <c r="I2568" s="394">
        <v>287.11</v>
      </c>
      <c r="J2568" s="394">
        <v>238414.5</v>
      </c>
      <c r="K2568" s="393" t="s">
        <v>1033</v>
      </c>
    </row>
    <row r="2569" spans="1:12" hidden="1" x14ac:dyDescent="0.3">
      <c r="A2569" s="397" t="s">
        <v>6447</v>
      </c>
      <c r="C2569" s="397" t="s">
        <v>1053</v>
      </c>
      <c r="D2569" s="397" t="s">
        <v>6446</v>
      </c>
      <c r="E2569" s="397" t="s">
        <v>6445</v>
      </c>
      <c r="F2569" s="397" t="s">
        <v>191</v>
      </c>
      <c r="G2569" s="396">
        <v>1</v>
      </c>
      <c r="H2569" s="395">
        <v>223768.59399999998</v>
      </c>
      <c r="I2569" s="394">
        <v>153.07</v>
      </c>
      <c r="J2569" s="394">
        <v>319669.42</v>
      </c>
      <c r="K2569" s="393" t="s">
        <v>1033</v>
      </c>
    </row>
    <row r="2570" spans="1:12" hidden="1" x14ac:dyDescent="0.3">
      <c r="A2570" s="397" t="s">
        <v>1673</v>
      </c>
      <c r="C2570" s="397" t="s">
        <v>1053</v>
      </c>
      <c r="D2570" s="397" t="s">
        <v>1672</v>
      </c>
      <c r="E2570" s="397" t="s">
        <v>1671</v>
      </c>
      <c r="F2570" s="397" t="s">
        <v>191</v>
      </c>
      <c r="G2570" s="396">
        <v>3</v>
      </c>
      <c r="H2570" s="395">
        <v>123168.24800000001</v>
      </c>
      <c r="I2570" s="394">
        <v>109917.8</v>
      </c>
      <c r="J2570" s="394">
        <v>175954.64</v>
      </c>
      <c r="K2570" s="393" t="s">
        <v>1033</v>
      </c>
    </row>
    <row r="2571" spans="1:12" hidden="1" x14ac:dyDescent="0.3">
      <c r="A2571" s="397" t="s">
        <v>6400</v>
      </c>
      <c r="C2571" s="397" t="s">
        <v>1053</v>
      </c>
      <c r="D2571" s="397" t="s">
        <v>6402</v>
      </c>
      <c r="E2571" s="397" t="s">
        <v>6401</v>
      </c>
      <c r="F2571" s="397" t="s">
        <v>191</v>
      </c>
      <c r="G2571" s="396">
        <v>1</v>
      </c>
      <c r="H2571" s="395">
        <v>268930.81599999999</v>
      </c>
      <c r="I2571" s="394">
        <v>590.1</v>
      </c>
      <c r="J2571" s="394">
        <v>384186.88</v>
      </c>
      <c r="K2571" s="393" t="s">
        <v>1033</v>
      </c>
    </row>
    <row r="2572" spans="1:12" hidden="1" x14ac:dyDescent="0.3">
      <c r="A2572" s="397" t="s">
        <v>6400</v>
      </c>
      <c r="C2572" s="397" t="s">
        <v>1053</v>
      </c>
      <c r="D2572" s="397" t="s">
        <v>6399</v>
      </c>
      <c r="E2572" s="397" t="s">
        <v>6398</v>
      </c>
      <c r="F2572" s="397" t="s">
        <v>191</v>
      </c>
      <c r="G2572" s="396">
        <v>1</v>
      </c>
      <c r="H2572" s="395">
        <v>258661.51500000001</v>
      </c>
      <c r="I2572" s="394">
        <v>1084.5999999999999</v>
      </c>
      <c r="J2572" s="394">
        <v>369516.45</v>
      </c>
      <c r="K2572" s="393" t="s">
        <v>1033</v>
      </c>
    </row>
    <row r="2573" spans="1:12" hidden="1" x14ac:dyDescent="0.3">
      <c r="A2573" s="397" t="s">
        <v>1369</v>
      </c>
      <c r="C2573" s="397" t="s">
        <v>1053</v>
      </c>
      <c r="D2573" s="397" t="s">
        <v>1368</v>
      </c>
      <c r="E2573" s="397" t="s">
        <v>1367</v>
      </c>
      <c r="F2573" s="397" t="s">
        <v>191</v>
      </c>
      <c r="G2573" s="396">
        <v>1</v>
      </c>
      <c r="H2573" s="395">
        <v>37029.93</v>
      </c>
      <c r="I2573" s="394">
        <v>20848.97</v>
      </c>
      <c r="J2573" s="394">
        <v>52899.9</v>
      </c>
      <c r="K2573" s="393" t="s">
        <v>1033</v>
      </c>
    </row>
    <row r="2574" spans="1:12" hidden="1" x14ac:dyDescent="0.3">
      <c r="A2574" s="397" t="s">
        <v>4140</v>
      </c>
      <c r="C2574" s="397" t="s">
        <v>1053</v>
      </c>
      <c r="D2574" s="397" t="s">
        <v>4139</v>
      </c>
      <c r="E2574" s="397" t="s">
        <v>4138</v>
      </c>
      <c r="F2574" s="397" t="s">
        <v>191</v>
      </c>
      <c r="G2574" s="396">
        <v>1</v>
      </c>
      <c r="H2574" s="395">
        <v>10731.133</v>
      </c>
      <c r="I2574" s="394">
        <v>63.53</v>
      </c>
      <c r="J2574" s="394">
        <v>15330.19</v>
      </c>
      <c r="K2574" s="393" t="s">
        <v>1033</v>
      </c>
    </row>
    <row r="2575" spans="1:12" hidden="1" x14ac:dyDescent="0.3">
      <c r="A2575" s="397" t="s">
        <v>4769</v>
      </c>
      <c r="C2575" s="397" t="s">
        <v>1053</v>
      </c>
      <c r="D2575" s="397" t="s">
        <v>4768</v>
      </c>
      <c r="E2575" s="397" t="s">
        <v>4767</v>
      </c>
      <c r="F2575" s="397" t="s">
        <v>191</v>
      </c>
      <c r="G2575" s="396">
        <v>2</v>
      </c>
      <c r="H2575" s="395">
        <v>4270.5529999999999</v>
      </c>
      <c r="I2575" s="394">
        <v>9.4700000000000006</v>
      </c>
      <c r="J2575" s="394">
        <v>6100.79</v>
      </c>
      <c r="K2575" s="393" t="s">
        <v>1033</v>
      </c>
    </row>
    <row r="2576" spans="1:12" hidden="1" x14ac:dyDescent="0.3">
      <c r="A2576" s="397" t="s">
        <v>3147</v>
      </c>
      <c r="C2576" s="397" t="s">
        <v>1053</v>
      </c>
      <c r="D2576" s="397" t="s">
        <v>3146</v>
      </c>
      <c r="E2576" s="397" t="s">
        <v>3143</v>
      </c>
      <c r="F2576" s="397" t="s">
        <v>191</v>
      </c>
      <c r="G2576" s="396">
        <v>2</v>
      </c>
      <c r="H2576" s="395">
        <v>2723.35</v>
      </c>
      <c r="I2576" s="394">
        <v>3.98</v>
      </c>
      <c r="J2576" s="394">
        <v>3890.5</v>
      </c>
      <c r="K2576" s="393" t="s">
        <v>1033</v>
      </c>
    </row>
    <row r="2577" spans="1:12" hidden="1" x14ac:dyDescent="0.3">
      <c r="A2577" s="397" t="s">
        <v>1162</v>
      </c>
      <c r="C2577" s="397" t="s">
        <v>1034</v>
      </c>
      <c r="D2577" s="397" t="s">
        <v>1161</v>
      </c>
      <c r="E2577" s="397" t="s">
        <v>1160</v>
      </c>
      <c r="F2577" s="397" t="s">
        <v>416</v>
      </c>
      <c r="G2577" s="396">
        <v>1</v>
      </c>
      <c r="H2577" s="395">
        <v>29.869</v>
      </c>
      <c r="I2577" s="394">
        <v>29.87</v>
      </c>
      <c r="J2577" s="394">
        <v>42.67</v>
      </c>
      <c r="K2577" s="393" t="s">
        <v>1033</v>
      </c>
    </row>
    <row r="2578" spans="1:12" hidden="1" x14ac:dyDescent="0.3">
      <c r="A2578" s="397" t="s">
        <v>2017</v>
      </c>
      <c r="C2578" s="397" t="s">
        <v>1053</v>
      </c>
      <c r="D2578" s="397" t="s">
        <v>2016</v>
      </c>
      <c r="E2578" s="397" t="s">
        <v>717</v>
      </c>
      <c r="F2578" s="397" t="s">
        <v>191</v>
      </c>
      <c r="G2578" s="396">
        <v>8</v>
      </c>
      <c r="H2578" s="395">
        <v>6351.0789999999988</v>
      </c>
      <c r="I2578" s="394">
        <v>1018.86</v>
      </c>
      <c r="J2578" s="394">
        <v>9072.9699999999993</v>
      </c>
      <c r="K2578" s="393" t="s">
        <v>1033</v>
      </c>
    </row>
    <row r="2579" spans="1:12" hidden="1" x14ac:dyDescent="0.3">
      <c r="A2579" s="397" t="s">
        <v>6467</v>
      </c>
      <c r="C2579" s="397" t="s">
        <v>1053</v>
      </c>
      <c r="D2579" s="397" t="s">
        <v>6466</v>
      </c>
      <c r="E2579" s="397" t="s">
        <v>6465</v>
      </c>
      <c r="F2579" s="397" t="s">
        <v>191</v>
      </c>
      <c r="G2579" s="396">
        <v>1</v>
      </c>
      <c r="H2579" s="395">
        <v>41117.762000000002</v>
      </c>
      <c r="I2579" s="394">
        <v>89.83</v>
      </c>
      <c r="J2579" s="394">
        <v>58739.66</v>
      </c>
      <c r="K2579" s="393" t="s">
        <v>1033</v>
      </c>
    </row>
    <row r="2580" spans="1:12" hidden="1" x14ac:dyDescent="0.3">
      <c r="A2580" s="397" t="s">
        <v>3422</v>
      </c>
      <c r="C2580" s="397" t="s">
        <v>1053</v>
      </c>
      <c r="D2580" s="397" t="s">
        <v>3421</v>
      </c>
      <c r="E2580" s="397" t="s">
        <v>602</v>
      </c>
      <c r="F2580" s="397" t="s">
        <v>191</v>
      </c>
      <c r="G2580" s="396">
        <v>6</v>
      </c>
      <c r="H2580" s="395">
        <v>3347.4490000000005</v>
      </c>
      <c r="I2580" s="394">
        <v>154.56</v>
      </c>
      <c r="J2580" s="394">
        <v>4782.07</v>
      </c>
      <c r="K2580" s="393" t="s">
        <v>1033</v>
      </c>
      <c r="L2580" s="395">
        <v>2</v>
      </c>
    </row>
    <row r="2581" spans="1:12" hidden="1" x14ac:dyDescent="0.3">
      <c r="A2581" s="397" t="s">
        <v>5096</v>
      </c>
      <c r="C2581" s="397" t="s">
        <v>1053</v>
      </c>
      <c r="D2581" s="397" t="s">
        <v>5095</v>
      </c>
      <c r="E2581" s="397" t="s">
        <v>5094</v>
      </c>
      <c r="F2581" s="397" t="s">
        <v>191</v>
      </c>
      <c r="G2581" s="396">
        <v>1</v>
      </c>
      <c r="H2581" s="395">
        <v>12482.021999999999</v>
      </c>
      <c r="I2581" s="394">
        <v>21.44</v>
      </c>
      <c r="J2581" s="394">
        <v>17831.46</v>
      </c>
      <c r="K2581" s="393" t="s">
        <v>1033</v>
      </c>
    </row>
    <row r="2582" spans="1:12" hidden="1" x14ac:dyDescent="0.3">
      <c r="A2582" s="397" t="s">
        <v>5078</v>
      </c>
      <c r="C2582" s="397" t="s">
        <v>1053</v>
      </c>
      <c r="D2582" s="397" t="s">
        <v>5077</v>
      </c>
      <c r="E2582" s="397" t="s">
        <v>5076</v>
      </c>
      <c r="F2582" s="397" t="s">
        <v>191</v>
      </c>
      <c r="G2582" s="396">
        <v>1</v>
      </c>
      <c r="H2582" s="395">
        <v>14244.468000000001</v>
      </c>
      <c r="I2582" s="394">
        <v>13.49</v>
      </c>
      <c r="J2582" s="394">
        <v>20349.240000000002</v>
      </c>
      <c r="K2582" s="393" t="s">
        <v>1033</v>
      </c>
    </row>
    <row r="2583" spans="1:12" hidden="1" x14ac:dyDescent="0.3">
      <c r="A2583" s="397" t="s">
        <v>3428</v>
      </c>
      <c r="C2583" s="397" t="s">
        <v>1053</v>
      </c>
      <c r="D2583" s="397" t="s">
        <v>3427</v>
      </c>
      <c r="E2583" s="397" t="s">
        <v>3426</v>
      </c>
      <c r="F2583" s="397" t="s">
        <v>191</v>
      </c>
      <c r="G2583" s="396">
        <v>2</v>
      </c>
      <c r="H2583" s="395">
        <v>8453.732</v>
      </c>
      <c r="I2583" s="394">
        <v>10.199999999999999</v>
      </c>
      <c r="J2583" s="394">
        <v>12076.76</v>
      </c>
      <c r="K2583" s="393" t="s">
        <v>1033</v>
      </c>
    </row>
    <row r="2584" spans="1:12" hidden="1" x14ac:dyDescent="0.3">
      <c r="A2584" s="397" t="s">
        <v>3318</v>
      </c>
      <c r="C2584" s="397" t="s">
        <v>1053</v>
      </c>
      <c r="D2584" s="397" t="s">
        <v>3317</v>
      </c>
      <c r="E2584" s="397" t="s">
        <v>2061</v>
      </c>
      <c r="F2584" s="397" t="s">
        <v>191</v>
      </c>
      <c r="G2584" s="396">
        <v>1</v>
      </c>
      <c r="H2584" s="395">
        <v>4106.2979999999998</v>
      </c>
      <c r="I2584" s="394">
        <v>7.99</v>
      </c>
      <c r="J2584" s="394">
        <v>5866.14</v>
      </c>
      <c r="K2584" s="393" t="s">
        <v>1033</v>
      </c>
    </row>
    <row r="2585" spans="1:12" hidden="1" x14ac:dyDescent="0.3">
      <c r="A2585" s="397" t="s">
        <v>7267</v>
      </c>
      <c r="C2585" s="397" t="s">
        <v>1053</v>
      </c>
      <c r="D2585" s="397" t="s">
        <v>7266</v>
      </c>
      <c r="E2585" s="397" t="s">
        <v>466</v>
      </c>
      <c r="F2585" s="397" t="s">
        <v>191</v>
      </c>
      <c r="G2585" s="396">
        <v>1</v>
      </c>
      <c r="H2585" s="395">
        <v>20586.258000000002</v>
      </c>
      <c r="I2585" s="394">
        <v>13423.76</v>
      </c>
      <c r="J2585" s="394">
        <v>29408.940000000002</v>
      </c>
      <c r="K2585" s="393" t="s">
        <v>1033</v>
      </c>
    </row>
    <row r="2586" spans="1:12" hidden="1" x14ac:dyDescent="0.3">
      <c r="A2586" s="397" t="s">
        <v>7590</v>
      </c>
      <c r="C2586" s="397" t="s">
        <v>1053</v>
      </c>
      <c r="D2586" s="397" t="s">
        <v>7589</v>
      </c>
      <c r="E2586" s="397" t="s">
        <v>7588</v>
      </c>
      <c r="F2586" s="397" t="s">
        <v>191</v>
      </c>
      <c r="G2586" s="396">
        <v>1</v>
      </c>
      <c r="H2586" s="395">
        <v>4372.4520000000002</v>
      </c>
      <c r="I2586" s="394">
        <v>29.43</v>
      </c>
      <c r="J2586" s="394">
        <v>6246.3600000000006</v>
      </c>
      <c r="K2586" s="393" t="s">
        <v>1033</v>
      </c>
    </row>
    <row r="2587" spans="1:12" hidden="1" x14ac:dyDescent="0.3">
      <c r="A2587" s="397" t="s">
        <v>2515</v>
      </c>
      <c r="C2587" s="397" t="s">
        <v>1053</v>
      </c>
      <c r="D2587" s="397" t="s">
        <v>2514</v>
      </c>
      <c r="E2587" s="397" t="s">
        <v>2513</v>
      </c>
      <c r="F2587" s="397" t="s">
        <v>191</v>
      </c>
      <c r="G2587" s="396">
        <v>1</v>
      </c>
      <c r="H2587" s="395">
        <v>2266.6210000000001</v>
      </c>
      <c r="I2587" s="394">
        <v>8.2799999999999994</v>
      </c>
      <c r="J2587" s="394">
        <v>3238.03</v>
      </c>
      <c r="K2587" s="393" t="s">
        <v>1033</v>
      </c>
    </row>
    <row r="2588" spans="1:12" hidden="1" x14ac:dyDescent="0.3">
      <c r="A2588" s="397" t="s">
        <v>3159</v>
      </c>
      <c r="C2588" s="397" t="s">
        <v>1053</v>
      </c>
      <c r="D2588" s="397" t="s">
        <v>3158</v>
      </c>
      <c r="E2588" s="397" t="s">
        <v>3157</v>
      </c>
      <c r="F2588" s="397" t="s">
        <v>191</v>
      </c>
      <c r="G2588" s="396">
        <v>3</v>
      </c>
      <c r="H2588" s="395">
        <v>2628.0309999999999</v>
      </c>
      <c r="I2588" s="394">
        <v>3.16</v>
      </c>
      <c r="J2588" s="394">
        <v>3754.33</v>
      </c>
      <c r="K2588" s="393" t="s">
        <v>1033</v>
      </c>
    </row>
    <row r="2589" spans="1:12" hidden="1" x14ac:dyDescent="0.3">
      <c r="A2589" s="397" t="s">
        <v>2560</v>
      </c>
      <c r="C2589" s="397" t="s">
        <v>1053</v>
      </c>
      <c r="D2589" s="397" t="s">
        <v>2559</v>
      </c>
      <c r="E2589" s="397" t="s">
        <v>2535</v>
      </c>
      <c r="F2589" s="397" t="s">
        <v>191</v>
      </c>
      <c r="G2589" s="396">
        <v>2</v>
      </c>
      <c r="H2589" s="395">
        <v>3165.8970000000004</v>
      </c>
      <c r="I2589" s="394">
        <v>14.09</v>
      </c>
      <c r="J2589" s="394">
        <v>4522.71</v>
      </c>
      <c r="K2589" s="393" t="s">
        <v>1033</v>
      </c>
    </row>
    <row r="2590" spans="1:12" hidden="1" x14ac:dyDescent="0.3">
      <c r="A2590" s="397" t="s">
        <v>3376</v>
      </c>
      <c r="C2590" s="397" t="s">
        <v>1053</v>
      </c>
      <c r="D2590" s="397" t="s">
        <v>3375</v>
      </c>
      <c r="E2590" s="397" t="s">
        <v>676</v>
      </c>
      <c r="F2590" s="397" t="s">
        <v>191</v>
      </c>
      <c r="G2590" s="396">
        <v>1</v>
      </c>
      <c r="H2590" s="395">
        <v>2212.721</v>
      </c>
      <c r="I2590" s="394">
        <v>2.89</v>
      </c>
      <c r="J2590" s="394">
        <v>3161.03</v>
      </c>
      <c r="K2590" s="393" t="s">
        <v>1033</v>
      </c>
    </row>
    <row r="2591" spans="1:12" hidden="1" x14ac:dyDescent="0.3">
      <c r="A2591" s="397" t="s">
        <v>2641</v>
      </c>
      <c r="C2591" s="397" t="s">
        <v>1053</v>
      </c>
      <c r="D2591" s="397" t="s">
        <v>5097</v>
      </c>
      <c r="E2591" s="397" t="s">
        <v>5094</v>
      </c>
      <c r="F2591" s="397" t="s">
        <v>191</v>
      </c>
      <c r="G2591" s="396">
        <v>1</v>
      </c>
      <c r="H2591" s="395">
        <v>12482.021999999999</v>
      </c>
      <c r="I2591" s="394">
        <v>21.44</v>
      </c>
      <c r="J2591" s="394">
        <v>17831.46</v>
      </c>
      <c r="K2591" s="393" t="s">
        <v>1033</v>
      </c>
    </row>
    <row r="2592" spans="1:12" hidden="1" x14ac:dyDescent="0.3">
      <c r="A2592" s="397" t="s">
        <v>2641</v>
      </c>
      <c r="C2592" s="397" t="s">
        <v>1053</v>
      </c>
      <c r="D2592" s="397" t="s">
        <v>2640</v>
      </c>
      <c r="E2592" s="397" t="s">
        <v>596</v>
      </c>
      <c r="F2592" s="397" t="s">
        <v>191</v>
      </c>
      <c r="G2592" s="396">
        <v>4</v>
      </c>
      <c r="H2592" s="395">
        <v>1985.7739999999999</v>
      </c>
      <c r="I2592" s="394">
        <v>10.15</v>
      </c>
      <c r="J2592" s="394">
        <v>2836.82</v>
      </c>
      <c r="K2592" s="393" t="s">
        <v>1033</v>
      </c>
    </row>
    <row r="2593" spans="1:11" hidden="1" x14ac:dyDescent="0.3">
      <c r="A2593" s="397" t="s">
        <v>5362</v>
      </c>
      <c r="C2593" s="397" t="s">
        <v>1053</v>
      </c>
      <c r="D2593" s="397" t="s">
        <v>5361</v>
      </c>
      <c r="E2593" s="397" t="s">
        <v>596</v>
      </c>
      <c r="F2593" s="397" t="s">
        <v>191</v>
      </c>
      <c r="G2593" s="396">
        <v>2</v>
      </c>
      <c r="H2593" s="395">
        <v>6129.4940000000006</v>
      </c>
      <c r="I2593" s="394">
        <v>1.8800000000000001</v>
      </c>
      <c r="J2593" s="394">
        <v>8756.42</v>
      </c>
      <c r="K2593" s="393" t="s">
        <v>1033</v>
      </c>
    </row>
    <row r="2594" spans="1:11" hidden="1" x14ac:dyDescent="0.3">
      <c r="A2594" s="397" t="s">
        <v>6337</v>
      </c>
      <c r="C2594" s="397" t="s">
        <v>1053</v>
      </c>
      <c r="D2594" s="397" t="s">
        <v>6336</v>
      </c>
      <c r="E2594" s="397" t="s">
        <v>2035</v>
      </c>
      <c r="F2594" s="397" t="s">
        <v>191</v>
      </c>
      <c r="G2594" s="396">
        <v>4</v>
      </c>
      <c r="H2594" s="395">
        <v>17520.216</v>
      </c>
      <c r="I2594" s="394">
        <v>791.18000000000006</v>
      </c>
      <c r="J2594" s="394">
        <v>25028.880000000001</v>
      </c>
      <c r="K2594" s="393" t="s">
        <v>1033</v>
      </c>
    </row>
    <row r="2595" spans="1:11" hidden="1" x14ac:dyDescent="0.3">
      <c r="A2595" s="397" t="s">
        <v>6849</v>
      </c>
      <c r="C2595" s="397" t="s">
        <v>1053</v>
      </c>
      <c r="D2595" s="397" t="s">
        <v>6848</v>
      </c>
      <c r="E2595" s="397" t="s">
        <v>6847</v>
      </c>
      <c r="F2595" s="397" t="s">
        <v>191</v>
      </c>
      <c r="G2595" s="396">
        <v>2</v>
      </c>
      <c r="H2595" s="395">
        <v>16283.365</v>
      </c>
      <c r="I2595" s="394">
        <v>4.07</v>
      </c>
      <c r="J2595" s="394">
        <v>23261.95</v>
      </c>
      <c r="K2595" s="393" t="s">
        <v>1033</v>
      </c>
    </row>
    <row r="2596" spans="1:11" hidden="1" x14ac:dyDescent="0.3">
      <c r="A2596" s="397" t="s">
        <v>2239</v>
      </c>
      <c r="C2596" s="397" t="s">
        <v>1053</v>
      </c>
      <c r="D2596" s="397" t="s">
        <v>2238</v>
      </c>
      <c r="E2596" s="397" t="s">
        <v>466</v>
      </c>
      <c r="F2596" s="397" t="s">
        <v>191</v>
      </c>
      <c r="G2596" s="396">
        <v>2</v>
      </c>
      <c r="H2596" s="395">
        <v>11233.816999999999</v>
      </c>
      <c r="I2596" s="394">
        <v>15.32</v>
      </c>
      <c r="J2596" s="394">
        <v>16048.31</v>
      </c>
      <c r="K2596" s="393" t="s">
        <v>1033</v>
      </c>
    </row>
    <row r="2597" spans="1:11" hidden="1" x14ac:dyDescent="0.3">
      <c r="A2597" s="397" t="s">
        <v>4137</v>
      </c>
      <c r="C2597" s="397" t="s">
        <v>1034</v>
      </c>
      <c r="D2597" s="397" t="s">
        <v>4136</v>
      </c>
      <c r="E2597" s="397" t="s">
        <v>4135</v>
      </c>
      <c r="F2597" s="397" t="s">
        <v>416</v>
      </c>
      <c r="G2597" s="396">
        <v>2</v>
      </c>
      <c r="H2597" s="395">
        <v>13.921599999999998</v>
      </c>
      <c r="I2597" s="394">
        <v>4.33</v>
      </c>
      <c r="J2597" s="394">
        <v>18.079999999999998</v>
      </c>
      <c r="K2597" s="393" t="s">
        <v>1033</v>
      </c>
    </row>
    <row r="2598" spans="1:11" hidden="1" x14ac:dyDescent="0.3">
      <c r="A2598" s="397" t="s">
        <v>5191</v>
      </c>
      <c r="C2598" s="397" t="s">
        <v>1053</v>
      </c>
      <c r="D2598" s="397" t="s">
        <v>5190</v>
      </c>
      <c r="E2598" s="397" t="s">
        <v>5189</v>
      </c>
      <c r="F2598" s="397" t="s">
        <v>191</v>
      </c>
      <c r="G2598" s="396">
        <v>1</v>
      </c>
      <c r="H2598" s="395">
        <v>12311.81</v>
      </c>
      <c r="I2598" s="394">
        <v>21.23</v>
      </c>
      <c r="J2598" s="394">
        <v>17588.3</v>
      </c>
      <c r="K2598" s="393" t="s">
        <v>1033</v>
      </c>
    </row>
    <row r="2599" spans="1:11" hidden="1" x14ac:dyDescent="0.3">
      <c r="A2599" s="397" t="s">
        <v>3145</v>
      </c>
      <c r="C2599" s="397" t="s">
        <v>1053</v>
      </c>
      <c r="D2599" s="397" t="s">
        <v>3144</v>
      </c>
      <c r="E2599" s="397" t="s">
        <v>3143</v>
      </c>
      <c r="F2599" s="397" t="s">
        <v>191</v>
      </c>
      <c r="G2599" s="396">
        <v>1</v>
      </c>
      <c r="H2599" s="395">
        <v>5843.8519999999999</v>
      </c>
      <c r="I2599" s="394">
        <v>8.58</v>
      </c>
      <c r="J2599" s="394">
        <v>8348.36</v>
      </c>
      <c r="K2599" s="393" t="s">
        <v>1033</v>
      </c>
    </row>
    <row r="2600" spans="1:11" hidden="1" x14ac:dyDescent="0.3">
      <c r="A2600" s="397" t="s">
        <v>6506</v>
      </c>
      <c r="C2600" s="397" t="s">
        <v>1053</v>
      </c>
      <c r="D2600" s="397" t="s">
        <v>6505</v>
      </c>
      <c r="E2600" s="397" t="s">
        <v>6504</v>
      </c>
      <c r="F2600" s="397" t="s">
        <v>191</v>
      </c>
      <c r="G2600" s="396">
        <v>1</v>
      </c>
      <c r="H2600" s="395">
        <v>11552.736999999999</v>
      </c>
      <c r="I2600" s="394">
        <v>211.76</v>
      </c>
      <c r="J2600" s="394">
        <v>16503.91</v>
      </c>
      <c r="K2600" s="393" t="s">
        <v>1033</v>
      </c>
    </row>
    <row r="2601" spans="1:11" hidden="1" x14ac:dyDescent="0.3">
      <c r="A2601" s="397" t="s">
        <v>2031</v>
      </c>
      <c r="C2601" s="397" t="s">
        <v>1053</v>
      </c>
      <c r="D2601" s="397" t="s">
        <v>2030</v>
      </c>
      <c r="E2601" s="397" t="s">
        <v>2029</v>
      </c>
      <c r="F2601" s="397" t="s">
        <v>191</v>
      </c>
      <c r="G2601" s="396">
        <v>1</v>
      </c>
      <c r="H2601" s="395">
        <v>3011.288</v>
      </c>
      <c r="I2601" s="394">
        <v>38.729999999999997</v>
      </c>
      <c r="J2601" s="394">
        <v>4301.84</v>
      </c>
      <c r="K2601" s="393" t="s">
        <v>1033</v>
      </c>
    </row>
    <row r="2602" spans="1:11" hidden="1" x14ac:dyDescent="0.3">
      <c r="A2602" s="397" t="s">
        <v>7518</v>
      </c>
      <c r="C2602" s="397" t="s">
        <v>1053</v>
      </c>
      <c r="D2602" s="397" t="s">
        <v>7517</v>
      </c>
      <c r="E2602" s="397" t="s">
        <v>441</v>
      </c>
      <c r="F2602" s="397" t="s">
        <v>191</v>
      </c>
      <c r="G2602" s="396">
        <v>1</v>
      </c>
      <c r="H2602" s="395">
        <v>39602.044999999998</v>
      </c>
      <c r="I2602" s="394">
        <v>12.94</v>
      </c>
      <c r="J2602" s="394">
        <v>56574.35</v>
      </c>
      <c r="K2602" s="393" t="s">
        <v>1033</v>
      </c>
    </row>
    <row r="2603" spans="1:11" hidden="1" x14ac:dyDescent="0.3">
      <c r="A2603" s="397" t="s">
        <v>1054</v>
      </c>
      <c r="C2603" s="397" t="s">
        <v>1053</v>
      </c>
      <c r="D2603" s="397" t="s">
        <v>1052</v>
      </c>
      <c r="E2603" s="397" t="s">
        <v>1051</v>
      </c>
      <c r="F2603" s="397" t="s">
        <v>416</v>
      </c>
      <c r="G2603" s="396">
        <v>1</v>
      </c>
      <c r="H2603" s="395">
        <v>140.80000000000001</v>
      </c>
      <c r="I2603" s="394">
        <v>117</v>
      </c>
      <c r="J2603" s="394">
        <v>176</v>
      </c>
      <c r="K2603" s="393" t="s">
        <v>1033</v>
      </c>
    </row>
    <row r="2604" spans="1:11" hidden="1" x14ac:dyDescent="0.3">
      <c r="A2604" s="397" t="s">
        <v>5780</v>
      </c>
      <c r="C2604" s="397" t="s">
        <v>1053</v>
      </c>
      <c r="D2604" s="397" t="s">
        <v>5779</v>
      </c>
      <c r="E2604" s="397" t="s">
        <v>2240</v>
      </c>
      <c r="F2604" s="397" t="s">
        <v>191</v>
      </c>
      <c r="G2604" s="396">
        <v>2</v>
      </c>
      <c r="H2604" s="395">
        <v>26779.606</v>
      </c>
      <c r="I2604" s="394">
        <v>1376.07</v>
      </c>
      <c r="J2604" s="394">
        <v>38256.58</v>
      </c>
      <c r="K2604" s="393" t="s">
        <v>1033</v>
      </c>
    </row>
    <row r="2605" spans="1:11" hidden="1" x14ac:dyDescent="0.3">
      <c r="A2605" s="397" t="s">
        <v>2224</v>
      </c>
      <c r="C2605" s="397" t="s">
        <v>1053</v>
      </c>
      <c r="D2605" s="397" t="s">
        <v>2223</v>
      </c>
      <c r="E2605" s="397" t="s">
        <v>2222</v>
      </c>
      <c r="F2605" s="397" t="s">
        <v>191</v>
      </c>
      <c r="G2605" s="396">
        <v>12</v>
      </c>
      <c r="H2605" s="395">
        <v>5106.2830000000004</v>
      </c>
      <c r="I2605" s="394">
        <v>4690.3900000000003</v>
      </c>
      <c r="J2605" s="394">
        <v>7294.6900000000005</v>
      </c>
      <c r="K2605" s="393" t="s">
        <v>1033</v>
      </c>
    </row>
    <row r="2606" spans="1:11" hidden="1" x14ac:dyDescent="0.3">
      <c r="A2606" s="397" t="s">
        <v>3343</v>
      </c>
      <c r="C2606" s="397" t="s">
        <v>1053</v>
      </c>
      <c r="D2606" s="397" t="s">
        <v>3342</v>
      </c>
      <c r="E2606" s="397" t="s">
        <v>676</v>
      </c>
      <c r="F2606" s="397" t="s">
        <v>191</v>
      </c>
      <c r="G2606" s="396">
        <v>2</v>
      </c>
      <c r="H2606" s="395">
        <v>6360.1580000000004</v>
      </c>
      <c r="I2606" s="394">
        <v>5.38</v>
      </c>
      <c r="J2606" s="394">
        <v>9085.94</v>
      </c>
      <c r="K2606" s="393" t="s">
        <v>1033</v>
      </c>
    </row>
    <row r="2607" spans="1:11" hidden="1" x14ac:dyDescent="0.3">
      <c r="A2607" s="397" t="s">
        <v>3337</v>
      </c>
      <c r="C2607" s="397" t="s">
        <v>1053</v>
      </c>
      <c r="D2607" s="397" t="s">
        <v>3336</v>
      </c>
      <c r="E2607" s="397" t="s">
        <v>676</v>
      </c>
      <c r="F2607" s="397" t="s">
        <v>191</v>
      </c>
      <c r="G2607" s="396">
        <v>9</v>
      </c>
      <c r="H2607" s="395">
        <v>8376.8510000000006</v>
      </c>
      <c r="I2607" s="394">
        <v>6214.5</v>
      </c>
      <c r="J2607" s="394">
        <v>11966.93</v>
      </c>
      <c r="K2607" s="393" t="s">
        <v>1033</v>
      </c>
    </row>
    <row r="2608" spans="1:11" hidden="1" x14ac:dyDescent="0.3">
      <c r="A2608" s="397" t="s">
        <v>3345</v>
      </c>
      <c r="C2608" s="397" t="s">
        <v>1053</v>
      </c>
      <c r="D2608" s="397" t="s">
        <v>3344</v>
      </c>
      <c r="E2608" s="397" t="s">
        <v>676</v>
      </c>
      <c r="F2608" s="397" t="s">
        <v>191</v>
      </c>
      <c r="G2608" s="396">
        <v>4</v>
      </c>
      <c r="H2608" s="395">
        <v>6360.1580000000004</v>
      </c>
      <c r="I2608" s="394">
        <v>6.42</v>
      </c>
      <c r="J2608" s="394">
        <v>9085.94</v>
      </c>
      <c r="K2608" s="393" t="s">
        <v>1033</v>
      </c>
    </row>
    <row r="2609" spans="1:12" hidden="1" x14ac:dyDescent="0.3">
      <c r="A2609" s="397" t="s">
        <v>6161</v>
      </c>
      <c r="C2609" s="397" t="s">
        <v>1053</v>
      </c>
      <c r="D2609" s="397" t="s">
        <v>6160</v>
      </c>
      <c r="E2609" s="397" t="s">
        <v>6159</v>
      </c>
      <c r="F2609" s="397" t="s">
        <v>191</v>
      </c>
      <c r="G2609" s="396">
        <v>2</v>
      </c>
      <c r="H2609" s="395">
        <v>66438.392999999996</v>
      </c>
      <c r="I2609" s="394">
        <v>72.08</v>
      </c>
      <c r="J2609" s="394">
        <v>94911.99</v>
      </c>
      <c r="K2609" s="393" t="s">
        <v>1033</v>
      </c>
    </row>
    <row r="2610" spans="1:12" hidden="1" x14ac:dyDescent="0.3">
      <c r="A2610" s="397" t="s">
        <v>2753</v>
      </c>
      <c r="C2610" s="397" t="s">
        <v>1053</v>
      </c>
      <c r="D2610" s="397" t="s">
        <v>2752</v>
      </c>
      <c r="E2610" s="397" t="s">
        <v>2240</v>
      </c>
      <c r="F2610" s="397" t="s">
        <v>191</v>
      </c>
      <c r="G2610" s="396">
        <v>10</v>
      </c>
      <c r="H2610" s="395">
        <v>3394.5450000000001</v>
      </c>
      <c r="I2610" s="394">
        <v>3294.57</v>
      </c>
      <c r="J2610" s="394">
        <v>4849.3500000000004</v>
      </c>
      <c r="K2610" s="393" t="s">
        <v>1033</v>
      </c>
      <c r="L2610" s="395">
        <v>18</v>
      </c>
    </row>
    <row r="2611" spans="1:12" hidden="1" x14ac:dyDescent="0.3">
      <c r="A2611" s="397" t="s">
        <v>6130</v>
      </c>
      <c r="C2611" s="397" t="s">
        <v>1053</v>
      </c>
      <c r="D2611" s="397" t="s">
        <v>6129</v>
      </c>
      <c r="E2611" s="397" t="s">
        <v>6105</v>
      </c>
      <c r="F2611" s="397" t="s">
        <v>191</v>
      </c>
      <c r="G2611" s="396">
        <v>10</v>
      </c>
      <c r="H2611" s="395">
        <v>20038.753000000001</v>
      </c>
      <c r="I2611" s="394">
        <v>1306.73</v>
      </c>
      <c r="J2611" s="394">
        <v>28626.79</v>
      </c>
      <c r="K2611" s="393" t="s">
        <v>1033</v>
      </c>
    </row>
    <row r="2612" spans="1:12" hidden="1" x14ac:dyDescent="0.3">
      <c r="A2612" s="397" t="s">
        <v>2230</v>
      </c>
      <c r="C2612" s="397" t="s">
        <v>1053</v>
      </c>
      <c r="D2612" s="397" t="s">
        <v>2229</v>
      </c>
      <c r="E2612" s="397" t="s">
        <v>2225</v>
      </c>
      <c r="F2612" s="397" t="s">
        <v>191</v>
      </c>
      <c r="G2612" s="396">
        <v>2</v>
      </c>
      <c r="H2612" s="395">
        <v>9474.99</v>
      </c>
      <c r="I2612" s="394">
        <v>7.23</v>
      </c>
      <c r="J2612" s="394">
        <v>13535.7</v>
      </c>
      <c r="K2612" s="393" t="s">
        <v>1033</v>
      </c>
    </row>
    <row r="2613" spans="1:12" hidden="1" x14ac:dyDescent="0.3">
      <c r="A2613" s="397" t="s">
        <v>2596</v>
      </c>
      <c r="C2613" s="397" t="s">
        <v>1053</v>
      </c>
      <c r="D2613" s="397" t="s">
        <v>2595</v>
      </c>
      <c r="E2613" s="397" t="s">
        <v>2240</v>
      </c>
      <c r="F2613" s="397" t="s">
        <v>191</v>
      </c>
      <c r="G2613" s="396">
        <v>7</v>
      </c>
      <c r="H2613" s="395">
        <v>4599.0559999999996</v>
      </c>
      <c r="I2613" s="394">
        <v>2671.62</v>
      </c>
      <c r="J2613" s="394">
        <v>6570.08</v>
      </c>
      <c r="K2613" s="393" t="s">
        <v>1033</v>
      </c>
    </row>
    <row r="2614" spans="1:12" hidden="1" x14ac:dyDescent="0.3">
      <c r="A2614" s="397" t="s">
        <v>7161</v>
      </c>
      <c r="C2614" s="397" t="s">
        <v>1053</v>
      </c>
      <c r="D2614" s="397" t="s">
        <v>7160</v>
      </c>
      <c r="E2614" s="397" t="s">
        <v>7159</v>
      </c>
      <c r="F2614" s="397" t="s">
        <v>191</v>
      </c>
      <c r="G2614" s="396">
        <v>2</v>
      </c>
      <c r="H2614" s="395">
        <v>25429.277999999998</v>
      </c>
      <c r="I2614" s="394">
        <v>189.09</v>
      </c>
      <c r="J2614" s="394">
        <v>36327.54</v>
      </c>
      <c r="K2614" s="393" t="s">
        <v>1033</v>
      </c>
    </row>
    <row r="2615" spans="1:12" hidden="1" x14ac:dyDescent="0.3">
      <c r="A2615" s="397" t="s">
        <v>2264</v>
      </c>
      <c r="C2615" s="397" t="s">
        <v>1053</v>
      </c>
      <c r="D2615" s="397" t="s">
        <v>2263</v>
      </c>
      <c r="E2615" s="397" t="s">
        <v>2240</v>
      </c>
      <c r="F2615" s="397" t="s">
        <v>191</v>
      </c>
      <c r="G2615" s="396">
        <v>2</v>
      </c>
      <c r="H2615" s="395">
        <v>9690.8700000000008</v>
      </c>
      <c r="I2615" s="394">
        <v>4863.8100000000004</v>
      </c>
      <c r="J2615" s="394">
        <v>13844.1</v>
      </c>
      <c r="K2615" s="393" t="s">
        <v>1033</v>
      </c>
    </row>
    <row r="2616" spans="1:12" hidden="1" x14ac:dyDescent="0.3">
      <c r="A2616" s="397" t="s">
        <v>6107</v>
      </c>
      <c r="C2616" s="397" t="s">
        <v>1053</v>
      </c>
      <c r="D2616" s="397" t="s">
        <v>6106</v>
      </c>
      <c r="E2616" s="397" t="s">
        <v>6105</v>
      </c>
      <c r="F2616" s="397" t="s">
        <v>191</v>
      </c>
      <c r="G2616" s="396">
        <v>2</v>
      </c>
      <c r="H2616" s="395">
        <v>21617.393</v>
      </c>
      <c r="I2616" s="394">
        <v>782.5</v>
      </c>
      <c r="J2616" s="394">
        <v>30881.99</v>
      </c>
      <c r="K2616" s="393" t="s">
        <v>1033</v>
      </c>
      <c r="L2616" s="395">
        <v>2</v>
      </c>
    </row>
    <row r="2617" spans="1:12" hidden="1" x14ac:dyDescent="0.3">
      <c r="A2617" s="397" t="s">
        <v>2598</v>
      </c>
      <c r="C2617" s="397" t="s">
        <v>1053</v>
      </c>
      <c r="D2617" s="397" t="s">
        <v>2597</v>
      </c>
      <c r="E2617" s="397" t="s">
        <v>2240</v>
      </c>
      <c r="F2617" s="397" t="s">
        <v>191</v>
      </c>
      <c r="G2617" s="396">
        <v>5</v>
      </c>
      <c r="H2617" s="395">
        <v>5091.8140000000003</v>
      </c>
      <c r="I2617" s="394">
        <v>268.02</v>
      </c>
      <c r="J2617" s="394">
        <v>7274.02</v>
      </c>
      <c r="K2617" s="393" t="s">
        <v>1033</v>
      </c>
    </row>
    <row r="2618" spans="1:12" hidden="1" x14ac:dyDescent="0.3">
      <c r="A2618" s="397" t="s">
        <v>3084</v>
      </c>
      <c r="C2618" s="397" t="s">
        <v>1053</v>
      </c>
      <c r="D2618" s="397" t="s">
        <v>3083</v>
      </c>
      <c r="E2618" s="397" t="s">
        <v>596</v>
      </c>
      <c r="F2618" s="397" t="s">
        <v>191</v>
      </c>
      <c r="G2618" s="396">
        <v>6</v>
      </c>
      <c r="H2618" s="395">
        <v>2244.7809999999999</v>
      </c>
      <c r="I2618" s="394">
        <v>3.0700000000000003</v>
      </c>
      <c r="J2618" s="394">
        <v>3206.83</v>
      </c>
      <c r="K2618" s="393" t="s">
        <v>1033</v>
      </c>
    </row>
    <row r="2619" spans="1:12" hidden="1" x14ac:dyDescent="0.3">
      <c r="A2619" s="397" t="s">
        <v>2268</v>
      </c>
      <c r="C2619" s="397" t="s">
        <v>1053</v>
      </c>
      <c r="D2619" s="397" t="s">
        <v>2267</v>
      </c>
      <c r="E2619" s="397" t="s">
        <v>2252</v>
      </c>
      <c r="F2619" s="397" t="s">
        <v>191</v>
      </c>
      <c r="G2619" s="396">
        <v>6</v>
      </c>
      <c r="H2619" s="395">
        <v>5858.3209999999999</v>
      </c>
      <c r="I2619" s="394">
        <v>332.69</v>
      </c>
      <c r="J2619" s="394">
        <v>8369.0300000000007</v>
      </c>
      <c r="K2619" s="393" t="s">
        <v>1033</v>
      </c>
    </row>
    <row r="2620" spans="1:12" hidden="1" x14ac:dyDescent="0.3">
      <c r="A2620" s="397" t="s">
        <v>3066</v>
      </c>
      <c r="C2620" s="397" t="s">
        <v>1053</v>
      </c>
      <c r="D2620" s="397" t="s">
        <v>3065</v>
      </c>
      <c r="E2620" s="397" t="s">
        <v>2041</v>
      </c>
      <c r="F2620" s="397" t="s">
        <v>191</v>
      </c>
      <c r="G2620" s="396">
        <v>17</v>
      </c>
      <c r="H2620" s="395">
        <v>1872.3040000000001</v>
      </c>
      <c r="I2620" s="394">
        <v>2.2200000000000002</v>
      </c>
      <c r="J2620" s="394">
        <v>2674.7200000000003</v>
      </c>
      <c r="K2620" s="393" t="s">
        <v>1033</v>
      </c>
    </row>
    <row r="2621" spans="1:12" hidden="1" x14ac:dyDescent="0.3">
      <c r="A2621" s="397" t="s">
        <v>3071</v>
      </c>
      <c r="C2621" s="397" t="s">
        <v>1053</v>
      </c>
      <c r="D2621" s="397" t="s">
        <v>3070</v>
      </c>
      <c r="E2621" s="397" t="s">
        <v>596</v>
      </c>
      <c r="F2621" s="397" t="s">
        <v>191</v>
      </c>
      <c r="G2621" s="396">
        <v>4</v>
      </c>
      <c r="H2621" s="395">
        <v>1872.3040000000001</v>
      </c>
      <c r="I2621" s="394">
        <v>7.34</v>
      </c>
      <c r="J2621" s="394">
        <v>2674.7200000000003</v>
      </c>
      <c r="K2621" s="393" t="s">
        <v>1033</v>
      </c>
    </row>
    <row r="2622" spans="1:12" hidden="1" x14ac:dyDescent="0.3">
      <c r="A2622" s="397" t="s">
        <v>3080</v>
      </c>
      <c r="C2622" s="397" t="s">
        <v>1053</v>
      </c>
      <c r="D2622" s="397" t="s">
        <v>3079</v>
      </c>
      <c r="E2622" s="397" t="s">
        <v>596</v>
      </c>
      <c r="F2622" s="397" t="s">
        <v>191</v>
      </c>
      <c r="G2622" s="396">
        <v>2</v>
      </c>
      <c r="H2622" s="395">
        <v>5389.9650000000001</v>
      </c>
      <c r="I2622" s="394">
        <v>1.78</v>
      </c>
      <c r="J2622" s="394">
        <v>7699.95</v>
      </c>
      <c r="K2622" s="393" t="s">
        <v>1033</v>
      </c>
    </row>
    <row r="2623" spans="1:12" hidden="1" x14ac:dyDescent="0.3">
      <c r="A2623" s="397" t="s">
        <v>2639</v>
      </c>
      <c r="C2623" s="397" t="s">
        <v>1053</v>
      </c>
      <c r="D2623" s="397" t="s">
        <v>2638</v>
      </c>
      <c r="E2623" s="397" t="s">
        <v>596</v>
      </c>
      <c r="F2623" s="397" t="s">
        <v>191</v>
      </c>
      <c r="G2623" s="396">
        <v>3</v>
      </c>
      <c r="H2623" s="395">
        <v>2553.1379999999999</v>
      </c>
      <c r="I2623" s="394">
        <v>3.65</v>
      </c>
      <c r="J2623" s="394">
        <v>3647.34</v>
      </c>
      <c r="K2623" s="393" t="s">
        <v>1033</v>
      </c>
    </row>
    <row r="2624" spans="1:12" hidden="1" x14ac:dyDescent="0.3">
      <c r="A2624" s="397" t="s">
        <v>2651</v>
      </c>
      <c r="C2624" s="397" t="s">
        <v>1053</v>
      </c>
      <c r="D2624" s="397" t="s">
        <v>2650</v>
      </c>
      <c r="E2624" s="397" t="s">
        <v>596</v>
      </c>
      <c r="F2624" s="397" t="s">
        <v>191</v>
      </c>
      <c r="G2624" s="396">
        <v>5</v>
      </c>
      <c r="H2624" s="395">
        <v>2792.2859999999996</v>
      </c>
      <c r="I2624" s="394">
        <v>19.920000000000002</v>
      </c>
      <c r="J2624" s="394">
        <v>3988.98</v>
      </c>
      <c r="K2624" s="393" t="s">
        <v>1033</v>
      </c>
    </row>
    <row r="2625" spans="1:12" hidden="1" x14ac:dyDescent="0.3">
      <c r="A2625" s="397" t="s">
        <v>4102</v>
      </c>
      <c r="C2625" s="397" t="s">
        <v>1053</v>
      </c>
      <c r="D2625" s="397" t="s">
        <v>6816</v>
      </c>
      <c r="E2625" s="397" t="s">
        <v>510</v>
      </c>
      <c r="F2625" s="397" t="s">
        <v>191</v>
      </c>
      <c r="G2625" s="396">
        <v>2</v>
      </c>
      <c r="H2625" s="395">
        <v>96173.973000000013</v>
      </c>
      <c r="I2625" s="394">
        <v>91332.87</v>
      </c>
      <c r="J2625" s="394">
        <v>137391.39000000001</v>
      </c>
      <c r="K2625" s="393" t="s">
        <v>1033</v>
      </c>
      <c r="L2625" s="395">
        <v>1</v>
      </c>
    </row>
    <row r="2626" spans="1:12" hidden="1" x14ac:dyDescent="0.3">
      <c r="A2626" s="397" t="s">
        <v>4102</v>
      </c>
      <c r="C2626" s="397" t="s">
        <v>1053</v>
      </c>
      <c r="D2626" s="397" t="s">
        <v>4101</v>
      </c>
      <c r="E2626" s="397" t="s">
        <v>4100</v>
      </c>
      <c r="F2626" s="397" t="s">
        <v>191</v>
      </c>
      <c r="G2626" s="396">
        <v>1</v>
      </c>
      <c r="H2626" s="395">
        <v>2990295.0419999994</v>
      </c>
      <c r="I2626" s="394">
        <v>41592.9</v>
      </c>
      <c r="J2626" s="394">
        <v>4271850.0599999996</v>
      </c>
      <c r="K2626" s="393" t="s">
        <v>1033</v>
      </c>
    </row>
    <row r="2627" spans="1:12" hidden="1" x14ac:dyDescent="0.3">
      <c r="A2627" s="397" t="s">
        <v>6818</v>
      </c>
      <c r="C2627" s="397" t="s">
        <v>1053</v>
      </c>
      <c r="D2627" s="397" t="s">
        <v>6817</v>
      </c>
      <c r="E2627" s="397" t="s">
        <v>6779</v>
      </c>
      <c r="F2627" s="397" t="s">
        <v>191</v>
      </c>
      <c r="G2627" s="396">
        <v>1</v>
      </c>
      <c r="H2627" s="395">
        <v>107186.205</v>
      </c>
      <c r="I2627" s="394">
        <v>130.41999999999999</v>
      </c>
      <c r="J2627" s="394">
        <v>153123.15</v>
      </c>
      <c r="K2627" s="393" t="s">
        <v>1033</v>
      </c>
    </row>
    <row r="2628" spans="1:12" hidden="1" x14ac:dyDescent="0.3">
      <c r="A2628" s="397" t="s">
        <v>5081</v>
      </c>
      <c r="C2628" s="397" t="s">
        <v>1053</v>
      </c>
      <c r="D2628" s="397" t="s">
        <v>5080</v>
      </c>
      <c r="E2628" s="397" t="s">
        <v>5079</v>
      </c>
      <c r="F2628" s="397" t="s">
        <v>191</v>
      </c>
      <c r="G2628" s="396">
        <v>1</v>
      </c>
      <c r="H2628" s="395">
        <v>228080.56600000002</v>
      </c>
      <c r="I2628" s="394">
        <v>187.34</v>
      </c>
      <c r="J2628" s="394">
        <v>325829.38</v>
      </c>
      <c r="K2628" s="393" t="s">
        <v>1033</v>
      </c>
    </row>
    <row r="2629" spans="1:12" hidden="1" x14ac:dyDescent="0.3">
      <c r="A2629" s="397" t="s">
        <v>815</v>
      </c>
      <c r="C2629" s="397" t="s">
        <v>1053</v>
      </c>
      <c r="D2629" s="397" t="s">
        <v>814</v>
      </c>
      <c r="E2629" s="397" t="s">
        <v>813</v>
      </c>
      <c r="F2629" s="397" t="s">
        <v>191</v>
      </c>
      <c r="G2629" s="396">
        <v>1</v>
      </c>
      <c r="H2629" s="395">
        <v>39828.992000000006</v>
      </c>
      <c r="I2629" s="394">
        <v>569.94000000000005</v>
      </c>
      <c r="J2629" s="394">
        <v>56898.559999999998</v>
      </c>
      <c r="K2629" s="393" t="s">
        <v>1033</v>
      </c>
    </row>
    <row r="2630" spans="1:12" hidden="1" x14ac:dyDescent="0.3">
      <c r="A2630" s="397" t="s">
        <v>4099</v>
      </c>
      <c r="C2630" s="397" t="s">
        <v>1053</v>
      </c>
      <c r="D2630" s="397" t="s">
        <v>4098</v>
      </c>
      <c r="E2630" s="397" t="s">
        <v>4097</v>
      </c>
      <c r="F2630" s="397" t="s">
        <v>191</v>
      </c>
      <c r="G2630" s="396">
        <v>1</v>
      </c>
      <c r="H2630" s="395">
        <v>3073187.0120000001</v>
      </c>
      <c r="I2630" s="394">
        <v>8181.74</v>
      </c>
      <c r="J2630" s="394">
        <v>4390267.16</v>
      </c>
      <c r="K2630" s="393" t="s">
        <v>1033</v>
      </c>
    </row>
    <row r="2631" spans="1:12" hidden="1" x14ac:dyDescent="0.3">
      <c r="A2631" s="397" t="s">
        <v>5821</v>
      </c>
      <c r="C2631" s="397" t="s">
        <v>1053</v>
      </c>
      <c r="D2631" s="397" t="s">
        <v>5820</v>
      </c>
      <c r="E2631" s="397" t="s">
        <v>592</v>
      </c>
      <c r="F2631" s="397" t="s">
        <v>191</v>
      </c>
      <c r="G2631" s="396">
        <v>1</v>
      </c>
      <c r="H2631" s="395">
        <v>81869.053</v>
      </c>
      <c r="I2631" s="394">
        <v>3573.87</v>
      </c>
      <c r="J2631" s="394">
        <v>116955.79000000001</v>
      </c>
      <c r="K2631" s="393" t="s">
        <v>1033</v>
      </c>
    </row>
    <row r="2632" spans="1:12" hidden="1" x14ac:dyDescent="0.3">
      <c r="A2632" s="397" t="s">
        <v>4116</v>
      </c>
      <c r="C2632" s="397" t="s">
        <v>1053</v>
      </c>
      <c r="D2632" s="397" t="s">
        <v>4749</v>
      </c>
      <c r="E2632" s="397" t="s">
        <v>4748</v>
      </c>
      <c r="F2632" s="397" t="s">
        <v>191</v>
      </c>
      <c r="G2632" s="396">
        <v>1</v>
      </c>
      <c r="H2632" s="395">
        <v>176166.704</v>
      </c>
      <c r="I2632" s="394">
        <v>1374.14</v>
      </c>
      <c r="J2632" s="394">
        <v>251666.72</v>
      </c>
      <c r="K2632" s="393" t="s">
        <v>1033</v>
      </c>
    </row>
    <row r="2633" spans="1:12" hidden="1" x14ac:dyDescent="0.3">
      <c r="A2633" s="397" t="s">
        <v>4116</v>
      </c>
      <c r="C2633" s="397" t="s">
        <v>1053</v>
      </c>
      <c r="D2633" s="397" t="s">
        <v>4115</v>
      </c>
      <c r="E2633" s="397" t="s">
        <v>4114</v>
      </c>
      <c r="F2633" s="397" t="s">
        <v>191</v>
      </c>
      <c r="G2633" s="396">
        <v>1</v>
      </c>
      <c r="H2633" s="395">
        <v>4472137.8660000004</v>
      </c>
      <c r="I2633" s="394">
        <v>265261.17</v>
      </c>
      <c r="J2633" s="394">
        <v>6388768.3799999999</v>
      </c>
      <c r="K2633" s="393" t="s">
        <v>1033</v>
      </c>
    </row>
    <row r="2634" spans="1:12" hidden="1" x14ac:dyDescent="0.3">
      <c r="A2634" s="397" t="s">
        <v>1456</v>
      </c>
      <c r="C2634" s="397" t="s">
        <v>1053</v>
      </c>
      <c r="D2634" s="397" t="s">
        <v>1455</v>
      </c>
      <c r="E2634" s="397" t="s">
        <v>1454</v>
      </c>
      <c r="F2634" s="397" t="s">
        <v>191</v>
      </c>
      <c r="G2634" s="396">
        <v>1</v>
      </c>
      <c r="H2634" s="395">
        <v>86601.361000000004</v>
      </c>
      <c r="I2634" s="394">
        <v>63418.29</v>
      </c>
      <c r="J2634" s="394">
        <v>123716.23</v>
      </c>
      <c r="K2634" s="393" t="s">
        <v>1033</v>
      </c>
    </row>
    <row r="2635" spans="1:12" hidden="1" x14ac:dyDescent="0.3">
      <c r="A2635" s="397" t="s">
        <v>3658</v>
      </c>
      <c r="C2635" s="397" t="s">
        <v>1053</v>
      </c>
      <c r="D2635" s="397" t="s">
        <v>3657</v>
      </c>
      <c r="E2635" s="397" t="s">
        <v>3656</v>
      </c>
      <c r="F2635" s="397" t="s">
        <v>191</v>
      </c>
      <c r="G2635" s="396">
        <v>2</v>
      </c>
      <c r="H2635" s="395">
        <v>34602.428</v>
      </c>
      <c r="I2635" s="394">
        <v>34331.68</v>
      </c>
      <c r="J2635" s="394">
        <v>49432.04</v>
      </c>
      <c r="K2635" s="393" t="s">
        <v>1033</v>
      </c>
    </row>
    <row r="2636" spans="1:12" hidden="1" x14ac:dyDescent="0.3">
      <c r="A2636" s="397" t="s">
        <v>3655</v>
      </c>
      <c r="C2636" s="397" t="s">
        <v>1053</v>
      </c>
      <c r="D2636" s="397" t="s">
        <v>3654</v>
      </c>
      <c r="E2636" s="397" t="s">
        <v>3653</v>
      </c>
      <c r="F2636" s="397" t="s">
        <v>191</v>
      </c>
      <c r="G2636" s="396">
        <v>2</v>
      </c>
      <c r="H2636" s="395">
        <v>39554.578000000001</v>
      </c>
      <c r="I2636" s="394">
        <v>38855.18</v>
      </c>
      <c r="J2636" s="394">
        <v>56506.54</v>
      </c>
      <c r="K2636" s="393" t="s">
        <v>1033</v>
      </c>
    </row>
    <row r="2637" spans="1:12" hidden="1" x14ac:dyDescent="0.3">
      <c r="A2637" s="397" t="s">
        <v>3719</v>
      </c>
      <c r="C2637" s="397" t="s">
        <v>1053</v>
      </c>
      <c r="D2637" s="397" t="s">
        <v>3718</v>
      </c>
      <c r="E2637" s="397" t="s">
        <v>3717</v>
      </c>
      <c r="F2637" s="397" t="s">
        <v>191</v>
      </c>
      <c r="G2637" s="396">
        <v>4</v>
      </c>
      <c r="H2637" s="395">
        <v>34602.428</v>
      </c>
      <c r="I2637" s="394">
        <v>34331.68</v>
      </c>
      <c r="J2637" s="394">
        <v>49432.04</v>
      </c>
      <c r="K2637" s="393" t="s">
        <v>1033</v>
      </c>
    </row>
    <row r="2638" spans="1:12" hidden="1" x14ac:dyDescent="0.3">
      <c r="A2638" s="397" t="s">
        <v>3721</v>
      </c>
      <c r="C2638" s="397" t="s">
        <v>1053</v>
      </c>
      <c r="D2638" s="397" t="s">
        <v>3720</v>
      </c>
      <c r="E2638" s="397" t="s">
        <v>3714</v>
      </c>
      <c r="F2638" s="397" t="s">
        <v>191</v>
      </c>
      <c r="G2638" s="396">
        <v>2</v>
      </c>
      <c r="H2638" s="395">
        <v>43216.537000000004</v>
      </c>
      <c r="I2638" s="394">
        <v>2241.23</v>
      </c>
      <c r="J2638" s="394">
        <v>61737.91</v>
      </c>
      <c r="K2638" s="393" t="s">
        <v>1033</v>
      </c>
    </row>
    <row r="2639" spans="1:12" hidden="1" x14ac:dyDescent="0.3">
      <c r="A2639" s="397" t="s">
        <v>3716</v>
      </c>
      <c r="C2639" s="397" t="s">
        <v>1053</v>
      </c>
      <c r="D2639" s="397" t="s">
        <v>3715</v>
      </c>
      <c r="E2639" s="397" t="s">
        <v>3714</v>
      </c>
      <c r="F2639" s="397" t="s">
        <v>191</v>
      </c>
      <c r="G2639" s="396">
        <v>1</v>
      </c>
      <c r="H2639" s="395">
        <v>29238.187999999998</v>
      </c>
      <c r="I2639" s="394">
        <v>1289.47</v>
      </c>
      <c r="J2639" s="394">
        <v>41768.839999999997</v>
      </c>
      <c r="K2639" s="393" t="s">
        <v>1033</v>
      </c>
    </row>
    <row r="2640" spans="1:12" hidden="1" x14ac:dyDescent="0.3">
      <c r="A2640" s="397" t="s">
        <v>4105</v>
      </c>
      <c r="C2640" s="397" t="s">
        <v>1053</v>
      </c>
      <c r="D2640" s="397" t="s">
        <v>4104</v>
      </c>
      <c r="E2640" s="397" t="s">
        <v>4103</v>
      </c>
      <c r="F2640" s="397" t="s">
        <v>191</v>
      </c>
      <c r="G2640" s="396">
        <v>1</v>
      </c>
      <c r="H2640" s="395">
        <v>2374537.0950000002</v>
      </c>
      <c r="I2640" s="394">
        <v>92467.55</v>
      </c>
      <c r="J2640" s="394">
        <v>3392195.85</v>
      </c>
      <c r="K2640" s="393" t="s">
        <v>1033</v>
      </c>
    </row>
    <row r="2641" spans="1:12" hidden="1" x14ac:dyDescent="0.3">
      <c r="A2641" s="397" t="s">
        <v>4110</v>
      </c>
      <c r="C2641" s="397" t="s">
        <v>1053</v>
      </c>
      <c r="D2641" s="397" t="s">
        <v>4109</v>
      </c>
      <c r="E2641" s="397" t="s">
        <v>4108</v>
      </c>
      <c r="F2641" s="397" t="s">
        <v>191</v>
      </c>
      <c r="G2641" s="396">
        <v>1</v>
      </c>
      <c r="H2641" s="395">
        <v>3107265.483</v>
      </c>
      <c r="I2641" s="394">
        <v>167138.06</v>
      </c>
      <c r="J2641" s="394">
        <v>4438950.6900000004</v>
      </c>
      <c r="K2641" s="393" t="s">
        <v>1033</v>
      </c>
      <c r="L2641" s="395">
        <v>1</v>
      </c>
    </row>
    <row r="2642" spans="1:12" hidden="1" x14ac:dyDescent="0.3">
      <c r="A2642" s="397" t="s">
        <v>6470</v>
      </c>
      <c r="C2642" s="397" t="s">
        <v>1053</v>
      </c>
      <c r="D2642" s="397" t="s">
        <v>6469</v>
      </c>
      <c r="E2642" s="397" t="s">
        <v>6468</v>
      </c>
      <c r="F2642" s="397" t="s">
        <v>191</v>
      </c>
      <c r="G2642" s="396">
        <v>1</v>
      </c>
      <c r="H2642" s="395">
        <v>22212.05</v>
      </c>
      <c r="I2642" s="394">
        <v>21613.66</v>
      </c>
      <c r="J2642" s="394">
        <v>31731.5</v>
      </c>
      <c r="K2642" s="393" t="s">
        <v>1033</v>
      </c>
    </row>
    <row r="2643" spans="1:12" hidden="1" x14ac:dyDescent="0.3">
      <c r="A2643" s="397" t="s">
        <v>4965</v>
      </c>
      <c r="C2643" s="397" t="s">
        <v>1053</v>
      </c>
      <c r="D2643" s="397" t="s">
        <v>4964</v>
      </c>
      <c r="E2643" s="397" t="s">
        <v>4963</v>
      </c>
      <c r="F2643" s="397" t="s">
        <v>191</v>
      </c>
      <c r="G2643" s="396">
        <v>3</v>
      </c>
      <c r="H2643" s="395">
        <v>88162.955999999991</v>
      </c>
      <c r="I2643" s="394">
        <v>5932.72</v>
      </c>
      <c r="J2643" s="394">
        <v>125947.08</v>
      </c>
      <c r="K2643" s="393" t="s">
        <v>1033</v>
      </c>
    </row>
    <row r="2644" spans="1:12" hidden="1" x14ac:dyDescent="0.3">
      <c r="A2644" s="397" t="s">
        <v>5136</v>
      </c>
      <c r="C2644" s="397" t="s">
        <v>1053</v>
      </c>
      <c r="D2644" s="397" t="s">
        <v>5135</v>
      </c>
      <c r="E2644" s="397" t="s">
        <v>5134</v>
      </c>
      <c r="F2644" s="397" t="s">
        <v>191</v>
      </c>
      <c r="G2644" s="396">
        <v>1</v>
      </c>
      <c r="H2644" s="395">
        <v>89585.804000000004</v>
      </c>
      <c r="I2644" s="394">
        <v>1152.5</v>
      </c>
      <c r="J2644" s="394">
        <v>127979.72</v>
      </c>
      <c r="K2644" s="393" t="s">
        <v>1033</v>
      </c>
    </row>
    <row r="2645" spans="1:12" hidden="1" x14ac:dyDescent="0.3">
      <c r="A2645" s="397" t="s">
        <v>5122</v>
      </c>
      <c r="C2645" s="397" t="s">
        <v>1053</v>
      </c>
      <c r="D2645" s="397" t="s">
        <v>5121</v>
      </c>
      <c r="E2645" s="397" t="s">
        <v>5120</v>
      </c>
      <c r="F2645" s="397" t="s">
        <v>191</v>
      </c>
      <c r="G2645" s="396">
        <v>1</v>
      </c>
      <c r="H2645" s="395">
        <v>106210.65000000001</v>
      </c>
      <c r="I2645" s="394">
        <v>3591.08</v>
      </c>
      <c r="J2645" s="394">
        <v>151729.5</v>
      </c>
      <c r="K2645" s="393" t="s">
        <v>1033</v>
      </c>
    </row>
    <row r="2646" spans="1:12" hidden="1" x14ac:dyDescent="0.3">
      <c r="A2646" s="397" t="s">
        <v>1244</v>
      </c>
      <c r="C2646" s="397" t="s">
        <v>1053</v>
      </c>
      <c r="D2646" s="397" t="s">
        <v>1243</v>
      </c>
      <c r="E2646" s="397" t="s">
        <v>1242</v>
      </c>
      <c r="F2646" s="397" t="s">
        <v>191</v>
      </c>
      <c r="G2646" s="396">
        <v>2</v>
      </c>
      <c r="H2646" s="395">
        <v>4867.723</v>
      </c>
      <c r="I2646" s="394">
        <v>92.56</v>
      </c>
      <c r="J2646" s="394">
        <v>6953.89</v>
      </c>
      <c r="K2646" s="393" t="s">
        <v>1033</v>
      </c>
    </row>
    <row r="2647" spans="1:12" hidden="1" x14ac:dyDescent="0.3">
      <c r="A2647" s="397" t="s">
        <v>1277</v>
      </c>
      <c r="C2647" s="397" t="s">
        <v>1053</v>
      </c>
      <c r="D2647" s="397" t="s">
        <v>1276</v>
      </c>
      <c r="E2647" s="397" t="s">
        <v>1275</v>
      </c>
      <c r="F2647" s="397" t="s">
        <v>191</v>
      </c>
      <c r="G2647" s="396">
        <v>1</v>
      </c>
      <c r="H2647" s="395">
        <v>1293.915</v>
      </c>
      <c r="I2647" s="394">
        <v>495.31</v>
      </c>
      <c r="J2647" s="394">
        <v>1725.22</v>
      </c>
      <c r="K2647" s="393" t="s">
        <v>1033</v>
      </c>
    </row>
    <row r="2648" spans="1:12" hidden="1" x14ac:dyDescent="0.3">
      <c r="A2648" s="397" t="s">
        <v>1268</v>
      </c>
      <c r="C2648" s="397" t="s">
        <v>1053</v>
      </c>
      <c r="D2648" s="397" t="s">
        <v>1267</v>
      </c>
      <c r="E2648" s="397" t="s">
        <v>1266</v>
      </c>
      <c r="F2648" s="397" t="s">
        <v>191</v>
      </c>
      <c r="G2648" s="396">
        <v>1</v>
      </c>
      <c r="H2648" s="395">
        <v>766.06399999999996</v>
      </c>
      <c r="I2648" s="394">
        <v>553.09</v>
      </c>
      <c r="J2648" s="394">
        <v>957.58</v>
      </c>
      <c r="K2648" s="393" t="s">
        <v>1033</v>
      </c>
    </row>
    <row r="2649" spans="1:12" hidden="1" x14ac:dyDescent="0.3">
      <c r="A2649" s="397" t="s">
        <v>3484</v>
      </c>
      <c r="C2649" s="397" t="s">
        <v>3483</v>
      </c>
      <c r="D2649" s="397" t="s">
        <v>3482</v>
      </c>
      <c r="E2649" s="397" t="s">
        <v>3481</v>
      </c>
      <c r="F2649" s="397" t="s">
        <v>416</v>
      </c>
      <c r="G2649" s="396">
        <v>1</v>
      </c>
      <c r="H2649" s="395">
        <v>79.569000000000003</v>
      </c>
      <c r="I2649" s="394">
        <v>75.33</v>
      </c>
      <c r="J2649" s="394">
        <v>113.67</v>
      </c>
      <c r="K2649" s="393" t="s">
        <v>1033</v>
      </c>
    </row>
    <row r="2650" spans="1:12" hidden="1" x14ac:dyDescent="0.3">
      <c r="A2650" s="397" t="s">
        <v>6519</v>
      </c>
      <c r="C2650" s="397" t="s">
        <v>1053</v>
      </c>
      <c r="D2650" s="397" t="s">
        <v>6518</v>
      </c>
      <c r="E2650" s="397" t="s">
        <v>6504</v>
      </c>
      <c r="F2650" s="397" t="s">
        <v>191</v>
      </c>
      <c r="G2650" s="396">
        <v>2</v>
      </c>
      <c r="H2650" s="395">
        <v>46483.331999999995</v>
      </c>
      <c r="I2650" s="394">
        <v>114.77</v>
      </c>
      <c r="J2650" s="394">
        <v>66404.759999999995</v>
      </c>
      <c r="K2650" s="393" t="s">
        <v>1033</v>
      </c>
    </row>
    <row r="2651" spans="1:12" hidden="1" x14ac:dyDescent="0.3">
      <c r="A2651" s="397" t="s">
        <v>5527</v>
      </c>
      <c r="C2651" s="397" t="s">
        <v>1053</v>
      </c>
      <c r="D2651" s="397" t="s">
        <v>5526</v>
      </c>
      <c r="E2651" s="397" t="s">
        <v>5514</v>
      </c>
      <c r="F2651" s="397" t="s">
        <v>191</v>
      </c>
      <c r="G2651" s="396">
        <v>1</v>
      </c>
      <c r="H2651" s="395">
        <v>50881.256999999991</v>
      </c>
      <c r="I2651" s="394">
        <v>2139.86</v>
      </c>
      <c r="J2651" s="394">
        <v>72687.509999999995</v>
      </c>
      <c r="K2651" s="393" t="s">
        <v>1033</v>
      </c>
    </row>
    <row r="2652" spans="1:12" hidden="1" x14ac:dyDescent="0.3">
      <c r="A2652" s="397" t="s">
        <v>5523</v>
      </c>
      <c r="C2652" s="397" t="s">
        <v>1053</v>
      </c>
      <c r="D2652" s="397" t="s">
        <v>5522</v>
      </c>
      <c r="E2652" s="397" t="s">
        <v>5514</v>
      </c>
      <c r="F2652" s="397" t="s">
        <v>191</v>
      </c>
      <c r="G2652" s="396">
        <v>1</v>
      </c>
      <c r="H2652" s="395">
        <v>50881.256999999991</v>
      </c>
      <c r="I2652" s="394">
        <v>2139.86</v>
      </c>
      <c r="J2652" s="394">
        <v>72687.509999999995</v>
      </c>
      <c r="K2652" s="393" t="s">
        <v>1033</v>
      </c>
    </row>
    <row r="2653" spans="1:12" hidden="1" x14ac:dyDescent="0.3">
      <c r="A2653" s="397" t="s">
        <v>6781</v>
      </c>
      <c r="C2653" s="397" t="s">
        <v>1053</v>
      </c>
      <c r="D2653" s="397" t="s">
        <v>6780</v>
      </c>
      <c r="E2653" s="397" t="s">
        <v>6779</v>
      </c>
      <c r="F2653" s="397" t="s">
        <v>191</v>
      </c>
      <c r="G2653" s="396">
        <v>10</v>
      </c>
      <c r="H2653" s="395">
        <v>51055.718000000001</v>
      </c>
      <c r="I2653" s="394">
        <v>2074.73</v>
      </c>
      <c r="J2653" s="394">
        <v>72936.740000000005</v>
      </c>
      <c r="K2653" s="393" t="s">
        <v>1033</v>
      </c>
    </row>
    <row r="2654" spans="1:12" hidden="1" x14ac:dyDescent="0.3">
      <c r="A2654" s="397" t="s">
        <v>6775</v>
      </c>
      <c r="C2654" s="397" t="s">
        <v>1053</v>
      </c>
      <c r="D2654" s="397" t="s">
        <v>6774</v>
      </c>
      <c r="E2654" s="397" t="s">
        <v>510</v>
      </c>
      <c r="F2654" s="397" t="s">
        <v>191</v>
      </c>
      <c r="G2654" s="396">
        <v>8</v>
      </c>
      <c r="H2654" s="395">
        <v>45890.341</v>
      </c>
      <c r="I2654" s="394">
        <v>1537.07</v>
      </c>
      <c r="J2654" s="394">
        <v>65557.63</v>
      </c>
      <c r="K2654" s="393" t="s">
        <v>1033</v>
      </c>
    </row>
    <row r="2655" spans="1:12" hidden="1" x14ac:dyDescent="0.3">
      <c r="A2655" s="397" t="s">
        <v>1111</v>
      </c>
      <c r="C2655" s="397" t="s">
        <v>1034</v>
      </c>
      <c r="D2655" s="397" t="s">
        <v>1110</v>
      </c>
      <c r="E2655" s="397" t="s">
        <v>1109</v>
      </c>
      <c r="F2655" s="397" t="s">
        <v>416</v>
      </c>
      <c r="G2655" s="396">
        <v>4</v>
      </c>
      <c r="H2655" s="395">
        <v>2049.9974999999999</v>
      </c>
      <c r="I2655" s="394">
        <v>2050</v>
      </c>
      <c r="J2655" s="394">
        <v>2733.33</v>
      </c>
      <c r="K2655" s="393" t="s">
        <v>1033</v>
      </c>
    </row>
    <row r="2656" spans="1:12" hidden="1" x14ac:dyDescent="0.3">
      <c r="A2656" s="397" t="s">
        <v>1141</v>
      </c>
      <c r="C2656" s="397" t="s">
        <v>1034</v>
      </c>
      <c r="D2656" s="397" t="s">
        <v>1140</v>
      </c>
      <c r="E2656" s="397" t="s">
        <v>1139</v>
      </c>
      <c r="F2656" s="397" t="s">
        <v>416</v>
      </c>
      <c r="G2656" s="396">
        <v>5</v>
      </c>
      <c r="H2656" s="395">
        <v>168.25379999999998</v>
      </c>
      <c r="I2656" s="394">
        <v>200</v>
      </c>
      <c r="J2656" s="394">
        <v>317.45999999999998</v>
      </c>
      <c r="K2656" s="393" t="s">
        <v>1033</v>
      </c>
    </row>
    <row r="2657" spans="1:12" hidden="1" x14ac:dyDescent="0.3">
      <c r="A2657" s="397" t="s">
        <v>1087</v>
      </c>
      <c r="C2657" s="397" t="s">
        <v>1034</v>
      </c>
      <c r="D2657" s="397" t="s">
        <v>1086</v>
      </c>
      <c r="E2657" s="397" t="s">
        <v>1085</v>
      </c>
      <c r="F2657" s="397" t="s">
        <v>416</v>
      </c>
      <c r="G2657" s="396">
        <v>7</v>
      </c>
      <c r="H2657" s="395">
        <v>509.99625000000003</v>
      </c>
      <c r="I2657" s="394">
        <v>510</v>
      </c>
      <c r="J2657" s="394">
        <v>755.55000000000007</v>
      </c>
      <c r="K2657" s="393" t="s">
        <v>1033</v>
      </c>
    </row>
    <row r="2658" spans="1:12" hidden="1" x14ac:dyDescent="0.3">
      <c r="A2658" s="397" t="s">
        <v>1144</v>
      </c>
      <c r="C2658" s="397" t="s">
        <v>1034</v>
      </c>
      <c r="D2658" s="397" t="s">
        <v>1143</v>
      </c>
      <c r="E2658" s="397" t="s">
        <v>1142</v>
      </c>
      <c r="F2658" s="397" t="s">
        <v>416</v>
      </c>
      <c r="G2658" s="396">
        <v>2</v>
      </c>
      <c r="H2658" s="395">
        <v>3612.8092499999998</v>
      </c>
      <c r="I2658" s="394">
        <v>3612.77</v>
      </c>
      <c r="J2658" s="394">
        <v>5352.31</v>
      </c>
      <c r="K2658" s="393" t="s">
        <v>1033</v>
      </c>
    </row>
    <row r="2659" spans="1:12" hidden="1" x14ac:dyDescent="0.3">
      <c r="A2659" s="397" t="s">
        <v>1060</v>
      </c>
      <c r="C2659" s="397" t="s">
        <v>1034</v>
      </c>
      <c r="D2659" s="397" t="s">
        <v>1059</v>
      </c>
      <c r="E2659" s="397" t="s">
        <v>1058</v>
      </c>
      <c r="F2659" s="397" t="s">
        <v>416</v>
      </c>
      <c r="G2659" s="396">
        <v>2</v>
      </c>
      <c r="H2659" s="395">
        <v>3279.8722499999999</v>
      </c>
      <c r="I2659" s="394">
        <v>3628.36</v>
      </c>
      <c r="J2659" s="394">
        <v>4859.07</v>
      </c>
      <c r="K2659" s="393" t="s">
        <v>1033</v>
      </c>
    </row>
    <row r="2660" spans="1:12" hidden="1" x14ac:dyDescent="0.3">
      <c r="A2660" s="397" t="s">
        <v>5378</v>
      </c>
      <c r="C2660" s="397" t="s">
        <v>1053</v>
      </c>
      <c r="D2660" s="397" t="s">
        <v>5377</v>
      </c>
      <c r="E2660" s="397" t="s">
        <v>5376</v>
      </c>
      <c r="F2660" s="397" t="s">
        <v>191</v>
      </c>
      <c r="G2660" s="396">
        <v>1</v>
      </c>
      <c r="H2660" s="395">
        <v>82759.579000000012</v>
      </c>
      <c r="I2660" s="394">
        <v>2830.85</v>
      </c>
      <c r="J2660" s="394">
        <v>118227.97</v>
      </c>
      <c r="K2660" s="393" t="s">
        <v>1033</v>
      </c>
    </row>
    <row r="2661" spans="1:12" hidden="1" x14ac:dyDescent="0.3">
      <c r="A2661" s="397" t="s">
        <v>5455</v>
      </c>
      <c r="C2661" s="397" t="s">
        <v>1053</v>
      </c>
      <c r="D2661" s="397" t="s">
        <v>5454</v>
      </c>
      <c r="E2661" s="397" t="s">
        <v>5453</v>
      </c>
      <c r="F2661" s="397" t="s">
        <v>191</v>
      </c>
      <c r="G2661" s="396">
        <v>1</v>
      </c>
      <c r="H2661" s="395">
        <v>118731.62699999999</v>
      </c>
      <c r="I2661" s="394">
        <v>114908.61</v>
      </c>
      <c r="J2661" s="394">
        <v>169616.61000000002</v>
      </c>
      <c r="K2661" s="393" t="s">
        <v>1033</v>
      </c>
    </row>
    <row r="2662" spans="1:12" hidden="1" x14ac:dyDescent="0.3">
      <c r="A2662" s="397" t="s">
        <v>5054</v>
      </c>
      <c r="C2662" s="397" t="s">
        <v>1053</v>
      </c>
      <c r="D2662" s="397" t="s">
        <v>5369</v>
      </c>
      <c r="E2662" s="397" t="s">
        <v>5368</v>
      </c>
      <c r="F2662" s="397" t="s">
        <v>191</v>
      </c>
      <c r="G2662" s="396">
        <v>1</v>
      </c>
      <c r="H2662" s="395">
        <v>115449.236</v>
      </c>
      <c r="I2662" s="394">
        <v>111784.99</v>
      </c>
      <c r="J2662" s="394">
        <v>164927.48000000001</v>
      </c>
      <c r="K2662" s="393" t="s">
        <v>1033</v>
      </c>
    </row>
    <row r="2663" spans="1:12" hidden="1" x14ac:dyDescent="0.3">
      <c r="A2663" s="397" t="s">
        <v>5054</v>
      </c>
      <c r="C2663" s="397" t="s">
        <v>1053</v>
      </c>
      <c r="D2663" s="397" t="s">
        <v>5053</v>
      </c>
      <c r="E2663" s="397" t="s">
        <v>5052</v>
      </c>
      <c r="F2663" s="397" t="s">
        <v>191</v>
      </c>
      <c r="G2663" s="396">
        <v>1</v>
      </c>
      <c r="H2663" s="395">
        <v>229878.25699999998</v>
      </c>
      <c r="I2663" s="394">
        <v>204642.01</v>
      </c>
      <c r="J2663" s="394">
        <v>328397.51</v>
      </c>
      <c r="K2663" s="393" t="s">
        <v>1033</v>
      </c>
      <c r="L2663" s="395">
        <v>-1</v>
      </c>
    </row>
    <row r="2664" spans="1:12" hidden="1" x14ac:dyDescent="0.3">
      <c r="A2664" s="397" t="s">
        <v>4403</v>
      </c>
      <c r="C2664" s="397" t="s">
        <v>1053</v>
      </c>
      <c r="D2664" s="397" t="s">
        <v>4402</v>
      </c>
      <c r="E2664" s="397" t="s">
        <v>4401</v>
      </c>
      <c r="F2664" s="397" t="s">
        <v>191</v>
      </c>
      <c r="G2664" s="396">
        <v>1</v>
      </c>
      <c r="H2664" s="395">
        <v>16995.523999999998</v>
      </c>
      <c r="I2664" s="394">
        <v>853.27</v>
      </c>
      <c r="J2664" s="394">
        <v>24279.32</v>
      </c>
      <c r="K2664" s="393" t="s">
        <v>1033</v>
      </c>
    </row>
    <row r="2665" spans="1:12" hidden="1" x14ac:dyDescent="0.3">
      <c r="A2665" s="397" t="s">
        <v>5463</v>
      </c>
      <c r="C2665" s="397" t="s">
        <v>1053</v>
      </c>
      <c r="D2665" s="397" t="s">
        <v>5462</v>
      </c>
      <c r="E2665" s="397" t="s">
        <v>5461</v>
      </c>
      <c r="F2665" s="397" t="s">
        <v>191</v>
      </c>
      <c r="G2665" s="396">
        <v>1</v>
      </c>
      <c r="H2665" s="395">
        <v>87147.199999999997</v>
      </c>
      <c r="I2665" s="394">
        <v>2528.13</v>
      </c>
      <c r="J2665" s="394">
        <v>124496</v>
      </c>
      <c r="K2665" s="393" t="s">
        <v>1033</v>
      </c>
    </row>
    <row r="2666" spans="1:12" hidden="1" x14ac:dyDescent="0.3">
      <c r="A2666" s="397" t="s">
        <v>5390</v>
      </c>
      <c r="C2666" s="397" t="s">
        <v>1053</v>
      </c>
      <c r="D2666" s="397" t="s">
        <v>5389</v>
      </c>
      <c r="E2666" s="397" t="s">
        <v>5388</v>
      </c>
      <c r="F2666" s="397" t="s">
        <v>191</v>
      </c>
      <c r="G2666" s="396">
        <v>5</v>
      </c>
      <c r="H2666" s="395">
        <v>71748.165999999997</v>
      </c>
      <c r="I2666" s="394">
        <v>3180.2400000000002</v>
      </c>
      <c r="J2666" s="394">
        <v>102497.38</v>
      </c>
      <c r="K2666" s="393" t="s">
        <v>1033</v>
      </c>
    </row>
    <row r="2667" spans="1:12" hidden="1" x14ac:dyDescent="0.3">
      <c r="A2667" s="397" t="s">
        <v>5395</v>
      </c>
      <c r="C2667" s="397" t="s">
        <v>1053</v>
      </c>
      <c r="D2667" s="397" t="s">
        <v>5394</v>
      </c>
      <c r="E2667" s="397" t="s">
        <v>5393</v>
      </c>
      <c r="F2667" s="397" t="s">
        <v>191</v>
      </c>
      <c r="G2667" s="396">
        <v>1</v>
      </c>
      <c r="H2667" s="395">
        <v>82759.579000000012</v>
      </c>
      <c r="I2667" s="394">
        <v>2830.85</v>
      </c>
      <c r="J2667" s="394">
        <v>118227.97</v>
      </c>
      <c r="K2667" s="393" t="s">
        <v>1033</v>
      </c>
    </row>
    <row r="2668" spans="1:12" hidden="1" x14ac:dyDescent="0.3">
      <c r="A2668" s="397" t="s">
        <v>5372</v>
      </c>
      <c r="C2668" s="397" t="s">
        <v>1053</v>
      </c>
      <c r="D2668" s="397" t="s">
        <v>5371</v>
      </c>
      <c r="E2668" s="397" t="s">
        <v>5370</v>
      </c>
      <c r="F2668" s="397" t="s">
        <v>191</v>
      </c>
      <c r="G2668" s="396">
        <v>3</v>
      </c>
      <c r="H2668" s="395">
        <v>77077.427000000011</v>
      </c>
      <c r="I2668" s="394">
        <v>65633.990000000005</v>
      </c>
      <c r="J2668" s="394">
        <v>110110.61</v>
      </c>
      <c r="K2668" s="393" t="s">
        <v>1033</v>
      </c>
    </row>
    <row r="2669" spans="1:12" hidden="1" x14ac:dyDescent="0.3">
      <c r="A2669" s="397" t="s">
        <v>5457</v>
      </c>
      <c r="C2669" s="397" t="s">
        <v>1053</v>
      </c>
      <c r="D2669" s="397" t="s">
        <v>5456</v>
      </c>
      <c r="E2669" s="397" t="s">
        <v>267</v>
      </c>
      <c r="F2669" s="397" t="s">
        <v>191</v>
      </c>
      <c r="G2669" s="396">
        <v>2</v>
      </c>
      <c r="H2669" s="395">
        <v>118242.565</v>
      </c>
      <c r="I2669" s="394">
        <v>107845.3</v>
      </c>
      <c r="J2669" s="394">
        <v>168917.95</v>
      </c>
      <c r="K2669" s="393" t="s">
        <v>1033</v>
      </c>
    </row>
    <row r="2670" spans="1:12" hidden="1" x14ac:dyDescent="0.3">
      <c r="A2670" s="397" t="s">
        <v>5381</v>
      </c>
      <c r="C2670" s="397" t="s">
        <v>1053</v>
      </c>
      <c r="D2670" s="397" t="s">
        <v>5380</v>
      </c>
      <c r="E2670" s="397" t="s">
        <v>5379</v>
      </c>
      <c r="F2670" s="397" t="s">
        <v>191</v>
      </c>
      <c r="G2670" s="396">
        <v>1</v>
      </c>
      <c r="H2670" s="395">
        <v>65191.707000000002</v>
      </c>
      <c r="I2670" s="394">
        <v>2531.4299999999998</v>
      </c>
      <c r="J2670" s="394">
        <v>93131.01</v>
      </c>
      <c r="K2670" s="393" t="s">
        <v>1033</v>
      </c>
    </row>
    <row r="2671" spans="1:12" hidden="1" x14ac:dyDescent="0.3">
      <c r="A2671" s="397" t="s">
        <v>5392</v>
      </c>
      <c r="C2671" s="397" t="s">
        <v>1053</v>
      </c>
      <c r="D2671" s="397" t="s">
        <v>5391</v>
      </c>
      <c r="E2671" s="397" t="s">
        <v>5385</v>
      </c>
      <c r="F2671" s="397" t="s">
        <v>191</v>
      </c>
      <c r="G2671" s="396">
        <v>1</v>
      </c>
      <c r="H2671" s="395">
        <v>110220.026</v>
      </c>
      <c r="I2671" s="394">
        <v>105707.41</v>
      </c>
      <c r="J2671" s="394">
        <v>157457.18</v>
      </c>
      <c r="K2671" s="393" t="s">
        <v>1033</v>
      </c>
    </row>
    <row r="2672" spans="1:12" hidden="1" x14ac:dyDescent="0.3">
      <c r="A2672" s="397" t="s">
        <v>5057</v>
      </c>
      <c r="C2672" s="397" t="s">
        <v>1053</v>
      </c>
      <c r="D2672" s="397" t="s">
        <v>5056</v>
      </c>
      <c r="E2672" s="397" t="s">
        <v>5055</v>
      </c>
      <c r="F2672" s="397" t="s">
        <v>191</v>
      </c>
      <c r="G2672" s="396">
        <v>1</v>
      </c>
      <c r="H2672" s="395">
        <v>236760.53100000002</v>
      </c>
      <c r="I2672" s="394">
        <v>222333.08000000002</v>
      </c>
      <c r="J2672" s="394">
        <v>338229.33</v>
      </c>
      <c r="K2672" s="393" t="s">
        <v>1033</v>
      </c>
    </row>
    <row r="2673" spans="1:12" hidden="1" x14ac:dyDescent="0.3">
      <c r="A2673" s="397" t="s">
        <v>5466</v>
      </c>
      <c r="C2673" s="397" t="s">
        <v>1053</v>
      </c>
      <c r="D2673" s="397" t="s">
        <v>5465</v>
      </c>
      <c r="E2673" s="397" t="s">
        <v>5464</v>
      </c>
      <c r="F2673" s="397" t="s">
        <v>191</v>
      </c>
      <c r="G2673" s="396">
        <v>2</v>
      </c>
      <c r="H2673" s="395">
        <v>119999.12400000001</v>
      </c>
      <c r="I2673" s="394">
        <v>114985.44</v>
      </c>
      <c r="J2673" s="394">
        <v>171427.32</v>
      </c>
      <c r="K2673" s="393" t="s">
        <v>1033</v>
      </c>
    </row>
    <row r="2674" spans="1:12" hidden="1" x14ac:dyDescent="0.3">
      <c r="A2674" s="397" t="s">
        <v>823</v>
      </c>
      <c r="C2674" s="397" t="s">
        <v>1053</v>
      </c>
      <c r="D2674" s="397" t="s">
        <v>609</v>
      </c>
      <c r="E2674" s="397" t="s">
        <v>5449</v>
      </c>
      <c r="F2674" s="397" t="s">
        <v>191</v>
      </c>
      <c r="G2674" s="396">
        <v>1</v>
      </c>
      <c r="H2674" s="395">
        <v>73823.589000000007</v>
      </c>
      <c r="I2674" s="394">
        <v>50628.07</v>
      </c>
      <c r="J2674" s="394">
        <v>105462.27</v>
      </c>
      <c r="K2674" s="393" t="s">
        <v>1033</v>
      </c>
    </row>
    <row r="2675" spans="1:12" hidden="1" x14ac:dyDescent="0.3">
      <c r="A2675" s="397" t="s">
        <v>5452</v>
      </c>
      <c r="C2675" s="397" t="s">
        <v>1053</v>
      </c>
      <c r="D2675" s="397" t="s">
        <v>5451</v>
      </c>
      <c r="E2675" s="397" t="s">
        <v>5450</v>
      </c>
      <c r="F2675" s="397" t="s">
        <v>191</v>
      </c>
      <c r="G2675" s="396">
        <v>1</v>
      </c>
      <c r="H2675" s="395">
        <v>96868.044000000009</v>
      </c>
      <c r="I2675" s="394">
        <v>51781.36</v>
      </c>
      <c r="J2675" s="394">
        <v>138382.92000000001</v>
      </c>
      <c r="K2675" s="393" t="s">
        <v>1033</v>
      </c>
    </row>
    <row r="2676" spans="1:12" hidden="1" x14ac:dyDescent="0.3">
      <c r="A2676" s="397" t="s">
        <v>5387</v>
      </c>
      <c r="C2676" s="397" t="s">
        <v>1053</v>
      </c>
      <c r="D2676" s="397" t="s">
        <v>5386</v>
      </c>
      <c r="E2676" s="397" t="s">
        <v>5385</v>
      </c>
      <c r="F2676" s="397" t="s">
        <v>191</v>
      </c>
      <c r="G2676" s="396">
        <v>1</v>
      </c>
      <c r="H2676" s="395">
        <v>75410.888000000006</v>
      </c>
      <c r="I2676" s="394">
        <v>71193.789999999994</v>
      </c>
      <c r="J2676" s="394">
        <v>107729.84</v>
      </c>
      <c r="K2676" s="393" t="s">
        <v>1033</v>
      </c>
    </row>
    <row r="2677" spans="1:12" hidden="1" x14ac:dyDescent="0.3">
      <c r="A2677" s="397" t="s">
        <v>6029</v>
      </c>
      <c r="C2677" s="397" t="s">
        <v>1053</v>
      </c>
      <c r="D2677" s="397" t="s">
        <v>6028</v>
      </c>
      <c r="E2677" s="397" t="s">
        <v>6027</v>
      </c>
      <c r="F2677" s="397" t="s">
        <v>191</v>
      </c>
      <c r="G2677" s="396">
        <v>1</v>
      </c>
      <c r="H2677" s="395">
        <v>116877.103</v>
      </c>
      <c r="I2677" s="394">
        <v>373.22</v>
      </c>
      <c r="J2677" s="394">
        <v>166967.29</v>
      </c>
      <c r="K2677" s="393" t="s">
        <v>1033</v>
      </c>
    </row>
    <row r="2678" spans="1:12" hidden="1" x14ac:dyDescent="0.3">
      <c r="A2678" s="397" t="s">
        <v>5398</v>
      </c>
      <c r="C2678" s="397" t="s">
        <v>1053</v>
      </c>
      <c r="D2678" s="397" t="s">
        <v>5397</v>
      </c>
      <c r="E2678" s="397" t="s">
        <v>5396</v>
      </c>
      <c r="F2678" s="397" t="s">
        <v>191</v>
      </c>
      <c r="G2678" s="396">
        <v>1</v>
      </c>
      <c r="H2678" s="395">
        <v>92856.588999999993</v>
      </c>
      <c r="I2678" s="394">
        <v>66264.259999999995</v>
      </c>
      <c r="J2678" s="394">
        <v>132652.26999999999</v>
      </c>
      <c r="K2678" s="393" t="s">
        <v>1033</v>
      </c>
    </row>
    <row r="2679" spans="1:12" hidden="1" x14ac:dyDescent="0.3">
      <c r="A2679" s="397" t="s">
        <v>5060</v>
      </c>
      <c r="C2679" s="397" t="s">
        <v>1053</v>
      </c>
      <c r="D2679" s="397" t="s">
        <v>5059</v>
      </c>
      <c r="E2679" s="397" t="s">
        <v>5058</v>
      </c>
      <c r="F2679" s="397" t="s">
        <v>191</v>
      </c>
      <c r="G2679" s="396">
        <v>1</v>
      </c>
      <c r="H2679" s="395">
        <v>143856.06900000002</v>
      </c>
      <c r="I2679" s="394">
        <v>114702.95</v>
      </c>
      <c r="J2679" s="394">
        <v>205508.67</v>
      </c>
      <c r="K2679" s="393" t="s">
        <v>1033</v>
      </c>
    </row>
    <row r="2680" spans="1:12" hidden="1" x14ac:dyDescent="0.3">
      <c r="A2680" s="397" t="s">
        <v>7516</v>
      </c>
      <c r="C2680" s="397" t="s">
        <v>1053</v>
      </c>
      <c r="D2680" s="397" t="s">
        <v>7515</v>
      </c>
      <c r="E2680" s="397" t="s">
        <v>7514</v>
      </c>
      <c r="F2680" s="397" t="s">
        <v>191</v>
      </c>
      <c r="G2680" s="396">
        <v>12</v>
      </c>
      <c r="H2680" s="395">
        <v>64164.102000000006</v>
      </c>
      <c r="I2680" s="394">
        <v>67017.88</v>
      </c>
      <c r="J2680" s="394">
        <v>106940.17</v>
      </c>
      <c r="K2680" s="393" t="s">
        <v>1033</v>
      </c>
    </row>
    <row r="2681" spans="1:12" hidden="1" x14ac:dyDescent="0.3">
      <c r="A2681" s="397" t="s">
        <v>1441</v>
      </c>
      <c r="C2681" s="397" t="s">
        <v>1053</v>
      </c>
      <c r="D2681" s="397" t="s">
        <v>1440</v>
      </c>
      <c r="E2681" s="397" t="s">
        <v>1439</v>
      </c>
      <c r="F2681" s="397" t="s">
        <v>191</v>
      </c>
      <c r="G2681" s="396">
        <v>2</v>
      </c>
      <c r="H2681" s="395">
        <v>406751.73700000002</v>
      </c>
      <c r="I2681" s="394">
        <v>396830.97000000003</v>
      </c>
      <c r="J2681" s="394">
        <v>581073.91</v>
      </c>
      <c r="K2681" s="393" t="s">
        <v>1033</v>
      </c>
    </row>
    <row r="2682" spans="1:12" hidden="1" x14ac:dyDescent="0.3">
      <c r="A2682" s="397" t="s">
        <v>1453</v>
      </c>
      <c r="C2682" s="397" t="s">
        <v>1053</v>
      </c>
      <c r="D2682" s="397" t="s">
        <v>1452</v>
      </c>
      <c r="E2682" s="397" t="s">
        <v>1451</v>
      </c>
      <c r="F2682" s="397" t="s">
        <v>191</v>
      </c>
      <c r="G2682" s="396">
        <v>2</v>
      </c>
      <c r="H2682" s="395">
        <v>397688.25599999994</v>
      </c>
      <c r="I2682" s="394">
        <v>382186.02</v>
      </c>
      <c r="J2682" s="394">
        <v>568126.07999999996</v>
      </c>
      <c r="K2682" s="393" t="s">
        <v>1033</v>
      </c>
      <c r="L2682" s="395">
        <v>1</v>
      </c>
    </row>
    <row r="2683" spans="1:12" hidden="1" x14ac:dyDescent="0.3">
      <c r="A2683" s="397" t="s">
        <v>6859</v>
      </c>
      <c r="C2683" s="397" t="s">
        <v>1053</v>
      </c>
      <c r="D2683" s="397" t="s">
        <v>6858</v>
      </c>
      <c r="E2683" s="397" t="s">
        <v>6855</v>
      </c>
      <c r="F2683" s="397" t="s">
        <v>191</v>
      </c>
      <c r="G2683" s="396">
        <v>1</v>
      </c>
      <c r="H2683" s="395">
        <v>2329313.0350000001</v>
      </c>
      <c r="I2683" s="394">
        <v>233274.83000000002</v>
      </c>
      <c r="J2683" s="394">
        <v>3327590.0500000003</v>
      </c>
      <c r="K2683" s="393" t="s">
        <v>1033</v>
      </c>
    </row>
    <row r="2684" spans="1:12" hidden="1" x14ac:dyDescent="0.3">
      <c r="A2684" s="397" t="s">
        <v>1517</v>
      </c>
      <c r="C2684" s="397" t="s">
        <v>1053</v>
      </c>
      <c r="D2684" s="397" t="s">
        <v>1516</v>
      </c>
      <c r="E2684" s="397" t="s">
        <v>1515</v>
      </c>
      <c r="F2684" s="397" t="s">
        <v>191</v>
      </c>
      <c r="G2684" s="396">
        <v>2</v>
      </c>
      <c r="H2684" s="395">
        <v>379272.34100000001</v>
      </c>
      <c r="I2684" s="394">
        <v>65318.47</v>
      </c>
      <c r="J2684" s="394">
        <v>541817.63</v>
      </c>
      <c r="K2684" s="393" t="s">
        <v>1033</v>
      </c>
    </row>
    <row r="2685" spans="1:12" hidden="1" x14ac:dyDescent="0.3">
      <c r="A2685" s="397" t="s">
        <v>324</v>
      </c>
      <c r="C2685" s="397" t="s">
        <v>1053</v>
      </c>
      <c r="D2685" s="397" t="s">
        <v>276</v>
      </c>
      <c r="E2685" s="397" t="s">
        <v>275</v>
      </c>
      <c r="F2685" s="397" t="s">
        <v>191</v>
      </c>
      <c r="G2685" s="396">
        <v>17</v>
      </c>
      <c r="H2685" s="395">
        <v>183059.61800000002</v>
      </c>
      <c r="I2685" s="394">
        <v>167954.58000000002</v>
      </c>
      <c r="J2685" s="394">
        <v>261513.74000000002</v>
      </c>
      <c r="K2685" s="393" t="s">
        <v>1033</v>
      </c>
      <c r="L2685" s="395">
        <v>4</v>
      </c>
    </row>
    <row r="2686" spans="1:12" hidden="1" x14ac:dyDescent="0.3">
      <c r="A2686" s="397" t="s">
        <v>1496</v>
      </c>
      <c r="C2686" s="397" t="s">
        <v>1053</v>
      </c>
      <c r="D2686" s="397" t="s">
        <v>1495</v>
      </c>
      <c r="E2686" s="397" t="s">
        <v>1494</v>
      </c>
      <c r="F2686" s="397" t="s">
        <v>191</v>
      </c>
      <c r="G2686" s="396">
        <v>7</v>
      </c>
      <c r="H2686" s="395">
        <v>234063.36800000002</v>
      </c>
      <c r="I2686" s="394">
        <v>218295.43</v>
      </c>
      <c r="J2686" s="394">
        <v>334376.24</v>
      </c>
      <c r="K2686" s="393" t="s">
        <v>1033</v>
      </c>
    </row>
    <row r="2687" spans="1:12" hidden="1" x14ac:dyDescent="0.3">
      <c r="A2687" s="397" t="s">
        <v>1881</v>
      </c>
      <c r="C2687" s="397" t="s">
        <v>1053</v>
      </c>
      <c r="D2687" s="397" t="s">
        <v>1880</v>
      </c>
      <c r="E2687" s="397" t="s">
        <v>1879</v>
      </c>
      <c r="F2687" s="397" t="s">
        <v>191</v>
      </c>
      <c r="G2687" s="396">
        <v>1</v>
      </c>
      <c r="H2687" s="395">
        <v>1103115.601</v>
      </c>
      <c r="I2687" s="394">
        <v>399709.7</v>
      </c>
      <c r="J2687" s="394">
        <v>1575879.43</v>
      </c>
      <c r="K2687" s="393" t="s">
        <v>1033</v>
      </c>
    </row>
    <row r="2688" spans="1:12" hidden="1" x14ac:dyDescent="0.3">
      <c r="A2688" s="397" t="s">
        <v>1667</v>
      </c>
      <c r="C2688" s="397" t="s">
        <v>1053</v>
      </c>
      <c r="D2688" s="397" t="s">
        <v>1666</v>
      </c>
      <c r="E2688" s="397" t="s">
        <v>1665</v>
      </c>
      <c r="F2688" s="397" t="s">
        <v>191</v>
      </c>
      <c r="G2688" s="396">
        <v>5</v>
      </c>
      <c r="H2688" s="395">
        <v>500576.96500000003</v>
      </c>
      <c r="I2688" s="394">
        <v>488367.77</v>
      </c>
      <c r="J2688" s="394">
        <v>715109.95000000007</v>
      </c>
      <c r="K2688" s="393" t="s">
        <v>1033</v>
      </c>
    </row>
    <row r="2689" spans="1:12" hidden="1" x14ac:dyDescent="0.3">
      <c r="A2689" s="397" t="s">
        <v>1544</v>
      </c>
      <c r="C2689" s="397" t="s">
        <v>1053</v>
      </c>
      <c r="D2689" s="397" t="s">
        <v>1543</v>
      </c>
      <c r="E2689" s="397" t="s">
        <v>1542</v>
      </c>
      <c r="F2689" s="397" t="s">
        <v>191</v>
      </c>
      <c r="G2689" s="396">
        <v>1</v>
      </c>
      <c r="H2689" s="395">
        <v>355111.45600000001</v>
      </c>
      <c r="I2689" s="394">
        <v>296450.2</v>
      </c>
      <c r="J2689" s="394">
        <v>507302.08</v>
      </c>
      <c r="K2689" s="393" t="s">
        <v>1033</v>
      </c>
      <c r="L2689" s="395">
        <v>3</v>
      </c>
    </row>
    <row r="2690" spans="1:12" hidden="1" x14ac:dyDescent="0.3">
      <c r="A2690" s="397" t="s">
        <v>1333</v>
      </c>
      <c r="C2690" s="397" t="s">
        <v>1053</v>
      </c>
      <c r="D2690" s="397" t="s">
        <v>1332</v>
      </c>
      <c r="E2690" s="397" t="s">
        <v>1331</v>
      </c>
      <c r="F2690" s="397" t="s">
        <v>191</v>
      </c>
      <c r="G2690" s="396">
        <v>2</v>
      </c>
      <c r="H2690" s="395">
        <v>356170.72399999999</v>
      </c>
      <c r="I2690" s="394">
        <v>322633.56</v>
      </c>
      <c r="J2690" s="394">
        <v>508815.32</v>
      </c>
      <c r="K2690" s="393" t="s">
        <v>1033</v>
      </c>
    </row>
    <row r="2691" spans="1:12" hidden="1" x14ac:dyDescent="0.3">
      <c r="A2691" s="397" t="s">
        <v>1547</v>
      </c>
      <c r="C2691" s="397" t="s">
        <v>1053</v>
      </c>
      <c r="D2691" s="397" t="s">
        <v>6644</v>
      </c>
      <c r="E2691" s="397" t="s">
        <v>6643</v>
      </c>
      <c r="F2691" s="397" t="s">
        <v>191</v>
      </c>
      <c r="G2691" s="396">
        <v>1</v>
      </c>
      <c r="H2691" s="395">
        <v>1976980.95</v>
      </c>
      <c r="I2691" s="394">
        <v>1893856.6500000001</v>
      </c>
      <c r="J2691" s="394">
        <v>2824258.5</v>
      </c>
      <c r="K2691" s="393" t="s">
        <v>1033</v>
      </c>
    </row>
    <row r="2692" spans="1:12" hidden="1" x14ac:dyDescent="0.3">
      <c r="A2692" s="397" t="s">
        <v>1547</v>
      </c>
      <c r="C2692" s="397" t="s">
        <v>1053</v>
      </c>
      <c r="D2692" s="397" t="s">
        <v>1546</v>
      </c>
      <c r="E2692" s="397" t="s">
        <v>1545</v>
      </c>
      <c r="F2692" s="397" t="s">
        <v>191</v>
      </c>
      <c r="G2692" s="396">
        <v>12</v>
      </c>
      <c r="H2692" s="395">
        <v>369562.49400000001</v>
      </c>
      <c r="I2692" s="394">
        <v>360548.78</v>
      </c>
      <c r="J2692" s="394">
        <v>527946.42000000004</v>
      </c>
      <c r="K2692" s="393" t="s">
        <v>1033</v>
      </c>
      <c r="L2692" s="395">
        <v>1</v>
      </c>
    </row>
    <row r="2693" spans="1:12" hidden="1" x14ac:dyDescent="0.3">
      <c r="A2693" s="397" t="s">
        <v>6639</v>
      </c>
      <c r="C2693" s="397" t="s">
        <v>1053</v>
      </c>
      <c r="D2693" s="397" t="s">
        <v>6638</v>
      </c>
      <c r="E2693" s="397" t="s">
        <v>6637</v>
      </c>
      <c r="F2693" s="397" t="s">
        <v>191</v>
      </c>
      <c r="G2693" s="396">
        <v>1</v>
      </c>
      <c r="H2693" s="395">
        <v>1840119.1830000002</v>
      </c>
      <c r="I2693" s="394">
        <v>1780374.73</v>
      </c>
      <c r="J2693" s="394">
        <v>2628741.69</v>
      </c>
      <c r="K2693" s="393" t="s">
        <v>1033</v>
      </c>
      <c r="L2693" s="395">
        <v>1</v>
      </c>
    </row>
    <row r="2694" spans="1:12" hidden="1" x14ac:dyDescent="0.3">
      <c r="A2694" s="397" t="s">
        <v>1435</v>
      </c>
      <c r="C2694" s="397" t="s">
        <v>1053</v>
      </c>
      <c r="D2694" s="397" t="s">
        <v>1434</v>
      </c>
      <c r="E2694" s="397" t="s">
        <v>1433</v>
      </c>
      <c r="F2694" s="397" t="s">
        <v>191</v>
      </c>
      <c r="G2694" s="396">
        <v>16</v>
      </c>
      <c r="H2694" s="395">
        <v>445727.73700000002</v>
      </c>
      <c r="I2694" s="394">
        <v>434856.33</v>
      </c>
      <c r="J2694" s="394">
        <v>636753.91</v>
      </c>
      <c r="K2694" s="393" t="s">
        <v>1033</v>
      </c>
      <c r="L2694" s="395">
        <v>2</v>
      </c>
    </row>
    <row r="2695" spans="1:12" hidden="1" x14ac:dyDescent="0.3">
      <c r="A2695" s="397" t="s">
        <v>5068</v>
      </c>
      <c r="C2695" s="397" t="s">
        <v>1053</v>
      </c>
      <c r="D2695" s="397" t="s">
        <v>5067</v>
      </c>
      <c r="E2695" s="397" t="s">
        <v>612</v>
      </c>
      <c r="F2695" s="397" t="s">
        <v>191</v>
      </c>
      <c r="G2695" s="396">
        <v>2</v>
      </c>
      <c r="H2695" s="395">
        <v>190950.76</v>
      </c>
      <c r="I2695" s="394">
        <v>30935.75</v>
      </c>
      <c r="J2695" s="394">
        <v>272786.8</v>
      </c>
      <c r="K2695" s="393" t="s">
        <v>1033</v>
      </c>
      <c r="L2695" s="395">
        <v>1</v>
      </c>
    </row>
    <row r="2696" spans="1:12" hidden="1" x14ac:dyDescent="0.3">
      <c r="A2696" s="397" t="s">
        <v>4942</v>
      </c>
      <c r="C2696" s="397" t="s">
        <v>1053</v>
      </c>
      <c r="D2696" s="397" t="s">
        <v>4941</v>
      </c>
      <c r="E2696" s="397" t="s">
        <v>4920</v>
      </c>
      <c r="F2696" s="397" t="s">
        <v>191</v>
      </c>
      <c r="G2696" s="396">
        <v>1</v>
      </c>
      <c r="H2696" s="395">
        <v>146506.14300000001</v>
      </c>
      <c r="I2696" s="394">
        <v>1389.97</v>
      </c>
      <c r="J2696" s="394">
        <v>209294.49</v>
      </c>
      <c r="K2696" s="393" t="s">
        <v>1033</v>
      </c>
    </row>
    <row r="2697" spans="1:12" hidden="1" x14ac:dyDescent="0.3">
      <c r="A2697" s="397" t="s">
        <v>4919</v>
      </c>
      <c r="C2697" s="397" t="s">
        <v>1053</v>
      </c>
      <c r="D2697" s="397" t="s">
        <v>4918</v>
      </c>
      <c r="E2697" s="397" t="s">
        <v>4917</v>
      </c>
      <c r="F2697" s="397" t="s">
        <v>191</v>
      </c>
      <c r="G2697" s="396">
        <v>1</v>
      </c>
      <c r="H2697" s="395">
        <v>133740.43900000001</v>
      </c>
      <c r="I2697" s="394">
        <v>1274.6199999999999</v>
      </c>
      <c r="J2697" s="394">
        <v>191057.77</v>
      </c>
      <c r="K2697" s="393" t="s">
        <v>1033</v>
      </c>
    </row>
    <row r="2698" spans="1:12" hidden="1" x14ac:dyDescent="0.3">
      <c r="A2698" s="397" t="s">
        <v>5066</v>
      </c>
      <c r="C2698" s="397" t="s">
        <v>1053</v>
      </c>
      <c r="D2698" s="397" t="s">
        <v>5065</v>
      </c>
      <c r="E2698" s="397" t="s">
        <v>5064</v>
      </c>
      <c r="F2698" s="397" t="s">
        <v>191</v>
      </c>
      <c r="G2698" s="396">
        <v>1</v>
      </c>
      <c r="H2698" s="395">
        <v>143164.99400000001</v>
      </c>
      <c r="I2698" s="394">
        <v>109248.48</v>
      </c>
      <c r="J2698" s="394">
        <v>204521.42</v>
      </c>
      <c r="K2698" s="393" t="s">
        <v>1033</v>
      </c>
    </row>
    <row r="2699" spans="1:12" hidden="1" x14ac:dyDescent="0.3">
      <c r="A2699" s="397" t="s">
        <v>4937</v>
      </c>
      <c r="C2699" s="397" t="s">
        <v>1053</v>
      </c>
      <c r="D2699" s="397" t="s">
        <v>4936</v>
      </c>
      <c r="E2699" s="397" t="s">
        <v>4935</v>
      </c>
      <c r="F2699" s="397" t="s">
        <v>191</v>
      </c>
      <c r="G2699" s="396">
        <v>1</v>
      </c>
      <c r="H2699" s="395">
        <v>133918.44899999999</v>
      </c>
      <c r="I2699" s="394">
        <v>1160.5999999999999</v>
      </c>
      <c r="J2699" s="394">
        <v>191312.07</v>
      </c>
      <c r="K2699" s="393" t="s">
        <v>1033</v>
      </c>
    </row>
    <row r="2700" spans="1:12" hidden="1" x14ac:dyDescent="0.3">
      <c r="A2700" s="397" t="s">
        <v>4930</v>
      </c>
      <c r="C2700" s="397" t="s">
        <v>1053</v>
      </c>
      <c r="D2700" s="397" t="s">
        <v>4929</v>
      </c>
      <c r="E2700" s="397" t="s">
        <v>612</v>
      </c>
      <c r="F2700" s="397" t="s">
        <v>191</v>
      </c>
      <c r="G2700" s="396">
        <v>1</v>
      </c>
      <c r="H2700" s="395">
        <v>274888.82399999996</v>
      </c>
      <c r="I2700" s="394">
        <v>2646.06</v>
      </c>
      <c r="J2700" s="394">
        <v>392698.32</v>
      </c>
      <c r="K2700" s="393" t="s">
        <v>1033</v>
      </c>
    </row>
    <row r="2701" spans="1:12" hidden="1" x14ac:dyDescent="0.3">
      <c r="A2701" s="397" t="s">
        <v>4928</v>
      </c>
      <c r="C2701" s="397" t="s">
        <v>1053</v>
      </c>
      <c r="D2701" s="397" t="s">
        <v>4927</v>
      </c>
      <c r="E2701" s="397" t="s">
        <v>4926</v>
      </c>
      <c r="F2701" s="397" t="s">
        <v>191</v>
      </c>
      <c r="G2701" s="396">
        <v>1</v>
      </c>
      <c r="H2701" s="395">
        <v>336021.67200000002</v>
      </c>
      <c r="I2701" s="394">
        <v>263815.61</v>
      </c>
      <c r="J2701" s="394">
        <v>480030.96</v>
      </c>
      <c r="K2701" s="393" t="s">
        <v>1033</v>
      </c>
    </row>
    <row r="2702" spans="1:12" hidden="1" x14ac:dyDescent="0.3">
      <c r="A2702" s="397" t="s">
        <v>4898</v>
      </c>
      <c r="C2702" s="397" t="s">
        <v>1053</v>
      </c>
      <c r="D2702" s="397" t="s">
        <v>4897</v>
      </c>
      <c r="E2702" s="397" t="s">
        <v>4896</v>
      </c>
      <c r="F2702" s="397" t="s">
        <v>191</v>
      </c>
      <c r="G2702" s="396">
        <v>1</v>
      </c>
      <c r="H2702" s="395">
        <v>108772.74800000001</v>
      </c>
      <c r="I2702" s="394">
        <v>1493.06</v>
      </c>
      <c r="J2702" s="394">
        <v>155389.64000000001</v>
      </c>
      <c r="K2702" s="393" t="s">
        <v>1033</v>
      </c>
    </row>
    <row r="2703" spans="1:12" hidden="1" x14ac:dyDescent="0.3">
      <c r="A2703" s="397" t="s">
        <v>820</v>
      </c>
      <c r="C2703" s="397" t="s">
        <v>1053</v>
      </c>
      <c r="D2703" s="397" t="s">
        <v>819</v>
      </c>
      <c r="E2703" s="397" t="s">
        <v>612</v>
      </c>
      <c r="F2703" s="397" t="s">
        <v>191</v>
      </c>
      <c r="G2703" s="396">
        <v>1</v>
      </c>
      <c r="H2703" s="395">
        <v>252126.89600000001</v>
      </c>
      <c r="I2703" s="394">
        <v>13202.28</v>
      </c>
      <c r="J2703" s="394">
        <v>360181.28</v>
      </c>
      <c r="K2703" s="393" t="s">
        <v>1033</v>
      </c>
    </row>
    <row r="2704" spans="1:12" hidden="1" x14ac:dyDescent="0.3">
      <c r="A2704" s="397" t="s">
        <v>7523</v>
      </c>
      <c r="C2704" s="397" t="s">
        <v>1053</v>
      </c>
      <c r="D2704" s="397" t="s">
        <v>993</v>
      </c>
      <c r="E2704" s="397" t="s">
        <v>441</v>
      </c>
      <c r="F2704" s="397" t="s">
        <v>191</v>
      </c>
      <c r="G2704" s="396">
        <v>1</v>
      </c>
      <c r="H2704" s="395">
        <v>189534.38</v>
      </c>
      <c r="I2704" s="394">
        <v>101455.99</v>
      </c>
      <c r="J2704" s="394">
        <v>270763.40000000002</v>
      </c>
      <c r="K2704" s="393" t="s">
        <v>1033</v>
      </c>
    </row>
    <row r="2705" spans="1:12" hidden="1" x14ac:dyDescent="0.3">
      <c r="A2705" s="397" t="s">
        <v>4932</v>
      </c>
      <c r="C2705" s="397" t="s">
        <v>1053</v>
      </c>
      <c r="D2705" s="397" t="s">
        <v>4931</v>
      </c>
      <c r="E2705" s="397" t="s">
        <v>4920</v>
      </c>
      <c r="F2705" s="397" t="s">
        <v>191</v>
      </c>
      <c r="G2705" s="396">
        <v>1</v>
      </c>
      <c r="H2705" s="395">
        <v>132738.046</v>
      </c>
      <c r="I2705" s="394">
        <v>2128.61</v>
      </c>
      <c r="J2705" s="394">
        <v>189625.78</v>
      </c>
      <c r="K2705" s="393" t="s">
        <v>1033</v>
      </c>
    </row>
    <row r="2706" spans="1:12" hidden="1" x14ac:dyDescent="0.3">
      <c r="A2706" s="397" t="s">
        <v>4922</v>
      </c>
      <c r="C2706" s="397" t="s">
        <v>1053</v>
      </c>
      <c r="D2706" s="397" t="s">
        <v>4921</v>
      </c>
      <c r="E2706" s="397" t="s">
        <v>4920</v>
      </c>
      <c r="F2706" s="397" t="s">
        <v>191</v>
      </c>
      <c r="G2706" s="396">
        <v>1</v>
      </c>
      <c r="H2706" s="395">
        <v>244.74099999999999</v>
      </c>
      <c r="I2706" s="394">
        <v>63.46</v>
      </c>
      <c r="J2706" s="394">
        <v>349.63</v>
      </c>
      <c r="K2706" s="393" t="s">
        <v>1033</v>
      </c>
    </row>
    <row r="2707" spans="1:12" hidden="1" x14ac:dyDescent="0.3">
      <c r="A2707" s="397" t="s">
        <v>4934</v>
      </c>
      <c r="C2707" s="397" t="s">
        <v>1053</v>
      </c>
      <c r="D2707" s="397" t="s">
        <v>4933</v>
      </c>
      <c r="E2707" s="397" t="s">
        <v>4920</v>
      </c>
      <c r="F2707" s="397" t="s">
        <v>191</v>
      </c>
      <c r="G2707" s="396">
        <v>2</v>
      </c>
      <c r="H2707" s="395">
        <v>752.30399999999997</v>
      </c>
      <c r="I2707" s="394">
        <v>165.94</v>
      </c>
      <c r="J2707" s="394">
        <v>1074.72</v>
      </c>
      <c r="K2707" s="393" t="s">
        <v>1033</v>
      </c>
    </row>
    <row r="2708" spans="1:12" hidden="1" x14ac:dyDescent="0.3">
      <c r="A2708" s="397" t="s">
        <v>4940</v>
      </c>
      <c r="C2708" s="397" t="s">
        <v>1053</v>
      </c>
      <c r="D2708" s="397" t="s">
        <v>4939</v>
      </c>
      <c r="E2708" s="397" t="s">
        <v>4938</v>
      </c>
      <c r="F2708" s="397" t="s">
        <v>191</v>
      </c>
      <c r="G2708" s="396">
        <v>1</v>
      </c>
      <c r="H2708" s="395">
        <v>170083.29100000003</v>
      </c>
      <c r="I2708" s="394">
        <v>747.55000000000007</v>
      </c>
      <c r="J2708" s="394">
        <v>242976.13</v>
      </c>
      <c r="K2708" s="393" t="s">
        <v>1033</v>
      </c>
    </row>
    <row r="2709" spans="1:12" hidden="1" x14ac:dyDescent="0.3">
      <c r="A2709" s="397" t="s">
        <v>4925</v>
      </c>
      <c r="C2709" s="397" t="s">
        <v>1053</v>
      </c>
      <c r="D2709" s="397" t="s">
        <v>4924</v>
      </c>
      <c r="E2709" s="397" t="s">
        <v>4923</v>
      </c>
      <c r="F2709" s="397" t="s">
        <v>191</v>
      </c>
      <c r="G2709" s="396">
        <v>1</v>
      </c>
      <c r="H2709" s="395">
        <v>133740.43900000001</v>
      </c>
      <c r="I2709" s="394">
        <v>1434.8600000000001</v>
      </c>
      <c r="J2709" s="394">
        <v>191057.77</v>
      </c>
      <c r="K2709" s="393" t="s">
        <v>1033</v>
      </c>
    </row>
    <row r="2710" spans="1:12" hidden="1" x14ac:dyDescent="0.3">
      <c r="A2710" s="397" t="s">
        <v>4901</v>
      </c>
      <c r="C2710" s="397" t="s">
        <v>1053</v>
      </c>
      <c r="D2710" s="397" t="s">
        <v>4900</v>
      </c>
      <c r="E2710" s="397" t="s">
        <v>4899</v>
      </c>
      <c r="F2710" s="397" t="s">
        <v>191</v>
      </c>
      <c r="G2710" s="396">
        <v>1</v>
      </c>
      <c r="H2710" s="395">
        <v>107799.272</v>
      </c>
      <c r="I2710" s="394">
        <v>1079.23</v>
      </c>
      <c r="J2710" s="394">
        <v>153998.96</v>
      </c>
      <c r="K2710" s="393" t="s">
        <v>1033</v>
      </c>
    </row>
    <row r="2711" spans="1:12" hidden="1" x14ac:dyDescent="0.3">
      <c r="A2711" s="397" t="s">
        <v>4895</v>
      </c>
      <c r="C2711" s="397" t="s">
        <v>1053</v>
      </c>
      <c r="D2711" s="397" t="s">
        <v>4894</v>
      </c>
      <c r="E2711" s="397" t="s">
        <v>4893</v>
      </c>
      <c r="F2711" s="397" t="s">
        <v>191</v>
      </c>
      <c r="G2711" s="396">
        <v>1</v>
      </c>
      <c r="H2711" s="395">
        <v>107799.272</v>
      </c>
      <c r="I2711" s="394">
        <v>1106.24</v>
      </c>
      <c r="J2711" s="394">
        <v>153998.96</v>
      </c>
      <c r="K2711" s="393" t="s">
        <v>1033</v>
      </c>
    </row>
    <row r="2712" spans="1:12" hidden="1" x14ac:dyDescent="0.3">
      <c r="A2712" s="397" t="s">
        <v>5661</v>
      </c>
      <c r="C2712" s="397" t="s">
        <v>1053</v>
      </c>
      <c r="D2712" s="397" t="s">
        <v>5660</v>
      </c>
      <c r="E2712" s="397" t="s">
        <v>5643</v>
      </c>
      <c r="F2712" s="397" t="s">
        <v>191</v>
      </c>
      <c r="G2712" s="396">
        <v>1</v>
      </c>
      <c r="H2712" s="395">
        <v>96807.52900000001</v>
      </c>
      <c r="I2712" s="394">
        <v>78615.63</v>
      </c>
      <c r="J2712" s="394">
        <v>138296.47</v>
      </c>
      <c r="K2712" s="393" t="s">
        <v>1033</v>
      </c>
    </row>
    <row r="2713" spans="1:12" hidden="1" x14ac:dyDescent="0.3">
      <c r="A2713" s="397" t="s">
        <v>1532</v>
      </c>
      <c r="C2713" s="397" t="s">
        <v>1053</v>
      </c>
      <c r="D2713" s="397" t="s">
        <v>1531</v>
      </c>
      <c r="E2713" s="397" t="s">
        <v>1530</v>
      </c>
      <c r="F2713" s="397" t="s">
        <v>191</v>
      </c>
      <c r="G2713" s="396">
        <v>1</v>
      </c>
      <c r="H2713" s="395">
        <v>775377.80599999998</v>
      </c>
      <c r="I2713" s="394">
        <v>30222.52</v>
      </c>
      <c r="J2713" s="394">
        <v>1107682.58</v>
      </c>
      <c r="K2713" s="393" t="s">
        <v>1033</v>
      </c>
    </row>
    <row r="2714" spans="1:12" hidden="1" x14ac:dyDescent="0.3">
      <c r="A2714" s="397" t="s">
        <v>1664</v>
      </c>
      <c r="C2714" s="397" t="s">
        <v>1053</v>
      </c>
      <c r="D2714" s="397" t="s">
        <v>1663</v>
      </c>
      <c r="E2714" s="397" t="s">
        <v>1662</v>
      </c>
      <c r="F2714" s="397" t="s">
        <v>191</v>
      </c>
      <c r="G2714" s="396">
        <v>1</v>
      </c>
      <c r="H2714" s="395">
        <v>429456.09</v>
      </c>
      <c r="I2714" s="394">
        <v>408702.68</v>
      </c>
      <c r="J2714" s="394">
        <v>613508.69999999995</v>
      </c>
      <c r="K2714" s="393" t="s">
        <v>1033</v>
      </c>
    </row>
    <row r="2715" spans="1:12" hidden="1" x14ac:dyDescent="0.3">
      <c r="A2715" s="397" t="s">
        <v>1511</v>
      </c>
      <c r="C2715" s="397" t="s">
        <v>1053</v>
      </c>
      <c r="D2715" s="397" t="s">
        <v>1510</v>
      </c>
      <c r="E2715" s="397" t="s">
        <v>1509</v>
      </c>
      <c r="F2715" s="397" t="s">
        <v>191</v>
      </c>
      <c r="G2715" s="396">
        <v>4</v>
      </c>
      <c r="H2715" s="395">
        <v>379272.34100000001</v>
      </c>
      <c r="I2715" s="394">
        <v>370021.8</v>
      </c>
      <c r="J2715" s="394">
        <v>541817.63</v>
      </c>
      <c r="K2715" s="393" t="s">
        <v>1033</v>
      </c>
    </row>
    <row r="2716" spans="1:12" hidden="1" x14ac:dyDescent="0.3">
      <c r="A2716" s="397" t="s">
        <v>1476</v>
      </c>
      <c r="C2716" s="397" t="s">
        <v>1053</v>
      </c>
      <c r="D2716" s="397" t="s">
        <v>1475</v>
      </c>
      <c r="E2716" s="397" t="s">
        <v>1474</v>
      </c>
      <c r="F2716" s="397" t="s">
        <v>191</v>
      </c>
      <c r="G2716" s="396">
        <v>9</v>
      </c>
      <c r="H2716" s="395">
        <v>278871.73300000001</v>
      </c>
      <c r="I2716" s="394">
        <v>272069.98</v>
      </c>
      <c r="J2716" s="394">
        <v>398388.19</v>
      </c>
      <c r="K2716" s="393" t="s">
        <v>1033</v>
      </c>
      <c r="L2716" s="395">
        <v>1</v>
      </c>
    </row>
    <row r="2717" spans="1:12" hidden="1" x14ac:dyDescent="0.3">
      <c r="A2717" s="397" t="s">
        <v>4388</v>
      </c>
      <c r="C2717" s="397" t="s">
        <v>1053</v>
      </c>
      <c r="D2717" s="397" t="s">
        <v>4387</v>
      </c>
      <c r="E2717" s="397" t="s">
        <v>4386</v>
      </c>
      <c r="F2717" s="397" t="s">
        <v>191</v>
      </c>
      <c r="G2717" s="396">
        <v>1</v>
      </c>
      <c r="H2717" s="395">
        <v>1780475.7390000001</v>
      </c>
      <c r="I2717" s="394">
        <v>1397295.67</v>
      </c>
      <c r="J2717" s="394">
        <v>2543536.77</v>
      </c>
      <c r="K2717" s="393" t="s">
        <v>1033</v>
      </c>
    </row>
    <row r="2718" spans="1:12" hidden="1" x14ac:dyDescent="0.3">
      <c r="A2718" s="397" t="s">
        <v>4352</v>
      </c>
      <c r="C2718" s="397" t="s">
        <v>1053</v>
      </c>
      <c r="D2718" s="397" t="s">
        <v>4363</v>
      </c>
      <c r="E2718" s="397" t="s">
        <v>4362</v>
      </c>
      <c r="F2718" s="397" t="s">
        <v>191</v>
      </c>
      <c r="G2718" s="396">
        <v>2</v>
      </c>
      <c r="H2718" s="395">
        <v>409694.53700000001</v>
      </c>
      <c r="I2718" s="394">
        <v>392552.75</v>
      </c>
      <c r="J2718" s="394">
        <v>585277.91</v>
      </c>
      <c r="K2718" s="393" t="s">
        <v>1033</v>
      </c>
    </row>
    <row r="2719" spans="1:12" hidden="1" x14ac:dyDescent="0.3">
      <c r="A2719" s="397" t="s">
        <v>4352</v>
      </c>
      <c r="C2719" s="397" t="s">
        <v>1053</v>
      </c>
      <c r="D2719" s="397" t="s">
        <v>4351</v>
      </c>
      <c r="E2719" s="397" t="s">
        <v>4348</v>
      </c>
      <c r="F2719" s="397" t="s">
        <v>191</v>
      </c>
      <c r="G2719" s="396">
        <v>1</v>
      </c>
      <c r="H2719" s="395">
        <v>2281335.1680000001</v>
      </c>
      <c r="I2719" s="394">
        <v>2196113.36</v>
      </c>
      <c r="J2719" s="394">
        <v>3259050.24</v>
      </c>
      <c r="K2719" s="393" t="s">
        <v>1033</v>
      </c>
    </row>
    <row r="2720" spans="1:12" hidden="1" x14ac:dyDescent="0.3">
      <c r="A2720" s="397" t="s">
        <v>4358</v>
      </c>
      <c r="C2720" s="397" t="s">
        <v>1053</v>
      </c>
      <c r="D2720" s="397" t="s">
        <v>4357</v>
      </c>
      <c r="E2720" s="397" t="s">
        <v>4356</v>
      </c>
      <c r="F2720" s="397" t="s">
        <v>191</v>
      </c>
      <c r="G2720" s="396">
        <v>2</v>
      </c>
      <c r="H2720" s="395">
        <v>474441.61100000003</v>
      </c>
      <c r="I2720" s="394">
        <v>454014.28</v>
      </c>
      <c r="J2720" s="394">
        <v>677773.73</v>
      </c>
      <c r="K2720" s="393" t="s">
        <v>1033</v>
      </c>
      <c r="L2720" s="395">
        <v>2</v>
      </c>
    </row>
    <row r="2721" spans="1:12" hidden="1" x14ac:dyDescent="0.3">
      <c r="A2721" s="397" t="s">
        <v>1485</v>
      </c>
      <c r="C2721" s="397" t="s">
        <v>1053</v>
      </c>
      <c r="D2721" s="397" t="s">
        <v>1484</v>
      </c>
      <c r="E2721" s="397" t="s">
        <v>1483</v>
      </c>
      <c r="F2721" s="397" t="s">
        <v>191</v>
      </c>
      <c r="G2721" s="396">
        <v>2</v>
      </c>
      <c r="H2721" s="395">
        <v>296140.25699999998</v>
      </c>
      <c r="I2721" s="394">
        <v>26964.57</v>
      </c>
      <c r="J2721" s="394">
        <v>423057.51</v>
      </c>
      <c r="K2721" s="393" t="s">
        <v>1033</v>
      </c>
    </row>
    <row r="2722" spans="1:12" hidden="1" x14ac:dyDescent="0.3">
      <c r="A2722" s="397" t="s">
        <v>1488</v>
      </c>
      <c r="C2722" s="397" t="s">
        <v>1053</v>
      </c>
      <c r="D2722" s="397" t="s">
        <v>1487</v>
      </c>
      <c r="E2722" s="397" t="s">
        <v>1486</v>
      </c>
      <c r="F2722" s="397" t="s">
        <v>191</v>
      </c>
      <c r="G2722" s="396">
        <v>9</v>
      </c>
      <c r="H2722" s="395">
        <v>128174.571</v>
      </c>
      <c r="I2722" s="394">
        <v>125048.36</v>
      </c>
      <c r="J2722" s="394">
        <v>183106.53</v>
      </c>
      <c r="K2722" s="393" t="s">
        <v>1033</v>
      </c>
    </row>
    <row r="2723" spans="1:12" hidden="1" x14ac:dyDescent="0.3">
      <c r="A2723" s="397" t="s">
        <v>4379</v>
      </c>
      <c r="C2723" s="397" t="s">
        <v>1053</v>
      </c>
      <c r="D2723" s="397" t="s">
        <v>4378</v>
      </c>
      <c r="E2723" s="397" t="s">
        <v>4373</v>
      </c>
      <c r="F2723" s="397" t="s">
        <v>191</v>
      </c>
      <c r="G2723" s="396">
        <v>1</v>
      </c>
      <c r="H2723" s="395">
        <v>2105468.0359999998</v>
      </c>
      <c r="I2723" s="394">
        <v>2018431.27</v>
      </c>
      <c r="J2723" s="394">
        <v>3007811.48</v>
      </c>
      <c r="K2723" s="393" t="s">
        <v>1033</v>
      </c>
    </row>
    <row r="2724" spans="1:12" hidden="1" x14ac:dyDescent="0.3">
      <c r="A2724" s="397" t="s">
        <v>1535</v>
      </c>
      <c r="C2724" s="397" t="s">
        <v>1053</v>
      </c>
      <c r="D2724" s="397" t="s">
        <v>1534</v>
      </c>
      <c r="E2724" s="397" t="s">
        <v>1533</v>
      </c>
      <c r="F2724" s="397" t="s">
        <v>191</v>
      </c>
      <c r="G2724" s="396">
        <v>2</v>
      </c>
      <c r="H2724" s="395">
        <v>745034.68200000003</v>
      </c>
      <c r="I2724" s="394">
        <v>88157.51</v>
      </c>
      <c r="J2724" s="394">
        <v>1064335.26</v>
      </c>
      <c r="K2724" s="393" t="s">
        <v>1033</v>
      </c>
      <c r="L2724" s="395">
        <v>1</v>
      </c>
    </row>
    <row r="2725" spans="1:12" hidden="1" x14ac:dyDescent="0.3">
      <c r="A2725" s="397" t="s">
        <v>1550</v>
      </c>
      <c r="C2725" s="397" t="s">
        <v>1053</v>
      </c>
      <c r="D2725" s="397" t="s">
        <v>1549</v>
      </c>
      <c r="E2725" s="397" t="s">
        <v>1548</v>
      </c>
      <c r="F2725" s="397" t="s">
        <v>191</v>
      </c>
      <c r="G2725" s="396">
        <v>2</v>
      </c>
      <c r="H2725" s="395">
        <v>69655.676999999996</v>
      </c>
      <c r="I2725" s="394">
        <v>64989.78</v>
      </c>
      <c r="J2725" s="394">
        <v>99508.11</v>
      </c>
      <c r="K2725" s="393" t="s">
        <v>1033</v>
      </c>
    </row>
    <row r="2726" spans="1:12" hidden="1" x14ac:dyDescent="0.3">
      <c r="A2726" s="397" t="s">
        <v>4341</v>
      </c>
      <c r="C2726" s="397" t="s">
        <v>1053</v>
      </c>
      <c r="D2726" s="397" t="s">
        <v>4340</v>
      </c>
      <c r="E2726" s="397" t="s">
        <v>4339</v>
      </c>
      <c r="F2726" s="397" t="s">
        <v>191</v>
      </c>
      <c r="G2726" s="396">
        <v>1</v>
      </c>
      <c r="H2726" s="395">
        <v>395806.58600000001</v>
      </c>
      <c r="I2726" s="394">
        <v>379245.88</v>
      </c>
      <c r="J2726" s="394">
        <v>565437.98</v>
      </c>
      <c r="K2726" s="393" t="s">
        <v>1033</v>
      </c>
    </row>
    <row r="2727" spans="1:12" hidden="1" x14ac:dyDescent="0.3">
      <c r="A2727" s="397" t="s">
        <v>7587</v>
      </c>
      <c r="C2727" s="397" t="s">
        <v>1053</v>
      </c>
      <c r="D2727" s="397" t="s">
        <v>7586</v>
      </c>
      <c r="E2727" s="397" t="s">
        <v>7583</v>
      </c>
      <c r="F2727" s="397" t="s">
        <v>191</v>
      </c>
      <c r="G2727" s="396">
        <v>1</v>
      </c>
      <c r="H2727" s="395">
        <v>373166.87100000004</v>
      </c>
      <c r="I2727" s="394">
        <v>14867.31</v>
      </c>
      <c r="J2727" s="394">
        <v>533095.53</v>
      </c>
      <c r="K2727" s="393" t="s">
        <v>1033</v>
      </c>
    </row>
    <row r="2728" spans="1:12" hidden="1" x14ac:dyDescent="0.3">
      <c r="A2728" s="397" t="s">
        <v>7522</v>
      </c>
      <c r="C2728" s="397" t="s">
        <v>1053</v>
      </c>
      <c r="D2728" s="397" t="s">
        <v>7521</v>
      </c>
      <c r="E2728" s="397" t="s">
        <v>441</v>
      </c>
      <c r="F2728" s="397" t="s">
        <v>191</v>
      </c>
      <c r="G2728" s="396">
        <v>1</v>
      </c>
      <c r="H2728" s="395">
        <v>204877.057</v>
      </c>
      <c r="I2728" s="394">
        <v>204318.12</v>
      </c>
      <c r="J2728" s="394">
        <v>292681.51</v>
      </c>
      <c r="K2728" s="393" t="s">
        <v>1033</v>
      </c>
    </row>
    <row r="2729" spans="1:12" hidden="1" x14ac:dyDescent="0.3">
      <c r="A2729" s="397" t="s">
        <v>3605</v>
      </c>
      <c r="C2729" s="397" t="s">
        <v>1053</v>
      </c>
      <c r="D2729" s="397" t="s">
        <v>672</v>
      </c>
      <c r="E2729" s="397" t="s">
        <v>673</v>
      </c>
      <c r="F2729" s="397" t="s">
        <v>191</v>
      </c>
      <c r="G2729" s="396">
        <v>1</v>
      </c>
      <c r="H2729" s="395">
        <v>650113.13500000001</v>
      </c>
      <c r="I2729" s="394">
        <v>638511.18000000005</v>
      </c>
      <c r="J2729" s="394">
        <v>928733.05</v>
      </c>
      <c r="K2729" s="393" t="s">
        <v>1033</v>
      </c>
    </row>
    <row r="2730" spans="1:12" hidden="1" x14ac:dyDescent="0.3">
      <c r="A2730" s="397" t="s">
        <v>7928</v>
      </c>
      <c r="C2730" s="397" t="s">
        <v>1053</v>
      </c>
      <c r="D2730" s="397" t="s">
        <v>7927</v>
      </c>
      <c r="E2730" s="397" t="s">
        <v>7926</v>
      </c>
      <c r="F2730" s="397" t="s">
        <v>191</v>
      </c>
      <c r="G2730" s="396">
        <v>1</v>
      </c>
      <c r="H2730" s="395">
        <v>120388.485</v>
      </c>
      <c r="I2730" s="394">
        <v>630.85</v>
      </c>
      <c r="J2730" s="394">
        <v>171983.55000000002</v>
      </c>
      <c r="K2730" s="393" t="s">
        <v>1033</v>
      </c>
    </row>
    <row r="2731" spans="1:12" hidden="1" x14ac:dyDescent="0.3">
      <c r="A2731" s="397" t="s">
        <v>7520</v>
      </c>
      <c r="C2731" s="397" t="s">
        <v>1053</v>
      </c>
      <c r="D2731" s="397" t="s">
        <v>7519</v>
      </c>
      <c r="E2731" s="397" t="s">
        <v>441</v>
      </c>
      <c r="F2731" s="397" t="s">
        <v>191</v>
      </c>
      <c r="G2731" s="396">
        <v>1</v>
      </c>
      <c r="H2731" s="395">
        <v>234113.91500000001</v>
      </c>
      <c r="I2731" s="394">
        <v>7540.47</v>
      </c>
      <c r="J2731" s="394">
        <v>334448.45</v>
      </c>
      <c r="K2731" s="393" t="s">
        <v>1033</v>
      </c>
    </row>
    <row r="2732" spans="1:12" hidden="1" x14ac:dyDescent="0.3">
      <c r="A2732" s="397" t="s">
        <v>3604</v>
      </c>
      <c r="C2732" s="397" t="s">
        <v>1053</v>
      </c>
      <c r="D2732" s="397" t="s">
        <v>3603</v>
      </c>
      <c r="E2732" s="397" t="s">
        <v>673</v>
      </c>
      <c r="F2732" s="397" t="s">
        <v>191</v>
      </c>
      <c r="G2732" s="396">
        <v>1</v>
      </c>
      <c r="H2732" s="395">
        <v>650113.13500000001</v>
      </c>
      <c r="I2732" s="394">
        <v>638511.18000000005</v>
      </c>
      <c r="J2732" s="394">
        <v>928733.05</v>
      </c>
      <c r="K2732" s="393" t="s">
        <v>1033</v>
      </c>
      <c r="L2732" s="395">
        <v>1</v>
      </c>
    </row>
    <row r="2733" spans="1:12" hidden="1" x14ac:dyDescent="0.3">
      <c r="A2733" s="397" t="s">
        <v>7585</v>
      </c>
      <c r="C2733" s="397" t="s">
        <v>1053</v>
      </c>
      <c r="D2733" s="397" t="s">
        <v>7584</v>
      </c>
      <c r="E2733" s="397" t="s">
        <v>7583</v>
      </c>
      <c r="F2733" s="397" t="s">
        <v>191</v>
      </c>
      <c r="G2733" s="396">
        <v>1</v>
      </c>
      <c r="H2733" s="395">
        <v>536585.05599999998</v>
      </c>
      <c r="I2733" s="394">
        <v>282846.40999999997</v>
      </c>
      <c r="J2733" s="394">
        <v>766550.08</v>
      </c>
      <c r="K2733" s="393" t="s">
        <v>1033</v>
      </c>
    </row>
    <row r="2734" spans="1:12" hidden="1" x14ac:dyDescent="0.3">
      <c r="A2734" s="397" t="s">
        <v>1493</v>
      </c>
      <c r="C2734" s="397" t="s">
        <v>1053</v>
      </c>
      <c r="D2734" s="397" t="s">
        <v>1492</v>
      </c>
      <c r="E2734" s="397" t="s">
        <v>1491</v>
      </c>
      <c r="F2734" s="397" t="s">
        <v>191</v>
      </c>
      <c r="G2734" s="396">
        <v>7</v>
      </c>
      <c r="H2734" s="395">
        <v>47344.947999999997</v>
      </c>
      <c r="I2734" s="394">
        <v>46190.19</v>
      </c>
      <c r="J2734" s="394">
        <v>67635.64</v>
      </c>
      <c r="K2734" s="393" t="s">
        <v>1033</v>
      </c>
    </row>
    <row r="2735" spans="1:12" hidden="1" x14ac:dyDescent="0.3">
      <c r="A2735" s="397" t="s">
        <v>1508</v>
      </c>
      <c r="C2735" s="397" t="s">
        <v>1053</v>
      </c>
      <c r="D2735" s="397" t="s">
        <v>1507</v>
      </c>
      <c r="E2735" s="397" t="s">
        <v>1506</v>
      </c>
      <c r="F2735" s="397" t="s">
        <v>191</v>
      </c>
      <c r="G2735" s="396">
        <v>8</v>
      </c>
      <c r="H2735" s="395">
        <v>130727.92599999999</v>
      </c>
      <c r="I2735" s="394">
        <v>1102.44</v>
      </c>
      <c r="J2735" s="394">
        <v>186754.18</v>
      </c>
      <c r="K2735" s="393" t="s">
        <v>1033</v>
      </c>
    </row>
    <row r="2736" spans="1:12" hidden="1" x14ac:dyDescent="0.3">
      <c r="A2736" s="397" t="s">
        <v>1226</v>
      </c>
      <c r="C2736" s="397" t="s">
        <v>1053</v>
      </c>
      <c r="D2736" s="397" t="s">
        <v>1225</v>
      </c>
      <c r="E2736" s="397" t="s">
        <v>1224</v>
      </c>
      <c r="F2736" s="397" t="s">
        <v>191</v>
      </c>
      <c r="G2736" s="396">
        <v>5</v>
      </c>
      <c r="H2736" s="395">
        <v>143496.15</v>
      </c>
      <c r="I2736" s="394">
        <v>1558.58</v>
      </c>
      <c r="J2736" s="394">
        <v>204994.5</v>
      </c>
      <c r="K2736" s="393" t="s">
        <v>1033</v>
      </c>
    </row>
    <row r="2737" spans="1:12" hidden="1" x14ac:dyDescent="0.3">
      <c r="A2737" s="397" t="s">
        <v>1414</v>
      </c>
      <c r="C2737" s="397" t="s">
        <v>1053</v>
      </c>
      <c r="D2737" s="397" t="s">
        <v>1413</v>
      </c>
      <c r="E2737" s="397" t="s">
        <v>1412</v>
      </c>
      <c r="F2737" s="397" t="s">
        <v>191</v>
      </c>
      <c r="G2737" s="396">
        <v>1</v>
      </c>
      <c r="H2737" s="395">
        <v>98186.885999999999</v>
      </c>
      <c r="I2737" s="394">
        <v>70345.039999999994</v>
      </c>
      <c r="J2737" s="394">
        <v>140266.98000000001</v>
      </c>
      <c r="K2737" s="393" t="s">
        <v>1033</v>
      </c>
    </row>
    <row r="2738" spans="1:12" hidden="1" x14ac:dyDescent="0.3">
      <c r="A2738" s="397" t="s">
        <v>1200</v>
      </c>
      <c r="C2738" s="397" t="s">
        <v>1053</v>
      </c>
      <c r="D2738" s="397" t="s">
        <v>1199</v>
      </c>
      <c r="E2738" s="397" t="s">
        <v>1193</v>
      </c>
      <c r="F2738" s="397" t="s">
        <v>191</v>
      </c>
      <c r="G2738" s="396">
        <v>3</v>
      </c>
      <c r="H2738" s="395">
        <v>74123.952000000005</v>
      </c>
      <c r="I2738" s="394">
        <v>1030.44</v>
      </c>
      <c r="J2738" s="394">
        <v>105891.36</v>
      </c>
      <c r="K2738" s="393" t="s">
        <v>1033</v>
      </c>
      <c r="L2738" s="395">
        <v>1</v>
      </c>
    </row>
    <row r="2739" spans="1:12" hidden="1" x14ac:dyDescent="0.3">
      <c r="A2739" s="397" t="s">
        <v>1514</v>
      </c>
      <c r="C2739" s="397" t="s">
        <v>1053</v>
      </c>
      <c r="D2739" s="397" t="s">
        <v>1513</v>
      </c>
      <c r="E2739" s="397" t="s">
        <v>1512</v>
      </c>
      <c r="F2739" s="397" t="s">
        <v>191</v>
      </c>
      <c r="G2739" s="396">
        <v>5</v>
      </c>
      <c r="H2739" s="395">
        <v>385114.114</v>
      </c>
      <c r="I2739" s="394">
        <v>375721.09</v>
      </c>
      <c r="J2739" s="394">
        <v>550163.02</v>
      </c>
      <c r="K2739" s="393" t="s">
        <v>1033</v>
      </c>
    </row>
    <row r="2740" spans="1:12" hidden="1" x14ac:dyDescent="0.3">
      <c r="A2740" s="397" t="s">
        <v>1372</v>
      </c>
      <c r="C2740" s="397" t="s">
        <v>1053</v>
      </c>
      <c r="D2740" s="397" t="s">
        <v>1371</v>
      </c>
      <c r="E2740" s="397" t="s">
        <v>1370</v>
      </c>
      <c r="F2740" s="397" t="s">
        <v>191</v>
      </c>
      <c r="G2740" s="396">
        <v>1</v>
      </c>
      <c r="H2740" s="395">
        <v>549926.951</v>
      </c>
      <c r="I2740" s="394">
        <v>498145.63</v>
      </c>
      <c r="J2740" s="394">
        <v>785609.93</v>
      </c>
      <c r="K2740" s="393" t="s">
        <v>1033</v>
      </c>
    </row>
    <row r="2741" spans="1:12" hidden="1" x14ac:dyDescent="0.3">
      <c r="A2741" s="397" t="s">
        <v>5668</v>
      </c>
      <c r="C2741" s="397" t="s">
        <v>1053</v>
      </c>
      <c r="D2741" s="397" t="s">
        <v>5667</v>
      </c>
      <c r="E2741" s="397" t="s">
        <v>604</v>
      </c>
      <c r="F2741" s="397" t="s">
        <v>191</v>
      </c>
      <c r="G2741" s="396">
        <v>1</v>
      </c>
      <c r="H2741" s="395">
        <v>444231.13</v>
      </c>
      <c r="I2741" s="394">
        <v>318065.13</v>
      </c>
      <c r="J2741" s="394">
        <v>634615.9</v>
      </c>
      <c r="K2741" s="393" t="s">
        <v>1033</v>
      </c>
    </row>
    <row r="2742" spans="1:12" hidden="1" x14ac:dyDescent="0.3">
      <c r="A2742" s="397" t="s">
        <v>5654</v>
      </c>
      <c r="C2742" s="397" t="s">
        <v>1053</v>
      </c>
      <c r="D2742" s="397" t="s">
        <v>5653</v>
      </c>
      <c r="E2742" s="397" t="s">
        <v>5652</v>
      </c>
      <c r="F2742" s="397" t="s">
        <v>191</v>
      </c>
      <c r="G2742" s="396">
        <v>1</v>
      </c>
      <c r="H2742" s="395">
        <v>147576.25400000002</v>
      </c>
      <c r="I2742" s="394">
        <v>139493.29999999999</v>
      </c>
      <c r="J2742" s="394">
        <v>210823.22</v>
      </c>
      <c r="K2742" s="393" t="s">
        <v>1033</v>
      </c>
    </row>
    <row r="2743" spans="1:12" hidden="1" x14ac:dyDescent="0.3">
      <c r="A2743" s="397" t="s">
        <v>5674</v>
      </c>
      <c r="C2743" s="397" t="s">
        <v>1053</v>
      </c>
      <c r="D2743" s="397" t="s">
        <v>5673</v>
      </c>
      <c r="E2743" s="397" t="s">
        <v>5664</v>
      </c>
      <c r="F2743" s="397" t="s">
        <v>191</v>
      </c>
      <c r="G2743" s="396">
        <v>2</v>
      </c>
      <c r="H2743" s="395">
        <v>165783.93300000002</v>
      </c>
      <c r="I2743" s="394">
        <v>118926.59</v>
      </c>
      <c r="J2743" s="394">
        <v>236834.19</v>
      </c>
      <c r="K2743" s="393" t="s">
        <v>1033</v>
      </c>
    </row>
    <row r="2744" spans="1:12" hidden="1" x14ac:dyDescent="0.3">
      <c r="A2744" s="397" t="s">
        <v>5659</v>
      </c>
      <c r="C2744" s="397" t="s">
        <v>1053</v>
      </c>
      <c r="D2744" s="397" t="s">
        <v>5658</v>
      </c>
      <c r="E2744" s="397" t="s">
        <v>5657</v>
      </c>
      <c r="F2744" s="397" t="s">
        <v>191</v>
      </c>
      <c r="G2744" s="396">
        <v>1</v>
      </c>
      <c r="H2744" s="395">
        <v>159790.29500000001</v>
      </c>
      <c r="I2744" s="394">
        <v>153266.09</v>
      </c>
      <c r="J2744" s="394">
        <v>228271.85</v>
      </c>
      <c r="K2744" s="393" t="s">
        <v>1033</v>
      </c>
    </row>
    <row r="2745" spans="1:12" hidden="1" x14ac:dyDescent="0.3">
      <c r="A2745" s="397" t="s">
        <v>5637</v>
      </c>
      <c r="C2745" s="397" t="s">
        <v>1053</v>
      </c>
      <c r="D2745" s="397" t="s">
        <v>5636</v>
      </c>
      <c r="E2745" s="397" t="s">
        <v>606</v>
      </c>
      <c r="F2745" s="397" t="s">
        <v>191</v>
      </c>
      <c r="G2745" s="396">
        <v>1</v>
      </c>
      <c r="H2745" s="395">
        <v>145169.682</v>
      </c>
      <c r="I2745" s="394">
        <v>108512.06</v>
      </c>
      <c r="J2745" s="394">
        <v>207385.26</v>
      </c>
      <c r="K2745" s="393" t="s">
        <v>1033</v>
      </c>
    </row>
    <row r="2746" spans="1:12" hidden="1" x14ac:dyDescent="0.3">
      <c r="A2746" s="397" t="s">
        <v>5670</v>
      </c>
      <c r="C2746" s="397" t="s">
        <v>1053</v>
      </c>
      <c r="D2746" s="397" t="s">
        <v>5669</v>
      </c>
      <c r="E2746" s="397" t="s">
        <v>5652</v>
      </c>
      <c r="F2746" s="397" t="s">
        <v>191</v>
      </c>
      <c r="G2746" s="396">
        <v>1</v>
      </c>
      <c r="H2746" s="395">
        <v>385213.24100000004</v>
      </c>
      <c r="I2746" s="394">
        <v>369227.98</v>
      </c>
      <c r="J2746" s="394">
        <v>550304.63</v>
      </c>
      <c r="K2746" s="393" t="s">
        <v>1033</v>
      </c>
    </row>
    <row r="2747" spans="1:12" hidden="1" x14ac:dyDescent="0.3">
      <c r="A2747" s="397" t="s">
        <v>5613</v>
      </c>
      <c r="C2747" s="397" t="s">
        <v>1053</v>
      </c>
      <c r="D2747" s="397" t="s">
        <v>5612</v>
      </c>
      <c r="E2747" s="397" t="s">
        <v>5611</v>
      </c>
      <c r="F2747" s="397" t="s">
        <v>191</v>
      </c>
      <c r="G2747" s="396">
        <v>1</v>
      </c>
      <c r="H2747" s="395">
        <v>126583.576</v>
      </c>
      <c r="I2747" s="394">
        <v>98190.58</v>
      </c>
      <c r="J2747" s="394">
        <v>180833.68</v>
      </c>
      <c r="K2747" s="393" t="s">
        <v>1033</v>
      </c>
    </row>
    <row r="2748" spans="1:12" hidden="1" x14ac:dyDescent="0.3">
      <c r="A2748" s="397" t="s">
        <v>5616</v>
      </c>
      <c r="C2748" s="397" t="s">
        <v>1053</v>
      </c>
      <c r="D2748" s="397" t="s">
        <v>5615</v>
      </c>
      <c r="E2748" s="397" t="s">
        <v>5614</v>
      </c>
      <c r="F2748" s="397" t="s">
        <v>191</v>
      </c>
      <c r="G2748" s="396">
        <v>1</v>
      </c>
      <c r="H2748" s="395">
        <v>126583.576</v>
      </c>
      <c r="I2748" s="394">
        <v>11332.11</v>
      </c>
      <c r="J2748" s="394">
        <v>180833.68</v>
      </c>
      <c r="K2748" s="393" t="s">
        <v>1033</v>
      </c>
    </row>
    <row r="2749" spans="1:12" hidden="1" x14ac:dyDescent="0.3">
      <c r="A2749" s="397" t="s">
        <v>5672</v>
      </c>
      <c r="C2749" s="397" t="s">
        <v>1053</v>
      </c>
      <c r="D2749" s="397" t="s">
        <v>5671</v>
      </c>
      <c r="E2749" s="397" t="s">
        <v>5664</v>
      </c>
      <c r="F2749" s="397" t="s">
        <v>191</v>
      </c>
      <c r="G2749" s="396">
        <v>1</v>
      </c>
      <c r="H2749" s="395">
        <v>451364.62700000004</v>
      </c>
      <c r="I2749" s="394">
        <v>414527.44</v>
      </c>
      <c r="J2749" s="394">
        <v>644806.61</v>
      </c>
      <c r="K2749" s="393" t="s">
        <v>1033</v>
      </c>
    </row>
    <row r="2750" spans="1:12" hidden="1" x14ac:dyDescent="0.3">
      <c r="A2750" s="397" t="s">
        <v>1658</v>
      </c>
      <c r="C2750" s="397" t="s">
        <v>1053</v>
      </c>
      <c r="D2750" s="397" t="s">
        <v>1657</v>
      </c>
      <c r="E2750" s="397" t="s">
        <v>1656</v>
      </c>
      <c r="F2750" s="397" t="s">
        <v>191</v>
      </c>
      <c r="G2750" s="396">
        <v>1</v>
      </c>
      <c r="H2750" s="395">
        <v>160639.01699999999</v>
      </c>
      <c r="I2750" s="394">
        <v>7128.79</v>
      </c>
      <c r="J2750" s="394">
        <v>229484.31</v>
      </c>
      <c r="K2750" s="393" t="s">
        <v>1033</v>
      </c>
    </row>
    <row r="2751" spans="1:12" hidden="1" x14ac:dyDescent="0.3">
      <c r="A2751" s="397" t="s">
        <v>1357</v>
      </c>
      <c r="C2751" s="397" t="s">
        <v>1053</v>
      </c>
      <c r="D2751" s="397" t="s">
        <v>1356</v>
      </c>
      <c r="E2751" s="397" t="s">
        <v>1355</v>
      </c>
      <c r="F2751" s="397" t="s">
        <v>191</v>
      </c>
      <c r="G2751" s="396">
        <v>1</v>
      </c>
      <c r="H2751" s="395">
        <v>55437.235000000001</v>
      </c>
      <c r="I2751" s="394">
        <v>30903.77</v>
      </c>
      <c r="J2751" s="394">
        <v>79196.05</v>
      </c>
      <c r="K2751" s="393" t="s">
        <v>1033</v>
      </c>
    </row>
    <row r="2752" spans="1:12" hidden="1" x14ac:dyDescent="0.3">
      <c r="A2752" s="397" t="s">
        <v>1416</v>
      </c>
      <c r="C2752" s="397" t="s">
        <v>1053</v>
      </c>
      <c r="D2752" s="397" t="s">
        <v>1415</v>
      </c>
      <c r="E2752" s="397" t="s">
        <v>1193</v>
      </c>
      <c r="F2752" s="397" t="s">
        <v>191</v>
      </c>
      <c r="G2752" s="396">
        <v>1</v>
      </c>
      <c r="H2752" s="395">
        <v>82290.116999999998</v>
      </c>
      <c r="I2752" s="394">
        <v>60261.17</v>
      </c>
      <c r="J2752" s="394">
        <v>117557.31</v>
      </c>
      <c r="K2752" s="393" t="s">
        <v>1033</v>
      </c>
    </row>
    <row r="2753" spans="1:12" hidden="1" x14ac:dyDescent="0.3">
      <c r="A2753" s="397" t="s">
        <v>5816</v>
      </c>
      <c r="C2753" s="397" t="s">
        <v>1053</v>
      </c>
      <c r="D2753" s="397" t="s">
        <v>5815</v>
      </c>
      <c r="E2753" s="397" t="s">
        <v>5814</v>
      </c>
      <c r="F2753" s="397" t="s">
        <v>191</v>
      </c>
      <c r="G2753" s="396">
        <v>3</v>
      </c>
      <c r="H2753" s="395">
        <v>145264.72099999999</v>
      </c>
      <c r="I2753" s="394">
        <v>142652.76</v>
      </c>
      <c r="J2753" s="394">
        <v>207521.03</v>
      </c>
      <c r="K2753" s="393" t="s">
        <v>1033</v>
      </c>
      <c r="L2753" s="395">
        <v>1</v>
      </c>
    </row>
    <row r="2754" spans="1:12" hidden="1" x14ac:dyDescent="0.3">
      <c r="A2754" s="397" t="s">
        <v>1467</v>
      </c>
      <c r="C2754" s="397" t="s">
        <v>1053</v>
      </c>
      <c r="D2754" s="397" t="s">
        <v>1466</v>
      </c>
      <c r="E2754" s="397" t="s">
        <v>1465</v>
      </c>
      <c r="F2754" s="397" t="s">
        <v>191</v>
      </c>
      <c r="G2754" s="396">
        <v>13</v>
      </c>
      <c r="H2754" s="395">
        <v>271316.50699999998</v>
      </c>
      <c r="I2754" s="394">
        <v>264699.03000000003</v>
      </c>
      <c r="J2754" s="394">
        <v>387595.01</v>
      </c>
      <c r="K2754" s="393" t="s">
        <v>1033</v>
      </c>
    </row>
    <row r="2755" spans="1:12" hidden="1" x14ac:dyDescent="0.3">
      <c r="A2755" s="397" t="s">
        <v>1464</v>
      </c>
      <c r="C2755" s="397" t="s">
        <v>1053</v>
      </c>
      <c r="D2755" s="397" t="s">
        <v>1463</v>
      </c>
      <c r="E2755" s="397" t="s">
        <v>1462</v>
      </c>
      <c r="F2755" s="397" t="s">
        <v>191</v>
      </c>
      <c r="G2755" s="396">
        <v>6</v>
      </c>
      <c r="H2755" s="395">
        <v>236284.818</v>
      </c>
      <c r="I2755" s="394">
        <v>18134.009999999998</v>
      </c>
      <c r="J2755" s="394">
        <v>337549.74</v>
      </c>
      <c r="K2755" s="393" t="s">
        <v>1033</v>
      </c>
    </row>
    <row r="2756" spans="1:12" hidden="1" x14ac:dyDescent="0.3">
      <c r="A2756" s="397" t="s">
        <v>4375</v>
      </c>
      <c r="C2756" s="397" t="s">
        <v>1053</v>
      </c>
      <c r="D2756" s="397" t="s">
        <v>4374</v>
      </c>
      <c r="E2756" s="397" t="s">
        <v>4373</v>
      </c>
      <c r="F2756" s="397" t="s">
        <v>191</v>
      </c>
      <c r="G2756" s="396">
        <v>1</v>
      </c>
      <c r="H2756" s="395">
        <v>2281335.1680000001</v>
      </c>
      <c r="I2756" s="394">
        <v>1710779.96</v>
      </c>
      <c r="J2756" s="394">
        <v>3259050.24</v>
      </c>
      <c r="K2756" s="393" t="s">
        <v>1033</v>
      </c>
    </row>
    <row r="2757" spans="1:12" hidden="1" x14ac:dyDescent="0.3">
      <c r="A2757" s="397" t="s">
        <v>4350</v>
      </c>
      <c r="C2757" s="397" t="s">
        <v>1053</v>
      </c>
      <c r="D2757" s="397" t="s">
        <v>4349</v>
      </c>
      <c r="E2757" s="397" t="s">
        <v>4348</v>
      </c>
      <c r="F2757" s="397" t="s">
        <v>191</v>
      </c>
      <c r="G2757" s="396">
        <v>1</v>
      </c>
      <c r="H2757" s="395">
        <v>2281335.1680000001</v>
      </c>
      <c r="I2757" s="394">
        <v>2142236.13</v>
      </c>
      <c r="J2757" s="394">
        <v>3259050.24</v>
      </c>
      <c r="K2757" s="393" t="s">
        <v>1033</v>
      </c>
    </row>
    <row r="2758" spans="1:12" hidden="1" x14ac:dyDescent="0.3">
      <c r="A2758" s="397" t="s">
        <v>4361</v>
      </c>
      <c r="C2758" s="397" t="s">
        <v>1053</v>
      </c>
      <c r="D2758" s="397" t="s">
        <v>4360</v>
      </c>
      <c r="E2758" s="397" t="s">
        <v>4359</v>
      </c>
      <c r="F2758" s="397" t="s">
        <v>191</v>
      </c>
      <c r="G2758" s="396">
        <v>1</v>
      </c>
      <c r="H2758" s="395">
        <v>397891.45899999997</v>
      </c>
      <c r="I2758" s="394">
        <v>158637.35</v>
      </c>
      <c r="J2758" s="394">
        <v>568416.37</v>
      </c>
      <c r="K2758" s="393" t="s">
        <v>1033</v>
      </c>
    </row>
    <row r="2759" spans="1:12" hidden="1" x14ac:dyDescent="0.3">
      <c r="A2759" s="397" t="s">
        <v>4344</v>
      </c>
      <c r="C2759" s="397" t="s">
        <v>1053</v>
      </c>
      <c r="D2759" s="397" t="s">
        <v>4343</v>
      </c>
      <c r="E2759" s="397" t="s">
        <v>4342</v>
      </c>
      <c r="F2759" s="397" t="s">
        <v>191</v>
      </c>
      <c r="G2759" s="396">
        <v>1</v>
      </c>
      <c r="H2759" s="395">
        <v>221807.40399999998</v>
      </c>
      <c r="I2759" s="394">
        <v>2176.9299999999998</v>
      </c>
      <c r="J2759" s="394">
        <v>316867.71999999997</v>
      </c>
      <c r="K2759" s="393" t="s">
        <v>1033</v>
      </c>
    </row>
    <row r="2760" spans="1:12" hidden="1" x14ac:dyDescent="0.3">
      <c r="A2760" s="397" t="s">
        <v>4366</v>
      </c>
      <c r="C2760" s="397" t="s">
        <v>1053</v>
      </c>
      <c r="D2760" s="397" t="s">
        <v>4365</v>
      </c>
      <c r="E2760" s="397" t="s">
        <v>4364</v>
      </c>
      <c r="F2760" s="397" t="s">
        <v>191</v>
      </c>
      <c r="G2760" s="396">
        <v>1</v>
      </c>
      <c r="H2760" s="395">
        <v>332664.766</v>
      </c>
      <c r="I2760" s="394">
        <v>219357.55000000002</v>
      </c>
      <c r="J2760" s="394">
        <v>475235.38</v>
      </c>
      <c r="K2760" s="393" t="s">
        <v>1033</v>
      </c>
    </row>
    <row r="2761" spans="1:12" hidden="1" x14ac:dyDescent="0.3">
      <c r="A2761" s="397" t="s">
        <v>4377</v>
      </c>
      <c r="C2761" s="397" t="s">
        <v>1053</v>
      </c>
      <c r="D2761" s="397" t="s">
        <v>4376</v>
      </c>
      <c r="E2761" s="397" t="s">
        <v>4373</v>
      </c>
      <c r="F2761" s="397" t="s">
        <v>191</v>
      </c>
      <c r="G2761" s="396">
        <v>1</v>
      </c>
      <c r="H2761" s="395">
        <v>2281335.1680000001</v>
      </c>
      <c r="I2761" s="394">
        <v>2196113.36</v>
      </c>
      <c r="J2761" s="394">
        <v>3259050.24</v>
      </c>
      <c r="K2761" s="393" t="s">
        <v>1033</v>
      </c>
    </row>
    <row r="2762" spans="1:12" hidden="1" x14ac:dyDescent="0.3">
      <c r="A2762" s="397" t="s">
        <v>5628</v>
      </c>
      <c r="C2762" s="397" t="s">
        <v>1053</v>
      </c>
      <c r="D2762" s="397" t="s">
        <v>5627</v>
      </c>
      <c r="E2762" s="397" t="s">
        <v>5626</v>
      </c>
      <c r="F2762" s="397" t="s">
        <v>191</v>
      </c>
      <c r="G2762" s="396">
        <v>2</v>
      </c>
      <c r="H2762" s="395">
        <v>124585.51000000001</v>
      </c>
      <c r="I2762" s="394">
        <v>109437.49</v>
      </c>
      <c r="J2762" s="394">
        <v>177979.30000000002</v>
      </c>
      <c r="K2762" s="393" t="s">
        <v>1033</v>
      </c>
    </row>
    <row r="2763" spans="1:12" hidden="1" x14ac:dyDescent="0.3">
      <c r="A2763" s="397" t="s">
        <v>828</v>
      </c>
      <c r="C2763" s="397" t="s">
        <v>1053</v>
      </c>
      <c r="D2763" s="397" t="s">
        <v>603</v>
      </c>
      <c r="E2763" s="397" t="s">
        <v>604</v>
      </c>
      <c r="F2763" s="397" t="s">
        <v>191</v>
      </c>
      <c r="G2763" s="396">
        <v>1</v>
      </c>
      <c r="H2763" s="395">
        <v>809833.51400000008</v>
      </c>
      <c r="I2763" s="394">
        <v>769648.88</v>
      </c>
      <c r="J2763" s="394">
        <v>1156905.02</v>
      </c>
      <c r="K2763" s="393" t="s">
        <v>1033</v>
      </c>
      <c r="L2763" s="395">
        <v>1</v>
      </c>
    </row>
    <row r="2764" spans="1:12" hidden="1" x14ac:dyDescent="0.3">
      <c r="A2764" s="397" t="s">
        <v>5631</v>
      </c>
      <c r="C2764" s="397" t="s">
        <v>1053</v>
      </c>
      <c r="D2764" s="397" t="s">
        <v>5630</v>
      </c>
      <c r="E2764" s="397" t="s">
        <v>5629</v>
      </c>
      <c r="F2764" s="397" t="s">
        <v>191</v>
      </c>
      <c r="G2764" s="396">
        <v>1</v>
      </c>
      <c r="H2764" s="395">
        <v>183049.78300000002</v>
      </c>
      <c r="I2764" s="394">
        <v>16280.37</v>
      </c>
      <c r="J2764" s="394">
        <v>261499.69</v>
      </c>
      <c r="K2764" s="393" t="s">
        <v>1033</v>
      </c>
    </row>
    <row r="2765" spans="1:12" hidden="1" x14ac:dyDescent="0.3">
      <c r="A2765" s="397" t="s">
        <v>5656</v>
      </c>
      <c r="C2765" s="397" t="s">
        <v>1053</v>
      </c>
      <c r="D2765" s="397" t="s">
        <v>5655</v>
      </c>
      <c r="E2765" s="397" t="s">
        <v>5643</v>
      </c>
      <c r="F2765" s="397" t="s">
        <v>191</v>
      </c>
      <c r="G2765" s="396">
        <v>2</v>
      </c>
      <c r="H2765" s="395">
        <v>448391.06900000002</v>
      </c>
      <c r="I2765" s="394">
        <v>15609.77</v>
      </c>
      <c r="J2765" s="394">
        <v>640558.67000000004</v>
      </c>
      <c r="K2765" s="393" t="s">
        <v>1033</v>
      </c>
    </row>
    <row r="2766" spans="1:12" hidden="1" x14ac:dyDescent="0.3">
      <c r="A2766" s="397" t="s">
        <v>827</v>
      </c>
      <c r="C2766" s="397" t="s">
        <v>1053</v>
      </c>
      <c r="D2766" s="397" t="s">
        <v>605</v>
      </c>
      <c r="E2766" s="397" t="s">
        <v>604</v>
      </c>
      <c r="F2766" s="397" t="s">
        <v>191</v>
      </c>
      <c r="G2766" s="396">
        <v>1</v>
      </c>
      <c r="H2766" s="395">
        <v>541618.71400000004</v>
      </c>
      <c r="I2766" s="394">
        <v>408102.7</v>
      </c>
      <c r="J2766" s="394">
        <v>773741.02</v>
      </c>
      <c r="K2766" s="393" t="s">
        <v>1033</v>
      </c>
    </row>
    <row r="2767" spans="1:12" hidden="1" x14ac:dyDescent="0.3">
      <c r="A2767" s="397" t="s">
        <v>5775</v>
      </c>
      <c r="C2767" s="397" t="s">
        <v>1053</v>
      </c>
      <c r="D2767" s="397" t="s">
        <v>5774</v>
      </c>
      <c r="E2767" s="397" t="s">
        <v>5773</v>
      </c>
      <c r="F2767" s="397" t="s">
        <v>191</v>
      </c>
      <c r="G2767" s="396">
        <v>1</v>
      </c>
      <c r="H2767" s="395">
        <v>365879.234</v>
      </c>
      <c r="I2767" s="394">
        <v>346900.64</v>
      </c>
      <c r="J2767" s="394">
        <v>522684.62</v>
      </c>
      <c r="K2767" s="393" t="s">
        <v>1033</v>
      </c>
    </row>
    <row r="2768" spans="1:12" hidden="1" x14ac:dyDescent="0.3">
      <c r="A2768" s="397" t="s">
        <v>1768</v>
      </c>
      <c r="C2768" s="397" t="s">
        <v>1053</v>
      </c>
      <c r="D2768" s="397" t="s">
        <v>1767</v>
      </c>
      <c r="E2768" s="397" t="s">
        <v>1766</v>
      </c>
      <c r="F2768" s="397" t="s">
        <v>191</v>
      </c>
      <c r="G2768" s="396">
        <v>1</v>
      </c>
      <c r="H2768" s="395">
        <v>104677.05500000001</v>
      </c>
      <c r="I2768" s="394">
        <v>77877.48</v>
      </c>
      <c r="J2768" s="394">
        <v>149538.65</v>
      </c>
      <c r="K2768" s="393" t="s">
        <v>1033</v>
      </c>
    </row>
    <row r="2769" spans="1:12" hidden="1" x14ac:dyDescent="0.3">
      <c r="A2769" s="397" t="s">
        <v>4227</v>
      </c>
      <c r="C2769" s="397" t="s">
        <v>1053</v>
      </c>
      <c r="D2769" s="397" t="s">
        <v>4226</v>
      </c>
      <c r="E2769" s="397" t="s">
        <v>4225</v>
      </c>
      <c r="F2769" s="397" t="s">
        <v>191</v>
      </c>
      <c r="G2769" s="396">
        <v>1</v>
      </c>
      <c r="H2769" s="395">
        <v>222895.883</v>
      </c>
      <c r="I2769" s="394">
        <v>2004.32</v>
      </c>
      <c r="J2769" s="394">
        <v>318422.69</v>
      </c>
      <c r="K2769" s="393" t="s">
        <v>1033</v>
      </c>
    </row>
    <row r="2770" spans="1:12" hidden="1" x14ac:dyDescent="0.3">
      <c r="A2770" s="397" t="s">
        <v>4195</v>
      </c>
      <c r="C2770" s="397" t="s">
        <v>1053</v>
      </c>
      <c r="D2770" s="397" t="s">
        <v>4194</v>
      </c>
      <c r="E2770" s="397" t="s">
        <v>4141</v>
      </c>
      <c r="F2770" s="397" t="s">
        <v>191</v>
      </c>
      <c r="G2770" s="396">
        <v>1</v>
      </c>
      <c r="H2770" s="395">
        <v>222895.883</v>
      </c>
      <c r="I2770" s="394">
        <v>2004.32</v>
      </c>
      <c r="J2770" s="394">
        <v>318422.69</v>
      </c>
      <c r="K2770" s="393" t="s">
        <v>1033</v>
      </c>
    </row>
    <row r="2771" spans="1:12" hidden="1" x14ac:dyDescent="0.3">
      <c r="A2771" s="397" t="s">
        <v>1229</v>
      </c>
      <c r="C2771" s="397" t="s">
        <v>1053</v>
      </c>
      <c r="D2771" s="397" t="s">
        <v>1228</v>
      </c>
      <c r="E2771" s="397" t="s">
        <v>1227</v>
      </c>
      <c r="F2771" s="397" t="s">
        <v>191</v>
      </c>
      <c r="G2771" s="396">
        <v>2</v>
      </c>
      <c r="H2771" s="395">
        <v>17.997</v>
      </c>
      <c r="I2771" s="394">
        <v>54.370000000000005</v>
      </c>
      <c r="J2771" s="394">
        <v>25.71</v>
      </c>
      <c r="K2771" s="393" t="s">
        <v>1033</v>
      </c>
    </row>
    <row r="2772" spans="1:12" hidden="1" x14ac:dyDescent="0.3">
      <c r="A2772" s="397" t="s">
        <v>1271</v>
      </c>
      <c r="C2772" s="397" t="s">
        <v>1053</v>
      </c>
      <c r="D2772" s="397" t="s">
        <v>1270</v>
      </c>
      <c r="E2772" s="397" t="s">
        <v>1269</v>
      </c>
      <c r="F2772" s="397" t="s">
        <v>191</v>
      </c>
      <c r="G2772" s="396">
        <v>3</v>
      </c>
      <c r="H2772" s="395">
        <v>121.04</v>
      </c>
      <c r="I2772" s="394">
        <v>42.96</v>
      </c>
      <c r="J2772" s="394">
        <v>151.30000000000001</v>
      </c>
      <c r="K2772" s="393" t="s">
        <v>1033</v>
      </c>
    </row>
    <row r="2773" spans="1:12" hidden="1" x14ac:dyDescent="0.3">
      <c r="A2773" s="397" t="s">
        <v>1661</v>
      </c>
      <c r="C2773" s="397" t="s">
        <v>1053</v>
      </c>
      <c r="D2773" s="397" t="s">
        <v>1660</v>
      </c>
      <c r="E2773" s="397" t="s">
        <v>1659</v>
      </c>
      <c r="F2773" s="397" t="s">
        <v>191</v>
      </c>
      <c r="G2773" s="396">
        <v>5</v>
      </c>
      <c r="H2773" s="395">
        <v>5043.759</v>
      </c>
      <c r="I2773" s="394">
        <v>900.04</v>
      </c>
      <c r="J2773" s="394">
        <v>7205.37</v>
      </c>
      <c r="K2773" s="393" t="s">
        <v>1033</v>
      </c>
    </row>
    <row r="2774" spans="1:12" hidden="1" x14ac:dyDescent="0.3">
      <c r="A2774" s="397" t="s">
        <v>1748</v>
      </c>
      <c r="C2774" s="397" t="s">
        <v>1053</v>
      </c>
      <c r="D2774" s="397" t="s">
        <v>1747</v>
      </c>
      <c r="E2774" s="397" t="s">
        <v>1746</v>
      </c>
      <c r="F2774" s="397" t="s">
        <v>191</v>
      </c>
      <c r="G2774" s="396">
        <v>19</v>
      </c>
      <c r="H2774" s="395">
        <v>82092.639999999999</v>
      </c>
      <c r="I2774" s="394">
        <v>80090.38</v>
      </c>
      <c r="J2774" s="394">
        <v>117275.2</v>
      </c>
      <c r="K2774" s="393" t="s">
        <v>1033</v>
      </c>
    </row>
    <row r="2775" spans="1:12" hidden="1" x14ac:dyDescent="0.3">
      <c r="A2775" s="397" t="s">
        <v>1541</v>
      </c>
      <c r="C2775" s="397" t="s">
        <v>1053</v>
      </c>
      <c r="D2775" s="397" t="s">
        <v>1750</v>
      </c>
      <c r="E2775" s="397" t="s">
        <v>1749</v>
      </c>
      <c r="F2775" s="397" t="s">
        <v>191</v>
      </c>
      <c r="G2775" s="396">
        <v>15</v>
      </c>
      <c r="H2775" s="395">
        <v>133013.24400000001</v>
      </c>
      <c r="I2775" s="394">
        <v>129769.02</v>
      </c>
      <c r="J2775" s="394">
        <v>190018.92</v>
      </c>
      <c r="K2775" s="393" t="s">
        <v>1033</v>
      </c>
      <c r="L2775" s="395">
        <v>1</v>
      </c>
    </row>
    <row r="2776" spans="1:12" hidden="1" x14ac:dyDescent="0.3">
      <c r="A2776" s="397" t="s">
        <v>1541</v>
      </c>
      <c r="C2776" s="397" t="s">
        <v>1053</v>
      </c>
      <c r="D2776" s="397" t="s">
        <v>1540</v>
      </c>
      <c r="E2776" s="397" t="s">
        <v>1539</v>
      </c>
      <c r="F2776" s="397" t="s">
        <v>191</v>
      </c>
      <c r="G2776" s="396">
        <v>1</v>
      </c>
      <c r="H2776" s="395">
        <v>183293.90100000001</v>
      </c>
      <c r="I2776" s="394">
        <v>8316.6299999999992</v>
      </c>
      <c r="J2776" s="394">
        <v>261848.43</v>
      </c>
      <c r="K2776" s="393" t="s">
        <v>1033</v>
      </c>
      <c r="L2776" s="395">
        <v>1</v>
      </c>
    </row>
    <row r="2777" spans="1:12" hidden="1" x14ac:dyDescent="0.3">
      <c r="A2777" s="397" t="s">
        <v>1428</v>
      </c>
      <c r="C2777" s="397" t="s">
        <v>1053</v>
      </c>
      <c r="D2777" s="397" t="s">
        <v>274</v>
      </c>
      <c r="E2777" s="397" t="s">
        <v>273</v>
      </c>
      <c r="F2777" s="397" t="s">
        <v>191</v>
      </c>
      <c r="G2777" s="396">
        <v>21</v>
      </c>
      <c r="H2777" s="395">
        <v>91981.400000000009</v>
      </c>
      <c r="I2777" s="394">
        <v>89737.95</v>
      </c>
      <c r="J2777" s="394">
        <v>131402</v>
      </c>
      <c r="K2777" s="393" t="s">
        <v>1033</v>
      </c>
      <c r="L2777" s="395">
        <v>2</v>
      </c>
    </row>
    <row r="2778" spans="1:12" hidden="1" x14ac:dyDescent="0.3">
      <c r="A2778" s="397" t="s">
        <v>1428</v>
      </c>
      <c r="C2778" s="397" t="s">
        <v>1053</v>
      </c>
      <c r="D2778" s="397" t="s">
        <v>1427</v>
      </c>
      <c r="E2778" s="397" t="s">
        <v>1426</v>
      </c>
      <c r="F2778" s="397" t="s">
        <v>191</v>
      </c>
      <c r="G2778" s="396">
        <v>2</v>
      </c>
      <c r="H2778" s="395">
        <v>121951.21400000001</v>
      </c>
      <c r="I2778" s="394">
        <v>116057.94</v>
      </c>
      <c r="J2778" s="394">
        <v>174216.02</v>
      </c>
      <c r="K2778" s="393" t="s">
        <v>1033</v>
      </c>
    </row>
    <row r="2779" spans="1:12" hidden="1" x14ac:dyDescent="0.3">
      <c r="A2779" s="397" t="s">
        <v>1568</v>
      </c>
      <c r="C2779" s="397" t="s">
        <v>1053</v>
      </c>
      <c r="D2779" s="397" t="s">
        <v>1567</v>
      </c>
      <c r="E2779" s="397" t="s">
        <v>1566</v>
      </c>
      <c r="F2779" s="397" t="s">
        <v>191</v>
      </c>
      <c r="G2779" s="396">
        <v>5</v>
      </c>
      <c r="H2779" s="395">
        <v>96379.660999999993</v>
      </c>
      <c r="I2779" s="394">
        <v>91722.12</v>
      </c>
      <c r="J2779" s="394">
        <v>137685.23000000001</v>
      </c>
      <c r="K2779" s="393" t="s">
        <v>1033</v>
      </c>
    </row>
    <row r="2780" spans="1:12" hidden="1" x14ac:dyDescent="0.3">
      <c r="A2780" s="397" t="s">
        <v>1559</v>
      </c>
      <c r="C2780" s="397" t="s">
        <v>1053</v>
      </c>
      <c r="D2780" s="397" t="s">
        <v>1558</v>
      </c>
      <c r="E2780" s="397" t="s">
        <v>1557</v>
      </c>
      <c r="F2780" s="397" t="s">
        <v>191</v>
      </c>
      <c r="G2780" s="396">
        <v>2</v>
      </c>
      <c r="H2780" s="395">
        <v>96379.660999999993</v>
      </c>
      <c r="I2780" s="394">
        <v>81906.84</v>
      </c>
      <c r="J2780" s="394">
        <v>137685.23000000001</v>
      </c>
      <c r="K2780" s="393" t="s">
        <v>1033</v>
      </c>
    </row>
    <row r="2781" spans="1:12" hidden="1" x14ac:dyDescent="0.3">
      <c r="A2781" s="397" t="s">
        <v>1562</v>
      </c>
      <c r="C2781" s="397" t="s">
        <v>1053</v>
      </c>
      <c r="D2781" s="397" t="s">
        <v>1561</v>
      </c>
      <c r="E2781" s="397" t="s">
        <v>1560</v>
      </c>
      <c r="F2781" s="397" t="s">
        <v>191</v>
      </c>
      <c r="G2781" s="396">
        <v>2</v>
      </c>
      <c r="H2781" s="395">
        <v>55575.205000000002</v>
      </c>
      <c r="I2781" s="394">
        <v>53418.44</v>
      </c>
      <c r="J2781" s="394">
        <v>79393.149999999994</v>
      </c>
      <c r="K2781" s="393" t="s">
        <v>1033</v>
      </c>
    </row>
    <row r="2782" spans="1:12" hidden="1" x14ac:dyDescent="0.3">
      <c r="A2782" s="397" t="s">
        <v>1565</v>
      </c>
      <c r="C2782" s="397" t="s">
        <v>1053</v>
      </c>
      <c r="D2782" s="397" t="s">
        <v>1564</v>
      </c>
      <c r="E2782" s="397" t="s">
        <v>1563</v>
      </c>
      <c r="F2782" s="397" t="s">
        <v>191</v>
      </c>
      <c r="G2782" s="396">
        <v>3</v>
      </c>
      <c r="H2782" s="395">
        <v>96379.660999999993</v>
      </c>
      <c r="I2782" s="394">
        <v>92639.34</v>
      </c>
      <c r="J2782" s="394">
        <v>137685.23000000001</v>
      </c>
      <c r="K2782" s="393" t="s">
        <v>1033</v>
      </c>
    </row>
    <row r="2783" spans="1:12" hidden="1" x14ac:dyDescent="0.3">
      <c r="A2783" s="397" t="s">
        <v>5127</v>
      </c>
      <c r="C2783" s="397" t="s">
        <v>1053</v>
      </c>
      <c r="D2783" s="397" t="s">
        <v>5126</v>
      </c>
      <c r="E2783" s="397" t="s">
        <v>5120</v>
      </c>
      <c r="F2783" s="397" t="s">
        <v>191</v>
      </c>
      <c r="G2783" s="396">
        <v>1</v>
      </c>
      <c r="H2783" s="395">
        <v>106210.65000000001</v>
      </c>
      <c r="I2783" s="394">
        <v>3591.08</v>
      </c>
      <c r="J2783" s="394">
        <v>151729.5</v>
      </c>
      <c r="K2783" s="393" t="s">
        <v>1033</v>
      </c>
    </row>
    <row r="2784" spans="1:12" hidden="1" x14ac:dyDescent="0.3">
      <c r="A2784" s="397" t="s">
        <v>5130</v>
      </c>
      <c r="C2784" s="397" t="s">
        <v>1053</v>
      </c>
      <c r="D2784" s="397" t="s">
        <v>5129</v>
      </c>
      <c r="E2784" s="397" t="s">
        <v>5128</v>
      </c>
      <c r="F2784" s="397" t="s">
        <v>191</v>
      </c>
      <c r="G2784" s="396">
        <v>1</v>
      </c>
      <c r="H2784" s="395">
        <v>102493.27900000001</v>
      </c>
      <c r="I2784" s="394">
        <v>465.92</v>
      </c>
      <c r="J2784" s="394">
        <v>146418.97</v>
      </c>
      <c r="K2784" s="393" t="s">
        <v>1033</v>
      </c>
    </row>
    <row r="2785" spans="1:12" hidden="1" x14ac:dyDescent="0.3">
      <c r="A2785" s="397" t="s">
        <v>4486</v>
      </c>
      <c r="C2785" s="397" t="s">
        <v>1053</v>
      </c>
      <c r="D2785" s="397" t="s">
        <v>4485</v>
      </c>
      <c r="E2785" s="397" t="s">
        <v>4478</v>
      </c>
      <c r="F2785" s="397" t="s">
        <v>191</v>
      </c>
      <c r="G2785" s="396">
        <v>1</v>
      </c>
      <c r="H2785" s="395">
        <v>161471.96100000001</v>
      </c>
      <c r="I2785" s="394">
        <v>121.56</v>
      </c>
      <c r="J2785" s="394">
        <v>230674.23</v>
      </c>
      <c r="K2785" s="393" t="s">
        <v>1033</v>
      </c>
    </row>
    <row r="2786" spans="1:12" hidden="1" x14ac:dyDescent="0.3">
      <c r="A2786" s="397" t="s">
        <v>4563</v>
      </c>
      <c r="C2786" s="397" t="s">
        <v>1053</v>
      </c>
      <c r="D2786" s="397" t="s">
        <v>6030</v>
      </c>
      <c r="E2786" s="397" t="s">
        <v>6027</v>
      </c>
      <c r="F2786" s="397" t="s">
        <v>191</v>
      </c>
      <c r="G2786" s="396">
        <v>1</v>
      </c>
      <c r="H2786" s="395">
        <v>63291.788</v>
      </c>
      <c r="I2786" s="394">
        <v>53156.26</v>
      </c>
      <c r="J2786" s="394">
        <v>90416.84</v>
      </c>
      <c r="K2786" s="393" t="s">
        <v>1033</v>
      </c>
    </row>
    <row r="2787" spans="1:12" hidden="1" x14ac:dyDescent="0.3">
      <c r="A2787" s="397" t="s">
        <v>4563</v>
      </c>
      <c r="C2787" s="397" t="s">
        <v>1053</v>
      </c>
      <c r="D2787" s="397" t="s">
        <v>4562</v>
      </c>
      <c r="E2787" s="397" t="s">
        <v>4561</v>
      </c>
      <c r="F2787" s="397" t="s">
        <v>191</v>
      </c>
      <c r="G2787" s="396">
        <v>1</v>
      </c>
      <c r="H2787" s="395">
        <v>82860.596000000005</v>
      </c>
      <c r="I2787" s="394">
        <v>70306.31</v>
      </c>
      <c r="J2787" s="394">
        <v>118372.28</v>
      </c>
      <c r="K2787" s="393" t="s">
        <v>1033</v>
      </c>
    </row>
    <row r="2788" spans="1:12" hidden="1" x14ac:dyDescent="0.3">
      <c r="A2788" s="397" t="s">
        <v>4945</v>
      </c>
      <c r="C2788" s="397" t="s">
        <v>1053</v>
      </c>
      <c r="D2788" s="397" t="s">
        <v>4944</v>
      </c>
      <c r="E2788" s="397" t="s">
        <v>4943</v>
      </c>
      <c r="F2788" s="397" t="s">
        <v>191</v>
      </c>
      <c r="G2788" s="396">
        <v>1</v>
      </c>
      <c r="H2788" s="395">
        <v>114027.424</v>
      </c>
      <c r="I2788" s="394">
        <v>113361.45</v>
      </c>
      <c r="J2788" s="394">
        <v>162896.32000000001</v>
      </c>
      <c r="K2788" s="393" t="s">
        <v>1033</v>
      </c>
    </row>
    <row r="2789" spans="1:12" hidden="1" x14ac:dyDescent="0.3">
      <c r="A2789" s="397" t="s">
        <v>4246</v>
      </c>
      <c r="C2789" s="397" t="s">
        <v>1053</v>
      </c>
      <c r="D2789" s="397" t="s">
        <v>4245</v>
      </c>
      <c r="E2789" s="397" t="s">
        <v>4244</v>
      </c>
      <c r="F2789" s="397" t="s">
        <v>191</v>
      </c>
      <c r="G2789" s="396">
        <v>1</v>
      </c>
      <c r="H2789" s="395">
        <v>335274.64600000001</v>
      </c>
      <c r="I2789" s="394">
        <v>18590.150000000001</v>
      </c>
      <c r="J2789" s="394">
        <v>478963.78</v>
      </c>
      <c r="K2789" s="393" t="s">
        <v>1033</v>
      </c>
    </row>
    <row r="2790" spans="1:12" hidden="1" x14ac:dyDescent="0.3">
      <c r="A2790" s="397" t="s">
        <v>804</v>
      </c>
      <c r="C2790" s="397" t="s">
        <v>1053</v>
      </c>
      <c r="D2790" s="397" t="s">
        <v>803</v>
      </c>
      <c r="E2790" s="397" t="s">
        <v>802</v>
      </c>
      <c r="F2790" s="397" t="s">
        <v>191</v>
      </c>
      <c r="G2790" s="396">
        <v>4</v>
      </c>
      <c r="H2790" s="395">
        <v>226863</v>
      </c>
      <c r="I2790" s="394">
        <v>11446.58</v>
      </c>
      <c r="J2790" s="394">
        <v>324090</v>
      </c>
      <c r="K2790" s="393" t="s">
        <v>1033</v>
      </c>
    </row>
    <row r="2791" spans="1:12" hidden="1" x14ac:dyDescent="0.3">
      <c r="A2791" s="397" t="s">
        <v>807</v>
      </c>
      <c r="C2791" s="397" t="s">
        <v>1053</v>
      </c>
      <c r="D2791" s="397" t="s">
        <v>806</v>
      </c>
      <c r="E2791" s="397" t="s">
        <v>805</v>
      </c>
      <c r="F2791" s="397" t="s">
        <v>191</v>
      </c>
      <c r="G2791" s="396">
        <v>1</v>
      </c>
      <c r="H2791" s="395">
        <v>437521.30799999996</v>
      </c>
      <c r="I2791" s="394">
        <v>23254.46</v>
      </c>
      <c r="J2791" s="394">
        <v>625030.43999999994</v>
      </c>
      <c r="K2791" s="393" t="s">
        <v>1033</v>
      </c>
      <c r="L2791" s="395">
        <v>1</v>
      </c>
    </row>
    <row r="2792" spans="1:12" hidden="1" x14ac:dyDescent="0.3">
      <c r="A2792" s="397" t="s">
        <v>4215</v>
      </c>
      <c r="C2792" s="397" t="s">
        <v>1053</v>
      </c>
      <c r="D2792" s="397" t="s">
        <v>4214</v>
      </c>
      <c r="E2792" s="397" t="s">
        <v>4213</v>
      </c>
      <c r="F2792" s="397" t="s">
        <v>191</v>
      </c>
      <c r="G2792" s="396">
        <v>2</v>
      </c>
      <c r="H2792" s="395">
        <v>177011.70199999999</v>
      </c>
      <c r="I2792" s="394">
        <v>154465.47</v>
      </c>
      <c r="J2792" s="394">
        <v>252873.86000000002</v>
      </c>
      <c r="K2792" s="393" t="s">
        <v>1033</v>
      </c>
    </row>
    <row r="2793" spans="1:12" hidden="1" x14ac:dyDescent="0.3">
      <c r="A2793" s="397" t="s">
        <v>5138</v>
      </c>
      <c r="C2793" s="397" t="s">
        <v>1053</v>
      </c>
      <c r="D2793" s="397" t="s">
        <v>5137</v>
      </c>
      <c r="E2793" s="397" t="s">
        <v>5120</v>
      </c>
      <c r="F2793" s="397" t="s">
        <v>191</v>
      </c>
      <c r="G2793" s="396">
        <v>1</v>
      </c>
      <c r="H2793" s="395">
        <v>102239.095</v>
      </c>
      <c r="I2793" s="394">
        <v>70524.53</v>
      </c>
      <c r="J2793" s="394">
        <v>146055.85</v>
      </c>
      <c r="K2793" s="393" t="s">
        <v>1033</v>
      </c>
    </row>
    <row r="2794" spans="1:12" hidden="1" x14ac:dyDescent="0.3">
      <c r="A2794" s="397" t="s">
        <v>4385</v>
      </c>
      <c r="C2794" s="397" t="s">
        <v>1053</v>
      </c>
      <c r="D2794" s="397" t="s">
        <v>4384</v>
      </c>
      <c r="E2794" s="397" t="s">
        <v>4383</v>
      </c>
      <c r="F2794" s="397" t="s">
        <v>191</v>
      </c>
      <c r="G2794" s="396">
        <v>2</v>
      </c>
      <c r="H2794" s="395">
        <v>477077.39799999999</v>
      </c>
      <c r="I2794" s="394">
        <v>449789.73</v>
      </c>
      <c r="J2794" s="394">
        <v>681539.14</v>
      </c>
      <c r="K2794" s="393" t="s">
        <v>1033</v>
      </c>
      <c r="L2794" s="395">
        <v>1</v>
      </c>
    </row>
    <row r="2795" spans="1:12" hidden="1" x14ac:dyDescent="0.3">
      <c r="A2795" s="397" t="s">
        <v>4200</v>
      </c>
      <c r="C2795" s="397" t="s">
        <v>1053</v>
      </c>
      <c r="D2795" s="397" t="s">
        <v>637</v>
      </c>
      <c r="E2795" s="397" t="s">
        <v>638</v>
      </c>
      <c r="F2795" s="397" t="s">
        <v>191</v>
      </c>
      <c r="G2795" s="396">
        <v>2</v>
      </c>
      <c r="H2795" s="395">
        <v>172338.12399999998</v>
      </c>
      <c r="I2795" s="394">
        <v>169290.89</v>
      </c>
      <c r="J2795" s="394">
        <v>246197.32</v>
      </c>
      <c r="K2795" s="393" t="s">
        <v>1033</v>
      </c>
    </row>
    <row r="2796" spans="1:12" hidden="1" x14ac:dyDescent="0.3">
      <c r="A2796" s="397" t="s">
        <v>4243</v>
      </c>
      <c r="C2796" s="397" t="s">
        <v>1053</v>
      </c>
      <c r="D2796" s="397" t="s">
        <v>4242</v>
      </c>
      <c r="E2796" s="397" t="s">
        <v>4241</v>
      </c>
      <c r="F2796" s="397" t="s">
        <v>191</v>
      </c>
      <c r="G2796" s="396">
        <v>1</v>
      </c>
      <c r="H2796" s="395">
        <v>121959.74699999999</v>
      </c>
      <c r="I2796" s="394">
        <v>112023.18000000001</v>
      </c>
      <c r="J2796" s="394">
        <v>174228.21</v>
      </c>
      <c r="K2796" s="393" t="s">
        <v>1033</v>
      </c>
    </row>
    <row r="2797" spans="1:12" hidden="1" x14ac:dyDescent="0.3">
      <c r="A2797" s="397" t="s">
        <v>1217</v>
      </c>
      <c r="C2797" s="397" t="s">
        <v>1053</v>
      </c>
      <c r="D2797" s="397" t="s">
        <v>1216</v>
      </c>
      <c r="E2797" s="397" t="s">
        <v>1215</v>
      </c>
      <c r="F2797" s="397" t="s">
        <v>191</v>
      </c>
      <c r="G2797" s="396">
        <v>1</v>
      </c>
      <c r="H2797" s="395">
        <v>48403.081999999995</v>
      </c>
      <c r="I2797" s="394">
        <v>3222.53</v>
      </c>
      <c r="J2797" s="394">
        <v>69147.259999999995</v>
      </c>
      <c r="K2797" s="393" t="s">
        <v>1033</v>
      </c>
    </row>
    <row r="2798" spans="1:12" hidden="1" x14ac:dyDescent="0.3">
      <c r="A2798" s="397" t="s">
        <v>1411</v>
      </c>
      <c r="C2798" s="397" t="s">
        <v>1053</v>
      </c>
      <c r="D2798" s="397" t="s">
        <v>1410</v>
      </c>
      <c r="E2798" s="397" t="s">
        <v>1409</v>
      </c>
      <c r="F2798" s="397" t="s">
        <v>191</v>
      </c>
      <c r="G2798" s="396">
        <v>1</v>
      </c>
      <c r="H2798" s="395">
        <v>62496.545999999995</v>
      </c>
      <c r="I2798" s="394">
        <v>34839.03</v>
      </c>
      <c r="J2798" s="394">
        <v>89280.78</v>
      </c>
      <c r="K2798" s="393" t="s">
        <v>1033</v>
      </c>
    </row>
    <row r="2799" spans="1:12" hidden="1" x14ac:dyDescent="0.3">
      <c r="A2799" s="397" t="s">
        <v>1623</v>
      </c>
      <c r="C2799" s="397" t="s">
        <v>1053</v>
      </c>
      <c r="D2799" s="397" t="s">
        <v>1622</v>
      </c>
      <c r="E2799" s="397" t="s">
        <v>1621</v>
      </c>
      <c r="F2799" s="397" t="s">
        <v>191</v>
      </c>
      <c r="G2799" s="396">
        <v>2</v>
      </c>
      <c r="H2799" s="395">
        <v>194607.73500000002</v>
      </c>
      <c r="I2799" s="394">
        <v>27276.670000000002</v>
      </c>
      <c r="J2799" s="394">
        <v>278011.05</v>
      </c>
      <c r="K2799" s="393" t="s">
        <v>1033</v>
      </c>
    </row>
    <row r="2800" spans="1:12" hidden="1" x14ac:dyDescent="0.3">
      <c r="A2800" s="397" t="s">
        <v>1405</v>
      </c>
      <c r="C2800" s="397" t="s">
        <v>1053</v>
      </c>
      <c r="D2800" s="397" t="s">
        <v>1404</v>
      </c>
      <c r="E2800" s="397" t="s">
        <v>1403</v>
      </c>
      <c r="F2800" s="397" t="s">
        <v>191</v>
      </c>
      <c r="G2800" s="396">
        <v>2</v>
      </c>
      <c r="H2800" s="395">
        <v>47399.149000000005</v>
      </c>
      <c r="I2800" s="394">
        <v>1482.98</v>
      </c>
      <c r="J2800" s="394">
        <v>67713.070000000007</v>
      </c>
      <c r="K2800" s="393" t="s">
        <v>1033</v>
      </c>
    </row>
    <row r="2801" spans="1:12" hidden="1" x14ac:dyDescent="0.3">
      <c r="A2801" s="397" t="s">
        <v>1381</v>
      </c>
      <c r="C2801" s="397" t="s">
        <v>1053</v>
      </c>
      <c r="D2801" s="397" t="s">
        <v>1380</v>
      </c>
      <c r="E2801" s="397" t="s">
        <v>1379</v>
      </c>
      <c r="F2801" s="397" t="s">
        <v>191</v>
      </c>
      <c r="G2801" s="396">
        <v>2</v>
      </c>
      <c r="H2801" s="395">
        <v>107274.461</v>
      </c>
      <c r="I2801" s="394">
        <v>78557.22</v>
      </c>
      <c r="J2801" s="394">
        <v>153249.23000000001</v>
      </c>
      <c r="K2801" s="393" t="s">
        <v>1033</v>
      </c>
    </row>
    <row r="2802" spans="1:12" hidden="1" x14ac:dyDescent="0.3">
      <c r="A2802" s="397" t="s">
        <v>1649</v>
      </c>
      <c r="C2802" s="397" t="s">
        <v>1053</v>
      </c>
      <c r="D2802" s="397" t="s">
        <v>1648</v>
      </c>
      <c r="E2802" s="397" t="s">
        <v>1647</v>
      </c>
      <c r="F2802" s="397" t="s">
        <v>191</v>
      </c>
      <c r="G2802" s="396">
        <v>1</v>
      </c>
      <c r="H2802" s="395">
        <v>98535.296999999991</v>
      </c>
      <c r="I2802" s="394">
        <v>78403.039999999994</v>
      </c>
      <c r="J2802" s="394">
        <v>140764.71</v>
      </c>
      <c r="K2802" s="393" t="s">
        <v>1033</v>
      </c>
    </row>
    <row r="2803" spans="1:12" hidden="1" x14ac:dyDescent="0.3">
      <c r="A2803" s="397" t="s">
        <v>1697</v>
      </c>
      <c r="C2803" s="397" t="s">
        <v>1053</v>
      </c>
      <c r="D2803" s="397" t="s">
        <v>1696</v>
      </c>
      <c r="E2803" s="397" t="s">
        <v>1695</v>
      </c>
      <c r="F2803" s="397" t="s">
        <v>191</v>
      </c>
      <c r="G2803" s="396">
        <v>3</v>
      </c>
      <c r="H2803" s="395">
        <v>38438.813000000002</v>
      </c>
      <c r="I2803" s="394">
        <v>9213.4500000000007</v>
      </c>
      <c r="J2803" s="394">
        <v>54912.590000000004</v>
      </c>
      <c r="K2803" s="393" t="s">
        <v>1033</v>
      </c>
    </row>
    <row r="2804" spans="1:12" hidden="1" x14ac:dyDescent="0.3">
      <c r="A2804" s="397" t="s">
        <v>1505</v>
      </c>
      <c r="C2804" s="397" t="s">
        <v>1053</v>
      </c>
      <c r="D2804" s="397" t="s">
        <v>1504</v>
      </c>
      <c r="E2804" s="397" t="s">
        <v>1503</v>
      </c>
      <c r="F2804" s="397" t="s">
        <v>191</v>
      </c>
      <c r="G2804" s="396">
        <v>4</v>
      </c>
      <c r="H2804" s="395">
        <v>32135.075000000001</v>
      </c>
      <c r="I2804" s="394">
        <v>30887.97</v>
      </c>
      <c r="J2804" s="394">
        <v>45907.25</v>
      </c>
      <c r="K2804" s="393" t="s">
        <v>1033</v>
      </c>
    </row>
    <row r="2805" spans="1:12" hidden="1" x14ac:dyDescent="0.3">
      <c r="A2805" s="397" t="s">
        <v>1422</v>
      </c>
      <c r="C2805" s="397" t="s">
        <v>1053</v>
      </c>
      <c r="D2805" s="397" t="s">
        <v>1421</v>
      </c>
      <c r="E2805" s="397" t="s">
        <v>1420</v>
      </c>
      <c r="F2805" s="397" t="s">
        <v>191</v>
      </c>
      <c r="G2805" s="396">
        <v>14</v>
      </c>
      <c r="H2805" s="395">
        <v>146702.80800000002</v>
      </c>
      <c r="I2805" s="394">
        <v>123124.69</v>
      </c>
      <c r="J2805" s="394">
        <v>209575.44</v>
      </c>
      <c r="K2805" s="393" t="s">
        <v>1033</v>
      </c>
    </row>
    <row r="2806" spans="1:12" hidden="1" x14ac:dyDescent="0.3">
      <c r="A2806" s="397" t="s">
        <v>1739</v>
      </c>
      <c r="C2806" s="397" t="s">
        <v>1053</v>
      </c>
      <c r="D2806" s="397" t="s">
        <v>1738</v>
      </c>
      <c r="E2806" s="397" t="s">
        <v>1737</v>
      </c>
      <c r="F2806" s="397" t="s">
        <v>191</v>
      </c>
      <c r="G2806" s="396">
        <v>2</v>
      </c>
      <c r="H2806" s="395">
        <v>361029.04600000003</v>
      </c>
      <c r="I2806" s="394">
        <v>328155.39</v>
      </c>
      <c r="J2806" s="394">
        <v>515755.78</v>
      </c>
      <c r="K2806" s="393" t="s">
        <v>1033</v>
      </c>
    </row>
    <row r="2807" spans="1:12" hidden="1" x14ac:dyDescent="0.3">
      <c r="A2807" s="397" t="s">
        <v>1223</v>
      </c>
      <c r="C2807" s="397" t="s">
        <v>1053</v>
      </c>
      <c r="D2807" s="397" t="s">
        <v>1222</v>
      </c>
      <c r="E2807" s="397" t="s">
        <v>1221</v>
      </c>
      <c r="F2807" s="397" t="s">
        <v>191</v>
      </c>
      <c r="G2807" s="396">
        <v>2</v>
      </c>
      <c r="H2807" s="395">
        <v>25618.096000000001</v>
      </c>
      <c r="I2807" s="394">
        <v>405.17</v>
      </c>
      <c r="J2807" s="394">
        <v>36597.279999999999</v>
      </c>
      <c r="K2807" s="393" t="s">
        <v>1033</v>
      </c>
    </row>
    <row r="2808" spans="1:12" hidden="1" x14ac:dyDescent="0.3">
      <c r="A2808" s="397" t="s">
        <v>1241</v>
      </c>
      <c r="C2808" s="397" t="s">
        <v>1053</v>
      </c>
      <c r="D2808" s="397" t="s">
        <v>1240</v>
      </c>
      <c r="E2808" s="397" t="s">
        <v>1239</v>
      </c>
      <c r="F2808" s="397" t="s">
        <v>191</v>
      </c>
      <c r="G2808" s="396">
        <v>1</v>
      </c>
      <c r="H2808" s="395">
        <v>100632.53899999999</v>
      </c>
      <c r="I2808" s="394">
        <v>554.11</v>
      </c>
      <c r="J2808" s="394">
        <v>143760.76999999999</v>
      </c>
      <c r="K2808" s="393" t="s">
        <v>1033</v>
      </c>
    </row>
    <row r="2809" spans="1:12" hidden="1" x14ac:dyDescent="0.3">
      <c r="A2809" s="397" t="s">
        <v>5849</v>
      </c>
      <c r="C2809" s="397" t="s">
        <v>1053</v>
      </c>
      <c r="D2809" s="397" t="s">
        <v>5848</v>
      </c>
      <c r="E2809" s="397" t="s">
        <v>5847</v>
      </c>
      <c r="F2809" s="397" t="s">
        <v>191</v>
      </c>
      <c r="G2809" s="396">
        <v>2</v>
      </c>
      <c r="H2809" s="395">
        <v>127188.012</v>
      </c>
      <c r="I2809" s="394">
        <v>119484.28</v>
      </c>
      <c r="J2809" s="394">
        <v>181697.16</v>
      </c>
      <c r="K2809" s="393" t="s">
        <v>1033</v>
      </c>
    </row>
    <row r="2810" spans="1:12" hidden="1" x14ac:dyDescent="0.3">
      <c r="A2810" s="397" t="s">
        <v>5840</v>
      </c>
      <c r="C2810" s="397" t="s">
        <v>1053</v>
      </c>
      <c r="D2810" s="397" t="s">
        <v>5839</v>
      </c>
      <c r="E2810" s="397" t="s">
        <v>5838</v>
      </c>
      <c r="F2810" s="397" t="s">
        <v>191</v>
      </c>
      <c r="G2810" s="396">
        <v>2</v>
      </c>
      <c r="H2810" s="395">
        <v>127188.012</v>
      </c>
      <c r="I2810" s="394">
        <v>119484.28</v>
      </c>
      <c r="J2810" s="394">
        <v>181697.16</v>
      </c>
      <c r="K2810" s="393" t="s">
        <v>1033</v>
      </c>
    </row>
    <row r="2811" spans="1:12" hidden="1" x14ac:dyDescent="0.3">
      <c r="A2811" s="397" t="s">
        <v>5834</v>
      </c>
      <c r="C2811" s="397" t="s">
        <v>1053</v>
      </c>
      <c r="D2811" s="397" t="s">
        <v>5833</v>
      </c>
      <c r="E2811" s="397" t="s">
        <v>5832</v>
      </c>
      <c r="F2811" s="397" t="s">
        <v>191</v>
      </c>
      <c r="G2811" s="396">
        <v>5</v>
      </c>
      <c r="H2811" s="395">
        <v>168023.88399999999</v>
      </c>
      <c r="I2811" s="394">
        <v>165085.26</v>
      </c>
      <c r="J2811" s="394">
        <v>240034.12</v>
      </c>
      <c r="K2811" s="393" t="s">
        <v>1033</v>
      </c>
    </row>
    <row r="2812" spans="1:12" hidden="1" x14ac:dyDescent="0.3">
      <c r="A2812" s="397" t="s">
        <v>5843</v>
      </c>
      <c r="C2812" s="397" t="s">
        <v>1053</v>
      </c>
      <c r="D2812" s="397" t="s">
        <v>5842</v>
      </c>
      <c r="E2812" s="397" t="s">
        <v>5841</v>
      </c>
      <c r="F2812" s="397" t="s">
        <v>191</v>
      </c>
      <c r="G2812" s="396">
        <v>3</v>
      </c>
      <c r="H2812" s="395">
        <v>168023.88399999999</v>
      </c>
      <c r="I2812" s="394">
        <v>165085.26</v>
      </c>
      <c r="J2812" s="394">
        <v>240034.12</v>
      </c>
      <c r="K2812" s="393" t="s">
        <v>1033</v>
      </c>
    </row>
    <row r="2813" spans="1:12" hidden="1" x14ac:dyDescent="0.3">
      <c r="A2813" s="397" t="s">
        <v>5837</v>
      </c>
      <c r="C2813" s="397" t="s">
        <v>1053</v>
      </c>
      <c r="D2813" s="397" t="s">
        <v>5836</v>
      </c>
      <c r="E2813" s="397" t="s">
        <v>5835</v>
      </c>
      <c r="F2813" s="397" t="s">
        <v>191</v>
      </c>
      <c r="G2813" s="396">
        <v>2</v>
      </c>
      <c r="H2813" s="395">
        <v>168023.88399999999</v>
      </c>
      <c r="I2813" s="394">
        <v>165085.26</v>
      </c>
      <c r="J2813" s="394">
        <v>240034.12</v>
      </c>
      <c r="K2813" s="393" t="s">
        <v>1033</v>
      </c>
      <c r="L2813" s="395">
        <v>1</v>
      </c>
    </row>
    <row r="2814" spans="1:12" hidden="1" x14ac:dyDescent="0.3">
      <c r="A2814" s="397" t="s">
        <v>5846</v>
      </c>
      <c r="C2814" s="397" t="s">
        <v>1053</v>
      </c>
      <c r="D2814" s="397" t="s">
        <v>5845</v>
      </c>
      <c r="E2814" s="397" t="s">
        <v>5844</v>
      </c>
      <c r="F2814" s="397" t="s">
        <v>191</v>
      </c>
      <c r="G2814" s="396">
        <v>2</v>
      </c>
      <c r="H2814" s="395">
        <v>168023.88399999999</v>
      </c>
      <c r="I2814" s="394">
        <v>162645.57</v>
      </c>
      <c r="J2814" s="394">
        <v>240034.12</v>
      </c>
      <c r="K2814" s="393" t="s">
        <v>1033</v>
      </c>
      <c r="L2814" s="395">
        <v>1</v>
      </c>
    </row>
    <row r="2815" spans="1:12" hidden="1" x14ac:dyDescent="0.3">
      <c r="A2815" s="397" t="s">
        <v>4249</v>
      </c>
      <c r="C2815" s="397" t="s">
        <v>1053</v>
      </c>
      <c r="D2815" s="397" t="s">
        <v>4248</v>
      </c>
      <c r="E2815" s="397" t="s">
        <v>4247</v>
      </c>
      <c r="F2815" s="397" t="s">
        <v>191</v>
      </c>
      <c r="G2815" s="396">
        <v>1</v>
      </c>
      <c r="H2815" s="395">
        <v>172988.704</v>
      </c>
      <c r="I2815" s="394">
        <v>165729.9</v>
      </c>
      <c r="J2815" s="394">
        <v>247126.72</v>
      </c>
      <c r="K2815" s="393" t="s">
        <v>1033</v>
      </c>
    </row>
    <row r="2816" spans="1:12" hidden="1" x14ac:dyDescent="0.3">
      <c r="A2816" s="397" t="s">
        <v>4218</v>
      </c>
      <c r="C2816" s="397" t="s">
        <v>1053</v>
      </c>
      <c r="D2816" s="397" t="s">
        <v>4217</v>
      </c>
      <c r="E2816" s="397" t="s">
        <v>4216</v>
      </c>
      <c r="F2816" s="397" t="s">
        <v>191</v>
      </c>
      <c r="G2816" s="396">
        <v>1</v>
      </c>
      <c r="H2816" s="395">
        <v>221876.99800000002</v>
      </c>
      <c r="I2816" s="394">
        <v>212574.5</v>
      </c>
      <c r="J2816" s="394">
        <v>316967.14</v>
      </c>
      <c r="K2816" s="393" t="s">
        <v>1033</v>
      </c>
    </row>
    <row r="2817" spans="1:11" hidden="1" x14ac:dyDescent="0.3">
      <c r="A2817" s="397" t="s">
        <v>4209</v>
      </c>
      <c r="C2817" s="397" t="s">
        <v>1053</v>
      </c>
      <c r="D2817" s="397" t="s">
        <v>4208</v>
      </c>
      <c r="E2817" s="397" t="s">
        <v>4207</v>
      </c>
      <c r="F2817" s="397" t="s">
        <v>191</v>
      </c>
      <c r="G2817" s="396">
        <v>1</v>
      </c>
      <c r="H2817" s="395">
        <v>114546.18000000001</v>
      </c>
      <c r="I2817" s="394">
        <v>87097.790000000008</v>
      </c>
      <c r="J2817" s="394">
        <v>163637.4</v>
      </c>
      <c r="K2817" s="393" t="s">
        <v>1033</v>
      </c>
    </row>
    <row r="2818" spans="1:11" hidden="1" x14ac:dyDescent="0.3">
      <c r="A2818" s="397" t="s">
        <v>4234</v>
      </c>
      <c r="C2818" s="397" t="s">
        <v>1053</v>
      </c>
      <c r="D2818" s="397" t="s">
        <v>634</v>
      </c>
      <c r="E2818" s="397" t="s">
        <v>635</v>
      </c>
      <c r="F2818" s="397" t="s">
        <v>191</v>
      </c>
      <c r="G2818" s="396">
        <v>2</v>
      </c>
      <c r="H2818" s="395">
        <v>138735.772</v>
      </c>
      <c r="I2818" s="394">
        <v>136250.73000000001</v>
      </c>
      <c r="J2818" s="394">
        <v>198193.96</v>
      </c>
      <c r="K2818" s="393" t="s">
        <v>1033</v>
      </c>
    </row>
    <row r="2819" spans="1:11" hidden="1" x14ac:dyDescent="0.3">
      <c r="A2819" s="397" t="s">
        <v>4338</v>
      </c>
      <c r="C2819" s="397" t="s">
        <v>1053</v>
      </c>
      <c r="D2819" s="397" t="s">
        <v>4337</v>
      </c>
      <c r="E2819" s="397" t="s">
        <v>4336</v>
      </c>
      <c r="F2819" s="397" t="s">
        <v>191</v>
      </c>
      <c r="G2819" s="396">
        <v>1</v>
      </c>
      <c r="H2819" s="395">
        <v>131025.15300000001</v>
      </c>
      <c r="I2819" s="394">
        <v>23657.02</v>
      </c>
      <c r="J2819" s="394">
        <v>187178.79</v>
      </c>
      <c r="K2819" s="393" t="s">
        <v>1033</v>
      </c>
    </row>
    <row r="2820" spans="1:11" hidden="1" x14ac:dyDescent="0.3">
      <c r="A2820" s="397" t="s">
        <v>4198</v>
      </c>
      <c r="C2820" s="397" t="s">
        <v>1053</v>
      </c>
      <c r="D2820" s="397" t="s">
        <v>4197</v>
      </c>
      <c r="E2820" s="397" t="s">
        <v>4196</v>
      </c>
      <c r="F2820" s="397" t="s">
        <v>191</v>
      </c>
      <c r="G2820" s="396">
        <v>3</v>
      </c>
      <c r="H2820" s="395">
        <v>608816.99899999995</v>
      </c>
      <c r="I2820" s="394">
        <v>583460.72</v>
      </c>
      <c r="J2820" s="394">
        <v>869738.57000000007</v>
      </c>
      <c r="K2820" s="393" t="s">
        <v>1033</v>
      </c>
    </row>
    <row r="2821" spans="1:11" hidden="1" x14ac:dyDescent="0.3">
      <c r="A2821" s="397" t="s">
        <v>4369</v>
      </c>
      <c r="C2821" s="397" t="s">
        <v>1053</v>
      </c>
      <c r="D2821" s="397" t="s">
        <v>4368</v>
      </c>
      <c r="E2821" s="397" t="s">
        <v>4367</v>
      </c>
      <c r="F2821" s="397" t="s">
        <v>191</v>
      </c>
      <c r="G2821" s="396">
        <v>1</v>
      </c>
      <c r="H2821" s="395">
        <v>1904161.7280000001</v>
      </c>
      <c r="I2821" s="394">
        <v>1668518.73</v>
      </c>
      <c r="J2821" s="394">
        <v>2720231.04</v>
      </c>
      <c r="K2821" s="393" t="s">
        <v>1033</v>
      </c>
    </row>
    <row r="2822" spans="1:11" hidden="1" x14ac:dyDescent="0.3">
      <c r="A2822" s="397" t="s">
        <v>1419</v>
      </c>
      <c r="C2822" s="397" t="s">
        <v>1053</v>
      </c>
      <c r="D2822" s="397" t="s">
        <v>1418</v>
      </c>
      <c r="E2822" s="397" t="s">
        <v>1417</v>
      </c>
      <c r="F2822" s="397" t="s">
        <v>191</v>
      </c>
      <c r="G2822" s="396">
        <v>2</v>
      </c>
      <c r="H2822" s="395">
        <v>166069.14800000002</v>
      </c>
      <c r="I2822" s="394">
        <v>92576.12</v>
      </c>
      <c r="J2822" s="394">
        <v>237241.64</v>
      </c>
      <c r="K2822" s="393" t="s">
        <v>1033</v>
      </c>
    </row>
    <row r="2823" spans="1:11" hidden="1" x14ac:dyDescent="0.3">
      <c r="A2823" s="397" t="s">
        <v>1706</v>
      </c>
      <c r="C2823" s="397" t="s">
        <v>1053</v>
      </c>
      <c r="D2823" s="397" t="s">
        <v>1705</v>
      </c>
      <c r="E2823" s="397" t="s">
        <v>1704</v>
      </c>
      <c r="F2823" s="397" t="s">
        <v>191</v>
      </c>
      <c r="G2823" s="396">
        <v>5</v>
      </c>
      <c r="H2823" s="395">
        <v>140697.935</v>
      </c>
      <c r="I2823" s="394">
        <v>135237.71</v>
      </c>
      <c r="J2823" s="394">
        <v>200997.05000000002</v>
      </c>
      <c r="K2823" s="393" t="s">
        <v>1033</v>
      </c>
    </row>
    <row r="2824" spans="1:11" hidden="1" x14ac:dyDescent="0.3">
      <c r="A2824" s="397" t="s">
        <v>1297</v>
      </c>
      <c r="C2824" s="397" t="s">
        <v>1053</v>
      </c>
      <c r="D2824" s="397" t="s">
        <v>1296</v>
      </c>
      <c r="E2824" s="397" t="s">
        <v>1295</v>
      </c>
      <c r="F2824" s="397" t="s">
        <v>191</v>
      </c>
      <c r="G2824" s="396">
        <v>4</v>
      </c>
      <c r="H2824" s="395">
        <v>5367.9849999999997</v>
      </c>
      <c r="I2824" s="394">
        <v>1421.34</v>
      </c>
      <c r="J2824" s="394">
        <v>7668.55</v>
      </c>
      <c r="K2824" s="393" t="s">
        <v>1033</v>
      </c>
    </row>
    <row r="2825" spans="1:11" hidden="1" x14ac:dyDescent="0.3">
      <c r="A2825" s="397" t="s">
        <v>1198</v>
      </c>
      <c r="C2825" s="397" t="s">
        <v>1053</v>
      </c>
      <c r="D2825" s="397" t="s">
        <v>1197</v>
      </c>
      <c r="E2825" s="397" t="s">
        <v>1196</v>
      </c>
      <c r="F2825" s="397" t="s">
        <v>191</v>
      </c>
      <c r="G2825" s="396">
        <v>6</v>
      </c>
      <c r="H2825" s="395">
        <v>65081.442999999999</v>
      </c>
      <c r="I2825" s="394">
        <v>1030.44</v>
      </c>
      <c r="J2825" s="394">
        <v>92973.49</v>
      </c>
      <c r="K2825" s="393" t="s">
        <v>1033</v>
      </c>
    </row>
    <row r="2826" spans="1:11" hidden="1" x14ac:dyDescent="0.3">
      <c r="A2826" s="397" t="s">
        <v>1288</v>
      </c>
      <c r="C2826" s="397" t="s">
        <v>1053</v>
      </c>
      <c r="D2826" s="397" t="s">
        <v>1287</v>
      </c>
      <c r="E2826" s="397" t="s">
        <v>1286</v>
      </c>
      <c r="F2826" s="397" t="s">
        <v>191</v>
      </c>
      <c r="G2826" s="396">
        <v>4</v>
      </c>
      <c r="H2826" s="395">
        <v>17214.743000000002</v>
      </c>
      <c r="I2826" s="394">
        <v>1506.54</v>
      </c>
      <c r="J2826" s="394">
        <v>24592.49</v>
      </c>
      <c r="K2826" s="393" t="s">
        <v>1033</v>
      </c>
    </row>
    <row r="2827" spans="1:11" hidden="1" x14ac:dyDescent="0.3">
      <c r="A2827" s="397" t="s">
        <v>1195</v>
      </c>
      <c r="C2827" s="397" t="s">
        <v>1053</v>
      </c>
      <c r="D2827" s="397" t="s">
        <v>1194</v>
      </c>
      <c r="E2827" s="397" t="s">
        <v>1193</v>
      </c>
      <c r="F2827" s="397" t="s">
        <v>191</v>
      </c>
      <c r="G2827" s="396">
        <v>7</v>
      </c>
      <c r="H2827" s="395">
        <v>101352.65699999999</v>
      </c>
      <c r="I2827" s="394">
        <v>1494.96</v>
      </c>
      <c r="J2827" s="394">
        <v>144789.51</v>
      </c>
      <c r="K2827" s="393" t="s">
        <v>1033</v>
      </c>
    </row>
    <row r="2828" spans="1:11" hidden="1" x14ac:dyDescent="0.3">
      <c r="A2828" s="397" t="s">
        <v>1327</v>
      </c>
      <c r="C2828" s="397" t="s">
        <v>1053</v>
      </c>
      <c r="D2828" s="397" t="s">
        <v>1326</v>
      </c>
      <c r="E2828" s="397" t="s">
        <v>1325</v>
      </c>
      <c r="F2828" s="397" t="s">
        <v>191</v>
      </c>
      <c r="G2828" s="396">
        <v>2</v>
      </c>
      <c r="H2828" s="395">
        <v>38810.288999999997</v>
      </c>
      <c r="I2828" s="394">
        <v>3408.58</v>
      </c>
      <c r="J2828" s="394">
        <v>55443.270000000004</v>
      </c>
      <c r="K2828" s="393" t="s">
        <v>1033</v>
      </c>
    </row>
    <row r="2829" spans="1:11" hidden="1" x14ac:dyDescent="0.3">
      <c r="A2829" s="397" t="s">
        <v>1425</v>
      </c>
      <c r="C2829" s="397" t="s">
        <v>1053</v>
      </c>
      <c r="D2829" s="397" t="s">
        <v>1424</v>
      </c>
      <c r="E2829" s="397" t="s">
        <v>1423</v>
      </c>
      <c r="F2829" s="397" t="s">
        <v>191</v>
      </c>
      <c r="G2829" s="396">
        <v>4</v>
      </c>
      <c r="H2829" s="395">
        <v>89643.344000000012</v>
      </c>
      <c r="I2829" s="394">
        <v>86164.46</v>
      </c>
      <c r="J2829" s="394">
        <v>128061.92</v>
      </c>
      <c r="K2829" s="393" t="s">
        <v>1033</v>
      </c>
    </row>
    <row r="2830" spans="1:11" hidden="1" x14ac:dyDescent="0.3">
      <c r="A2830" s="397" t="s">
        <v>1742</v>
      </c>
      <c r="C2830" s="397" t="s">
        <v>1053</v>
      </c>
      <c r="D2830" s="397" t="s">
        <v>1741</v>
      </c>
      <c r="E2830" s="397" t="s">
        <v>1740</v>
      </c>
      <c r="F2830" s="397" t="s">
        <v>191</v>
      </c>
      <c r="G2830" s="396">
        <v>1</v>
      </c>
      <c r="H2830" s="395">
        <v>338598.25299999997</v>
      </c>
      <c r="I2830" s="394">
        <v>246545.81</v>
      </c>
      <c r="J2830" s="394">
        <v>483711.79000000004</v>
      </c>
      <c r="K2830" s="393" t="s">
        <v>1033</v>
      </c>
    </row>
    <row r="2831" spans="1:11" hidden="1" x14ac:dyDescent="0.3">
      <c r="A2831" s="397" t="s">
        <v>1324</v>
      </c>
      <c r="C2831" s="397" t="s">
        <v>1053</v>
      </c>
      <c r="D2831" s="397" t="s">
        <v>1323</v>
      </c>
      <c r="E2831" s="397" t="s">
        <v>1322</v>
      </c>
      <c r="F2831" s="397" t="s">
        <v>191</v>
      </c>
      <c r="G2831" s="396">
        <v>2</v>
      </c>
      <c r="H2831" s="395">
        <v>498154.24400000001</v>
      </c>
      <c r="I2831" s="394">
        <v>4096</v>
      </c>
      <c r="J2831" s="394">
        <v>711648.92</v>
      </c>
      <c r="K2831" s="393" t="s">
        <v>1033</v>
      </c>
    </row>
    <row r="2832" spans="1:11" hidden="1" x14ac:dyDescent="0.3">
      <c r="A2832" s="397" t="s">
        <v>1712</v>
      </c>
      <c r="C2832" s="397" t="s">
        <v>1053</v>
      </c>
      <c r="D2832" s="397" t="s">
        <v>1711</v>
      </c>
      <c r="E2832" s="397" t="s">
        <v>1710</v>
      </c>
      <c r="F2832" s="397" t="s">
        <v>191</v>
      </c>
      <c r="G2832" s="396">
        <v>1</v>
      </c>
      <c r="H2832" s="395">
        <v>338373.875</v>
      </c>
      <c r="I2832" s="394">
        <v>325372.37</v>
      </c>
      <c r="J2832" s="394">
        <v>483391.25</v>
      </c>
      <c r="K2832" s="393" t="s">
        <v>1033</v>
      </c>
    </row>
    <row r="2833" spans="1:12" hidden="1" x14ac:dyDescent="0.3">
      <c r="A2833" s="397" t="s">
        <v>1300</v>
      </c>
      <c r="C2833" s="397" t="s">
        <v>1053</v>
      </c>
      <c r="D2833" s="397" t="s">
        <v>1299</v>
      </c>
      <c r="E2833" s="397" t="s">
        <v>1298</v>
      </c>
      <c r="F2833" s="397" t="s">
        <v>191</v>
      </c>
      <c r="G2833" s="396">
        <v>5</v>
      </c>
      <c r="H2833" s="395">
        <v>4404.7106999999996</v>
      </c>
      <c r="I2833" s="394">
        <v>1051.8800000000001</v>
      </c>
      <c r="J2833" s="394">
        <v>11294.130000000001</v>
      </c>
      <c r="K2833" s="393" t="s">
        <v>1033</v>
      </c>
    </row>
    <row r="2834" spans="1:12" hidden="1" x14ac:dyDescent="0.3">
      <c r="A2834" s="397" t="s">
        <v>1212</v>
      </c>
      <c r="C2834" s="397" t="s">
        <v>1053</v>
      </c>
      <c r="D2834" s="397" t="s">
        <v>1211</v>
      </c>
      <c r="E2834" s="397" t="s">
        <v>1210</v>
      </c>
      <c r="F2834" s="397" t="s">
        <v>191</v>
      </c>
      <c r="G2834" s="396">
        <v>8</v>
      </c>
      <c r="H2834" s="395">
        <v>77714.091</v>
      </c>
      <c r="I2834" s="394">
        <v>844.98</v>
      </c>
      <c r="J2834" s="394">
        <v>111020.13</v>
      </c>
      <c r="K2834" s="393" t="s">
        <v>1033</v>
      </c>
      <c r="L2834" s="395">
        <v>1</v>
      </c>
    </row>
    <row r="2835" spans="1:12" hidden="1" x14ac:dyDescent="0.3">
      <c r="A2835" s="397" t="s">
        <v>1220</v>
      </c>
      <c r="C2835" s="397" t="s">
        <v>1053</v>
      </c>
      <c r="D2835" s="397" t="s">
        <v>1219</v>
      </c>
      <c r="E2835" s="397" t="s">
        <v>1218</v>
      </c>
      <c r="F2835" s="397" t="s">
        <v>191</v>
      </c>
      <c r="G2835" s="396">
        <v>1</v>
      </c>
      <c r="H2835" s="395">
        <v>9701.6849999999995</v>
      </c>
      <c r="I2835" s="394">
        <v>409.67</v>
      </c>
      <c r="J2835" s="394">
        <v>13859.550000000001</v>
      </c>
      <c r="K2835" s="393" t="s">
        <v>1033</v>
      </c>
    </row>
    <row r="2836" spans="1:12" hidden="1" x14ac:dyDescent="0.3">
      <c r="A2836" s="397" t="s">
        <v>4355</v>
      </c>
      <c r="C2836" s="397" t="s">
        <v>1053</v>
      </c>
      <c r="D2836" s="397" t="s">
        <v>4354</v>
      </c>
      <c r="E2836" s="397" t="s">
        <v>4353</v>
      </c>
      <c r="F2836" s="397" t="s">
        <v>191</v>
      </c>
      <c r="G2836" s="396">
        <v>3</v>
      </c>
      <c r="H2836" s="395">
        <v>492273.88</v>
      </c>
      <c r="I2836" s="394">
        <v>471833.13</v>
      </c>
      <c r="J2836" s="394">
        <v>703248.4</v>
      </c>
      <c r="K2836" s="393" t="s">
        <v>1033</v>
      </c>
      <c r="L2836" s="395">
        <v>2</v>
      </c>
    </row>
    <row r="2837" spans="1:12" hidden="1" x14ac:dyDescent="0.3">
      <c r="A2837" s="397" t="s">
        <v>4382</v>
      </c>
      <c r="C2837" s="397" t="s">
        <v>1053</v>
      </c>
      <c r="D2837" s="397" t="s">
        <v>4381</v>
      </c>
      <c r="E2837" s="397" t="s">
        <v>4380</v>
      </c>
      <c r="F2837" s="397" t="s">
        <v>191</v>
      </c>
      <c r="G2837" s="396">
        <v>1</v>
      </c>
      <c r="H2837" s="395">
        <v>492273.88</v>
      </c>
      <c r="I2837" s="394">
        <v>471833.13</v>
      </c>
      <c r="J2837" s="394">
        <v>703248.4</v>
      </c>
      <c r="K2837" s="393" t="s">
        <v>1033</v>
      </c>
      <c r="L2837" s="395">
        <v>1</v>
      </c>
    </row>
    <row r="2838" spans="1:12" hidden="1" x14ac:dyDescent="0.3">
      <c r="A2838" s="397" t="s">
        <v>1538</v>
      </c>
      <c r="C2838" s="397" t="s">
        <v>1053</v>
      </c>
      <c r="D2838" s="397" t="s">
        <v>1537</v>
      </c>
      <c r="E2838" s="397" t="s">
        <v>1536</v>
      </c>
      <c r="F2838" s="397" t="s">
        <v>191</v>
      </c>
      <c r="G2838" s="396">
        <v>2</v>
      </c>
      <c r="H2838" s="395">
        <v>682983.39900000009</v>
      </c>
      <c r="I2838" s="394">
        <v>656478.1</v>
      </c>
      <c r="J2838" s="394">
        <v>975690.57000000007</v>
      </c>
      <c r="K2838" s="393" t="s">
        <v>1033</v>
      </c>
    </row>
    <row r="2839" spans="1:12" hidden="1" x14ac:dyDescent="0.3">
      <c r="A2839" s="397" t="s">
        <v>5983</v>
      </c>
      <c r="C2839" s="397" t="s">
        <v>1053</v>
      </c>
      <c r="D2839" s="397" t="s">
        <v>5982</v>
      </c>
      <c r="E2839" s="397" t="s">
        <v>5981</v>
      </c>
      <c r="F2839" s="397" t="s">
        <v>191</v>
      </c>
      <c r="G2839" s="396">
        <v>3</v>
      </c>
      <c r="H2839" s="395">
        <v>261288.41200000001</v>
      </c>
      <c r="I2839" s="394">
        <v>252937.48</v>
      </c>
      <c r="J2839" s="394">
        <v>373269.16000000003</v>
      </c>
      <c r="K2839" s="393" t="s">
        <v>1033</v>
      </c>
    </row>
    <row r="2840" spans="1:12" hidden="1" x14ac:dyDescent="0.3">
      <c r="A2840" s="397" t="s">
        <v>4212</v>
      </c>
      <c r="C2840" s="397" t="s">
        <v>1053</v>
      </c>
      <c r="D2840" s="397" t="s">
        <v>4211</v>
      </c>
      <c r="E2840" s="397" t="s">
        <v>4210</v>
      </c>
      <c r="F2840" s="397" t="s">
        <v>191</v>
      </c>
      <c r="G2840" s="396">
        <v>1</v>
      </c>
      <c r="H2840" s="395">
        <v>130385.864</v>
      </c>
      <c r="I2840" s="394">
        <v>1848.1100000000001</v>
      </c>
      <c r="J2840" s="394">
        <v>186265.52</v>
      </c>
      <c r="K2840" s="393" t="s">
        <v>1033</v>
      </c>
    </row>
    <row r="2841" spans="1:12" hidden="1" x14ac:dyDescent="0.3">
      <c r="A2841" s="397" t="s">
        <v>801</v>
      </c>
      <c r="C2841" s="397" t="s">
        <v>1053</v>
      </c>
      <c r="D2841" s="397" t="s">
        <v>800</v>
      </c>
      <c r="E2841" s="397" t="s">
        <v>799</v>
      </c>
      <c r="F2841" s="397" t="s">
        <v>191</v>
      </c>
      <c r="G2841" s="396">
        <v>1</v>
      </c>
      <c r="H2841" s="395">
        <v>19518.464</v>
      </c>
      <c r="I2841" s="394">
        <v>1278.3</v>
      </c>
      <c r="J2841" s="394">
        <v>27883.52</v>
      </c>
      <c r="K2841" s="393" t="s">
        <v>1033</v>
      </c>
      <c r="L2841" s="395">
        <v>1</v>
      </c>
    </row>
    <row r="2842" spans="1:12" hidden="1" x14ac:dyDescent="0.3">
      <c r="A2842" s="397" t="s">
        <v>4230</v>
      </c>
      <c r="C2842" s="397" t="s">
        <v>1053</v>
      </c>
      <c r="D2842" s="397" t="s">
        <v>4229</v>
      </c>
      <c r="E2842" s="397" t="s">
        <v>4228</v>
      </c>
      <c r="F2842" s="397" t="s">
        <v>191</v>
      </c>
      <c r="G2842" s="396">
        <v>2</v>
      </c>
      <c r="H2842" s="395">
        <v>615855.34499999997</v>
      </c>
      <c r="I2842" s="394">
        <v>590205.93000000005</v>
      </c>
      <c r="J2842" s="394">
        <v>879793.35</v>
      </c>
      <c r="K2842" s="393" t="s">
        <v>1033</v>
      </c>
    </row>
    <row r="2843" spans="1:12" hidden="1" x14ac:dyDescent="0.3">
      <c r="A2843" s="397" t="s">
        <v>4199</v>
      </c>
      <c r="C2843" s="397" t="s">
        <v>1053</v>
      </c>
      <c r="D2843" s="397" t="s">
        <v>640</v>
      </c>
      <c r="E2843" s="397" t="s">
        <v>641</v>
      </c>
      <c r="F2843" s="397" t="s">
        <v>191</v>
      </c>
      <c r="G2843" s="396">
        <v>2</v>
      </c>
      <c r="H2843" s="395">
        <v>138735.772</v>
      </c>
      <c r="I2843" s="394">
        <v>136250.73000000001</v>
      </c>
      <c r="J2843" s="394">
        <v>198193.96</v>
      </c>
      <c r="K2843" s="393" t="s">
        <v>1033</v>
      </c>
    </row>
    <row r="2844" spans="1:12" hidden="1" x14ac:dyDescent="0.3">
      <c r="A2844" s="397" t="s">
        <v>4252</v>
      </c>
      <c r="C2844" s="397" t="s">
        <v>1053</v>
      </c>
      <c r="D2844" s="397" t="s">
        <v>4251</v>
      </c>
      <c r="E2844" s="397" t="s">
        <v>4250</v>
      </c>
      <c r="F2844" s="397" t="s">
        <v>191</v>
      </c>
      <c r="G2844" s="396">
        <v>4</v>
      </c>
      <c r="H2844" s="395">
        <v>221876.99800000002</v>
      </c>
      <c r="I2844" s="394">
        <v>44631.55</v>
      </c>
      <c r="J2844" s="394">
        <v>316967.14</v>
      </c>
      <c r="K2844" s="393" t="s">
        <v>1033</v>
      </c>
    </row>
    <row r="2845" spans="1:12" hidden="1" x14ac:dyDescent="0.3">
      <c r="A2845" s="397" t="s">
        <v>4235</v>
      </c>
      <c r="C2845" s="397" t="s">
        <v>1053</v>
      </c>
      <c r="D2845" s="397" t="s">
        <v>631</v>
      </c>
      <c r="E2845" s="397" t="s">
        <v>632</v>
      </c>
      <c r="F2845" s="397" t="s">
        <v>191</v>
      </c>
      <c r="G2845" s="396">
        <v>4</v>
      </c>
      <c r="H2845" s="395">
        <v>180353.85199999998</v>
      </c>
      <c r="I2845" s="394">
        <v>169429.9</v>
      </c>
      <c r="J2845" s="394">
        <v>257648.36000000002</v>
      </c>
      <c r="K2845" s="393" t="s">
        <v>1033</v>
      </c>
      <c r="L2845" s="395">
        <v>2</v>
      </c>
    </row>
    <row r="2846" spans="1:12" hidden="1" x14ac:dyDescent="0.3">
      <c r="A2846" s="397" t="s">
        <v>1670</v>
      </c>
      <c r="C2846" s="397" t="s">
        <v>1053</v>
      </c>
      <c r="D2846" s="397" t="s">
        <v>1669</v>
      </c>
      <c r="E2846" s="397" t="s">
        <v>1668</v>
      </c>
      <c r="F2846" s="397" t="s">
        <v>191</v>
      </c>
      <c r="G2846" s="396">
        <v>1</v>
      </c>
      <c r="H2846" s="395">
        <v>388174.55599999992</v>
      </c>
      <c r="I2846" s="394">
        <v>308447.53000000003</v>
      </c>
      <c r="J2846" s="394">
        <v>554535.07999999996</v>
      </c>
      <c r="K2846" s="393" t="s">
        <v>1033</v>
      </c>
      <c r="L2846" s="395">
        <v>1</v>
      </c>
    </row>
    <row r="2847" spans="1:12" hidden="1" x14ac:dyDescent="0.3">
      <c r="A2847" s="397" t="s">
        <v>5663</v>
      </c>
      <c r="C2847" s="397" t="s">
        <v>1053</v>
      </c>
      <c r="D2847" s="397" t="s">
        <v>5662</v>
      </c>
      <c r="E2847" s="397" t="s">
        <v>5652</v>
      </c>
      <c r="F2847" s="397" t="s">
        <v>191</v>
      </c>
      <c r="G2847" s="396">
        <v>1</v>
      </c>
      <c r="H2847" s="395">
        <v>1942013.325</v>
      </c>
      <c r="I2847" s="394">
        <v>1395073.6300000001</v>
      </c>
      <c r="J2847" s="394">
        <v>2774304.75</v>
      </c>
      <c r="K2847" s="393" t="s">
        <v>1033</v>
      </c>
    </row>
    <row r="2848" spans="1:12" hidden="1" x14ac:dyDescent="0.3">
      <c r="A2848" s="397" t="s">
        <v>4233</v>
      </c>
      <c r="C2848" s="397" t="s">
        <v>1053</v>
      </c>
      <c r="D2848" s="397" t="s">
        <v>4232</v>
      </c>
      <c r="E2848" s="397" t="s">
        <v>4231</v>
      </c>
      <c r="F2848" s="397" t="s">
        <v>191</v>
      </c>
      <c r="G2848" s="396">
        <v>1</v>
      </c>
      <c r="H2848" s="395">
        <v>150235.87599999999</v>
      </c>
      <c r="I2848" s="394">
        <v>6816.1100000000006</v>
      </c>
      <c r="J2848" s="394">
        <v>214622.68</v>
      </c>
      <c r="K2848" s="393" t="s">
        <v>1033</v>
      </c>
    </row>
    <row r="2849" spans="1:12" hidden="1" x14ac:dyDescent="0.3">
      <c r="A2849" s="397" t="s">
        <v>4372</v>
      </c>
      <c r="C2849" s="397" t="s">
        <v>1053</v>
      </c>
      <c r="D2849" s="397" t="s">
        <v>4371</v>
      </c>
      <c r="E2849" s="397" t="s">
        <v>4370</v>
      </c>
      <c r="F2849" s="397" t="s">
        <v>191</v>
      </c>
      <c r="G2849" s="396">
        <v>1</v>
      </c>
      <c r="H2849" s="395">
        <v>3944.8220000000001</v>
      </c>
      <c r="I2849" s="394">
        <v>2357.1</v>
      </c>
      <c r="J2849" s="394">
        <v>5635.46</v>
      </c>
      <c r="K2849" s="393" t="s">
        <v>1033</v>
      </c>
    </row>
    <row r="2850" spans="1:12" hidden="1" x14ac:dyDescent="0.3">
      <c r="A2850" s="397" t="s">
        <v>1526</v>
      </c>
      <c r="C2850" s="397" t="s">
        <v>1053</v>
      </c>
      <c r="D2850" s="397" t="s">
        <v>1525</v>
      </c>
      <c r="E2850" s="397" t="s">
        <v>1524</v>
      </c>
      <c r="F2850" s="397" t="s">
        <v>191</v>
      </c>
      <c r="G2850" s="396">
        <v>4</v>
      </c>
      <c r="H2850" s="395">
        <v>108526.292</v>
      </c>
      <c r="I2850" s="394">
        <v>77535.55</v>
      </c>
      <c r="J2850" s="394">
        <v>155037.56</v>
      </c>
      <c r="K2850" s="393" t="s">
        <v>1033</v>
      </c>
    </row>
    <row r="2851" spans="1:12" hidden="1" x14ac:dyDescent="0.3">
      <c r="A2851" s="397" t="s">
        <v>1715</v>
      </c>
      <c r="C2851" s="397" t="s">
        <v>1053</v>
      </c>
      <c r="D2851" s="397" t="s">
        <v>1714</v>
      </c>
      <c r="E2851" s="397" t="s">
        <v>1713</v>
      </c>
      <c r="F2851" s="397" t="s">
        <v>191</v>
      </c>
      <c r="G2851" s="396">
        <v>1</v>
      </c>
      <c r="H2851" s="395">
        <v>464105.96399999998</v>
      </c>
      <c r="I2851" s="394">
        <v>368783.41000000003</v>
      </c>
      <c r="J2851" s="394">
        <v>663008.52</v>
      </c>
      <c r="K2851" s="393" t="s">
        <v>1033</v>
      </c>
    </row>
    <row r="2852" spans="1:12" hidden="1" x14ac:dyDescent="0.3">
      <c r="A2852" s="397" t="s">
        <v>1638</v>
      </c>
      <c r="C2852" s="397" t="s">
        <v>1053</v>
      </c>
      <c r="D2852" s="397" t="s">
        <v>5975</v>
      </c>
      <c r="E2852" s="397" t="s">
        <v>5974</v>
      </c>
      <c r="F2852" s="397" t="s">
        <v>191</v>
      </c>
      <c r="G2852" s="396">
        <v>3</v>
      </c>
      <c r="H2852" s="395">
        <v>668312.92500000005</v>
      </c>
      <c r="I2852" s="394">
        <v>30793.37</v>
      </c>
      <c r="J2852" s="394">
        <v>954732.75</v>
      </c>
      <c r="K2852" s="393" t="s">
        <v>1033</v>
      </c>
    </row>
    <row r="2853" spans="1:12" hidden="1" x14ac:dyDescent="0.3">
      <c r="A2853" s="397" t="s">
        <v>1638</v>
      </c>
      <c r="C2853" s="397" t="s">
        <v>1053</v>
      </c>
      <c r="D2853" s="397" t="s">
        <v>1637</v>
      </c>
      <c r="E2853" s="397" t="s">
        <v>1636</v>
      </c>
      <c r="F2853" s="397" t="s">
        <v>191</v>
      </c>
      <c r="G2853" s="396">
        <v>1</v>
      </c>
      <c r="H2853" s="395">
        <v>346631.13099999999</v>
      </c>
      <c r="I2853" s="394">
        <v>30506.98</v>
      </c>
      <c r="J2853" s="394">
        <v>495187.33</v>
      </c>
      <c r="K2853" s="393" t="s">
        <v>1033</v>
      </c>
    </row>
    <row r="2854" spans="1:12" hidden="1" x14ac:dyDescent="0.3">
      <c r="A2854" s="397" t="s">
        <v>1571</v>
      </c>
      <c r="C2854" s="397" t="s">
        <v>1053</v>
      </c>
      <c r="D2854" s="397" t="s">
        <v>1570</v>
      </c>
      <c r="E2854" s="397" t="s">
        <v>1569</v>
      </c>
      <c r="F2854" s="397" t="s">
        <v>191</v>
      </c>
      <c r="G2854" s="396">
        <v>4</v>
      </c>
      <c r="H2854" s="395">
        <v>657355.72</v>
      </c>
      <c r="I2854" s="394">
        <v>490396.58</v>
      </c>
      <c r="J2854" s="394">
        <v>939079.6</v>
      </c>
      <c r="K2854" s="393" t="s">
        <v>1033</v>
      </c>
      <c r="L2854" s="395">
        <v>1</v>
      </c>
    </row>
    <row r="2855" spans="1:12" hidden="1" x14ac:dyDescent="0.3">
      <c r="A2855" s="397" t="s">
        <v>4576</v>
      </c>
      <c r="C2855" s="397" t="s">
        <v>1053</v>
      </c>
      <c r="D2855" s="397" t="s">
        <v>4575</v>
      </c>
      <c r="E2855" s="397" t="s">
        <v>4574</v>
      </c>
      <c r="F2855" s="397" t="s">
        <v>191</v>
      </c>
      <c r="G2855" s="396">
        <v>1</v>
      </c>
      <c r="H2855" s="395">
        <v>165319.68599999999</v>
      </c>
      <c r="I2855" s="394">
        <v>7492.59</v>
      </c>
      <c r="J2855" s="394">
        <v>236170.98</v>
      </c>
      <c r="K2855" s="393" t="s">
        <v>1033</v>
      </c>
    </row>
    <row r="2856" spans="1:12" hidden="1" x14ac:dyDescent="0.3">
      <c r="A2856" s="397" t="s">
        <v>1574</v>
      </c>
      <c r="C2856" s="397" t="s">
        <v>1053</v>
      </c>
      <c r="D2856" s="397" t="s">
        <v>1573</v>
      </c>
      <c r="E2856" s="397" t="s">
        <v>1572</v>
      </c>
      <c r="F2856" s="397" t="s">
        <v>191</v>
      </c>
      <c r="G2856" s="396">
        <v>3</v>
      </c>
      <c r="H2856" s="395">
        <v>442773.18400000001</v>
      </c>
      <c r="I2856" s="394">
        <v>425589.98</v>
      </c>
      <c r="J2856" s="394">
        <v>632533.12</v>
      </c>
      <c r="K2856" s="393" t="s">
        <v>1033</v>
      </c>
    </row>
    <row r="2857" spans="1:12" hidden="1" x14ac:dyDescent="0.3">
      <c r="A2857" s="397" t="s">
        <v>1399</v>
      </c>
      <c r="C2857" s="397" t="s">
        <v>1053</v>
      </c>
      <c r="D2857" s="397" t="s">
        <v>1398</v>
      </c>
      <c r="E2857" s="397" t="s">
        <v>1397</v>
      </c>
      <c r="F2857" s="397" t="s">
        <v>191</v>
      </c>
      <c r="G2857" s="396">
        <v>14</v>
      </c>
      <c r="H2857" s="395">
        <v>69128.430000000008</v>
      </c>
      <c r="I2857" s="394">
        <v>57442.37</v>
      </c>
      <c r="J2857" s="394">
        <v>98754.900000000009</v>
      </c>
      <c r="K2857" s="393" t="s">
        <v>1033</v>
      </c>
    </row>
    <row r="2858" spans="1:12" hidden="1" x14ac:dyDescent="0.3">
      <c r="A2858" s="397" t="s">
        <v>1884</v>
      </c>
      <c r="C2858" s="397" t="s">
        <v>1053</v>
      </c>
      <c r="D2858" s="397" t="s">
        <v>1883</v>
      </c>
      <c r="E2858" s="397" t="s">
        <v>1882</v>
      </c>
      <c r="F2858" s="397" t="s">
        <v>191</v>
      </c>
      <c r="G2858" s="396">
        <v>1</v>
      </c>
      <c r="H2858" s="395">
        <v>392227.92700000003</v>
      </c>
      <c r="I2858" s="394">
        <v>288679.21999999997</v>
      </c>
      <c r="J2858" s="394">
        <v>560325.61</v>
      </c>
      <c r="K2858" s="393" t="s">
        <v>1033</v>
      </c>
    </row>
    <row r="2859" spans="1:12" hidden="1" x14ac:dyDescent="0.3">
      <c r="A2859" s="397" t="s">
        <v>6565</v>
      </c>
      <c r="C2859" s="397" t="s">
        <v>1053</v>
      </c>
      <c r="D2859" s="397" t="s">
        <v>6564</v>
      </c>
      <c r="E2859" s="397" t="s">
        <v>6563</v>
      </c>
      <c r="F2859" s="397" t="s">
        <v>191</v>
      </c>
      <c r="G2859" s="396">
        <v>1</v>
      </c>
      <c r="H2859" s="395">
        <v>1364533.1</v>
      </c>
      <c r="I2859" s="394">
        <v>71980.820000000007</v>
      </c>
      <c r="J2859" s="394">
        <v>1949333</v>
      </c>
      <c r="K2859" s="393" t="s">
        <v>1033</v>
      </c>
      <c r="L2859" s="395">
        <v>1</v>
      </c>
    </row>
    <row r="2860" spans="1:12" hidden="1" x14ac:dyDescent="0.3">
      <c r="A2860" s="397" t="s">
        <v>5141</v>
      </c>
      <c r="C2860" s="397" t="s">
        <v>1053</v>
      </c>
      <c r="D2860" s="397" t="s">
        <v>5140</v>
      </c>
      <c r="E2860" s="397" t="s">
        <v>5139</v>
      </c>
      <c r="F2860" s="397" t="s">
        <v>191</v>
      </c>
      <c r="G2860" s="396">
        <v>1</v>
      </c>
      <c r="H2860" s="395">
        <v>930665.71499999997</v>
      </c>
      <c r="I2860" s="394">
        <v>212316.96</v>
      </c>
      <c r="J2860" s="394">
        <v>1329522.45</v>
      </c>
      <c r="K2860" s="393" t="s">
        <v>1033</v>
      </c>
    </row>
    <row r="2861" spans="1:12" hidden="1" x14ac:dyDescent="0.3">
      <c r="A2861" s="397" t="s">
        <v>1520</v>
      </c>
      <c r="C2861" s="397" t="s">
        <v>1053</v>
      </c>
      <c r="D2861" s="397" t="s">
        <v>1519</v>
      </c>
      <c r="E2861" s="397" t="s">
        <v>1518</v>
      </c>
      <c r="F2861" s="397" t="s">
        <v>191</v>
      </c>
      <c r="G2861" s="396">
        <v>1</v>
      </c>
      <c r="H2861" s="395">
        <v>105209.965</v>
      </c>
      <c r="I2861" s="394">
        <v>83600.929999999993</v>
      </c>
      <c r="J2861" s="394">
        <v>150299.95000000001</v>
      </c>
      <c r="K2861" s="393" t="s">
        <v>1033</v>
      </c>
    </row>
    <row r="2862" spans="1:12" hidden="1" x14ac:dyDescent="0.3">
      <c r="A2862" s="397" t="s">
        <v>1396</v>
      </c>
      <c r="C2862" s="397" t="s">
        <v>1053</v>
      </c>
      <c r="D2862" s="397" t="s">
        <v>1395</v>
      </c>
      <c r="E2862" s="397" t="s">
        <v>1394</v>
      </c>
      <c r="F2862" s="397" t="s">
        <v>191</v>
      </c>
      <c r="G2862" s="396">
        <v>5</v>
      </c>
      <c r="H2862" s="395">
        <v>37348.737999999998</v>
      </c>
      <c r="I2862" s="394">
        <v>23617.16</v>
      </c>
      <c r="J2862" s="394">
        <v>53355.340000000004</v>
      </c>
      <c r="K2862" s="393" t="s">
        <v>1033</v>
      </c>
    </row>
    <row r="2863" spans="1:12" hidden="1" x14ac:dyDescent="0.3">
      <c r="A2863" s="397" t="s">
        <v>1390</v>
      </c>
      <c r="C2863" s="397" t="s">
        <v>1053</v>
      </c>
      <c r="D2863" s="397" t="s">
        <v>1389</v>
      </c>
      <c r="E2863" s="397" t="s">
        <v>1388</v>
      </c>
      <c r="F2863" s="397" t="s">
        <v>191</v>
      </c>
      <c r="G2863" s="396">
        <v>15</v>
      </c>
      <c r="H2863" s="395">
        <v>51955.47</v>
      </c>
      <c r="I2863" s="394">
        <v>50688.26</v>
      </c>
      <c r="J2863" s="394">
        <v>74222.100000000006</v>
      </c>
      <c r="K2863" s="393" t="s">
        <v>1033</v>
      </c>
    </row>
    <row r="2864" spans="1:12" hidden="1" x14ac:dyDescent="0.3">
      <c r="A2864" s="397" t="s">
        <v>1312</v>
      </c>
      <c r="C2864" s="397" t="s">
        <v>1053</v>
      </c>
      <c r="D2864" s="397" t="s">
        <v>1311</v>
      </c>
      <c r="E2864" s="397" t="s">
        <v>1310</v>
      </c>
      <c r="F2864" s="397" t="s">
        <v>191</v>
      </c>
      <c r="G2864" s="396">
        <v>9</v>
      </c>
      <c r="H2864" s="395">
        <v>199888.10800000001</v>
      </c>
      <c r="I2864" s="394">
        <v>190228.54</v>
      </c>
      <c r="J2864" s="394">
        <v>285554.44</v>
      </c>
      <c r="K2864" s="393" t="s">
        <v>1033</v>
      </c>
    </row>
    <row r="2865" spans="1:11" hidden="1" x14ac:dyDescent="0.3">
      <c r="A2865" s="397" t="s">
        <v>1120</v>
      </c>
      <c r="C2865" s="397" t="s">
        <v>1034</v>
      </c>
      <c r="D2865" s="397" t="s">
        <v>1119</v>
      </c>
      <c r="E2865" s="397" t="s">
        <v>1118</v>
      </c>
      <c r="F2865" s="397" t="s">
        <v>416</v>
      </c>
      <c r="G2865" s="396">
        <v>3</v>
      </c>
      <c r="H2865" s="395">
        <v>1028.9979000000001</v>
      </c>
      <c r="I2865" s="394">
        <v>1029</v>
      </c>
      <c r="J2865" s="394">
        <v>1633.33</v>
      </c>
      <c r="K2865" s="393" t="s">
        <v>1033</v>
      </c>
    </row>
    <row r="2866" spans="1:11" hidden="1" x14ac:dyDescent="0.3">
      <c r="A2866" s="397" t="s">
        <v>5350</v>
      </c>
      <c r="C2866" s="397" t="s">
        <v>1053</v>
      </c>
      <c r="D2866" s="397" t="s">
        <v>5349</v>
      </c>
      <c r="E2866" s="397" t="s">
        <v>5348</v>
      </c>
      <c r="F2866" s="397" t="s">
        <v>191</v>
      </c>
      <c r="G2866" s="396">
        <v>1</v>
      </c>
      <c r="H2866" s="395">
        <v>323388.359</v>
      </c>
      <c r="I2866" s="394">
        <v>1909.9</v>
      </c>
      <c r="J2866" s="394">
        <v>461983.37</v>
      </c>
      <c r="K2866" s="393" t="s">
        <v>1033</v>
      </c>
    </row>
    <row r="2867" spans="1:11" hidden="1" x14ac:dyDescent="0.3">
      <c r="A2867" s="397" t="s">
        <v>5978</v>
      </c>
      <c r="C2867" s="397" t="s">
        <v>1053</v>
      </c>
      <c r="D2867" s="397" t="s">
        <v>5977</v>
      </c>
      <c r="E2867" s="397" t="s">
        <v>5976</v>
      </c>
      <c r="F2867" s="397" t="s">
        <v>191</v>
      </c>
      <c r="G2867" s="396">
        <v>1</v>
      </c>
      <c r="H2867" s="395">
        <v>1599.0940000000001</v>
      </c>
      <c r="I2867" s="394">
        <v>692.57</v>
      </c>
      <c r="J2867" s="394">
        <v>2284.42</v>
      </c>
      <c r="K2867" s="393" t="s">
        <v>1033</v>
      </c>
    </row>
    <row r="2868" spans="1:11" hidden="1" x14ac:dyDescent="0.3">
      <c r="A2868" s="397" t="s">
        <v>4527</v>
      </c>
      <c r="C2868" s="397" t="s">
        <v>1053</v>
      </c>
      <c r="D2868" s="397" t="s">
        <v>4526</v>
      </c>
      <c r="E2868" s="397" t="s">
        <v>4525</v>
      </c>
      <c r="F2868" s="397" t="s">
        <v>191</v>
      </c>
      <c r="G2868" s="396">
        <v>1</v>
      </c>
      <c r="H2868" s="395">
        <v>523256.71299999999</v>
      </c>
      <c r="I2868" s="394">
        <v>1223.1400000000001</v>
      </c>
      <c r="J2868" s="394">
        <v>747509.59</v>
      </c>
      <c r="K2868" s="393" t="s">
        <v>1033</v>
      </c>
    </row>
    <row r="2869" spans="1:11" hidden="1" x14ac:dyDescent="0.3">
      <c r="A2869" s="397" t="s">
        <v>6023</v>
      </c>
      <c r="C2869" s="397" t="s">
        <v>1053</v>
      </c>
      <c r="D2869" s="397" t="s">
        <v>6022</v>
      </c>
      <c r="E2869" s="397" t="s">
        <v>6014</v>
      </c>
      <c r="F2869" s="397" t="s">
        <v>191</v>
      </c>
      <c r="G2869" s="396">
        <v>1</v>
      </c>
      <c r="H2869" s="395">
        <v>188944.60199999998</v>
      </c>
      <c r="I2869" s="394">
        <v>9358.89</v>
      </c>
      <c r="J2869" s="394">
        <v>269920.86</v>
      </c>
      <c r="K2869" s="393" t="s">
        <v>1033</v>
      </c>
    </row>
    <row r="2870" spans="1:11" hidden="1" x14ac:dyDescent="0.3">
      <c r="A2870" s="397" t="s">
        <v>3792</v>
      </c>
      <c r="C2870" s="397" t="s">
        <v>1053</v>
      </c>
      <c r="D2870" s="397" t="s">
        <v>3791</v>
      </c>
      <c r="E2870" s="397" t="s">
        <v>3790</v>
      </c>
      <c r="F2870" s="397" t="s">
        <v>191</v>
      </c>
      <c r="G2870" s="396">
        <v>1</v>
      </c>
      <c r="H2870" s="395">
        <v>1753950.8769999999</v>
      </c>
      <c r="I2870" s="394">
        <v>7376.6900000000005</v>
      </c>
      <c r="J2870" s="394">
        <v>2505644.11</v>
      </c>
      <c r="K2870" s="393" t="s">
        <v>1033</v>
      </c>
    </row>
    <row r="2871" spans="1:11" hidden="1" x14ac:dyDescent="0.3">
      <c r="A2871" s="397" t="s">
        <v>3789</v>
      </c>
      <c r="C2871" s="397" t="s">
        <v>1053</v>
      </c>
      <c r="D2871" s="397" t="s">
        <v>3788</v>
      </c>
      <c r="E2871" s="397" t="s">
        <v>3787</v>
      </c>
      <c r="F2871" s="397" t="s">
        <v>191</v>
      </c>
      <c r="G2871" s="396">
        <v>1</v>
      </c>
      <c r="H2871" s="395">
        <v>1625764.3080000002</v>
      </c>
      <c r="I2871" s="394">
        <v>6776.1100000000006</v>
      </c>
      <c r="J2871" s="394">
        <v>2322520.44</v>
      </c>
      <c r="K2871" s="393" t="s">
        <v>1033</v>
      </c>
    </row>
    <row r="2872" spans="1:11" hidden="1" x14ac:dyDescent="0.3">
      <c r="A2872" s="397" t="s">
        <v>5003</v>
      </c>
      <c r="C2872" s="397" t="s">
        <v>1053</v>
      </c>
      <c r="D2872" s="397" t="s">
        <v>5002</v>
      </c>
      <c r="E2872" s="397" t="s">
        <v>5001</v>
      </c>
      <c r="F2872" s="397" t="s">
        <v>191</v>
      </c>
      <c r="G2872" s="396">
        <v>1</v>
      </c>
      <c r="H2872" s="395">
        <v>96853.96</v>
      </c>
      <c r="I2872" s="394">
        <v>676.38</v>
      </c>
      <c r="J2872" s="394">
        <v>138362.79999999999</v>
      </c>
      <c r="K2872" s="393" t="s">
        <v>1033</v>
      </c>
    </row>
    <row r="2873" spans="1:11" hidden="1" x14ac:dyDescent="0.3">
      <c r="A2873" s="397" t="s">
        <v>4504</v>
      </c>
      <c r="C2873" s="397" t="s">
        <v>1053</v>
      </c>
      <c r="D2873" s="397" t="s">
        <v>4503</v>
      </c>
      <c r="E2873" s="397" t="s">
        <v>4502</v>
      </c>
      <c r="F2873" s="397" t="s">
        <v>191</v>
      </c>
      <c r="G2873" s="396">
        <v>10</v>
      </c>
      <c r="H2873" s="395">
        <v>38380.230000000003</v>
      </c>
      <c r="I2873" s="394">
        <v>115.66</v>
      </c>
      <c r="J2873" s="394">
        <v>54828.9</v>
      </c>
      <c r="K2873" s="393" t="s">
        <v>1033</v>
      </c>
    </row>
    <row r="2874" spans="1:11" hidden="1" x14ac:dyDescent="0.3">
      <c r="A2874" s="397" t="s">
        <v>4509</v>
      </c>
      <c r="C2874" s="397" t="s">
        <v>1053</v>
      </c>
      <c r="D2874" s="397" t="s">
        <v>4508</v>
      </c>
      <c r="E2874" s="397" t="s">
        <v>4507</v>
      </c>
      <c r="F2874" s="397" t="s">
        <v>191</v>
      </c>
      <c r="G2874" s="396">
        <v>8</v>
      </c>
      <c r="H2874" s="395">
        <v>38380.230000000003</v>
      </c>
      <c r="I2874" s="394">
        <v>115.66</v>
      </c>
      <c r="J2874" s="394">
        <v>54828.9</v>
      </c>
      <c r="K2874" s="393" t="s">
        <v>1033</v>
      </c>
    </row>
    <row r="2875" spans="1:11" hidden="1" x14ac:dyDescent="0.3">
      <c r="A2875" s="397" t="s">
        <v>4904</v>
      </c>
      <c r="C2875" s="397" t="s">
        <v>1053</v>
      </c>
      <c r="D2875" s="397" t="s">
        <v>4903</v>
      </c>
      <c r="E2875" s="397" t="s">
        <v>4902</v>
      </c>
      <c r="F2875" s="397" t="s">
        <v>191</v>
      </c>
      <c r="G2875" s="396">
        <v>1</v>
      </c>
      <c r="H2875" s="395">
        <v>27339.095000000001</v>
      </c>
      <c r="I2875" s="394">
        <v>84.08</v>
      </c>
      <c r="J2875" s="394">
        <v>39055.85</v>
      </c>
      <c r="K2875" s="393" t="s">
        <v>1033</v>
      </c>
    </row>
    <row r="2876" spans="1:11" hidden="1" x14ac:dyDescent="0.3">
      <c r="A2876" s="397" t="s">
        <v>6473</v>
      </c>
      <c r="C2876" s="397" t="s">
        <v>1053</v>
      </c>
      <c r="D2876" s="397" t="s">
        <v>6472</v>
      </c>
      <c r="E2876" s="397" t="s">
        <v>6471</v>
      </c>
      <c r="F2876" s="397" t="s">
        <v>191</v>
      </c>
      <c r="G2876" s="396">
        <v>1</v>
      </c>
      <c r="H2876" s="395">
        <v>24555.678</v>
      </c>
      <c r="I2876" s="394">
        <v>154.51</v>
      </c>
      <c r="J2876" s="394">
        <v>35079.54</v>
      </c>
      <c r="K2876" s="393" t="s">
        <v>1033</v>
      </c>
    </row>
    <row r="2877" spans="1:11" hidden="1" x14ac:dyDescent="0.3">
      <c r="A2877" s="397" t="s">
        <v>1330</v>
      </c>
      <c r="C2877" s="397" t="s">
        <v>1053</v>
      </c>
      <c r="D2877" s="397" t="s">
        <v>4878</v>
      </c>
      <c r="E2877" s="397" t="s">
        <v>4877</v>
      </c>
      <c r="F2877" s="397" t="s">
        <v>191</v>
      </c>
      <c r="G2877" s="396">
        <v>1</v>
      </c>
      <c r="H2877" s="395">
        <v>40644.582999999999</v>
      </c>
      <c r="I2877" s="394">
        <v>167.24</v>
      </c>
      <c r="J2877" s="394">
        <v>58063.69</v>
      </c>
      <c r="K2877" s="393" t="s">
        <v>1033</v>
      </c>
    </row>
    <row r="2878" spans="1:11" hidden="1" x14ac:dyDescent="0.3">
      <c r="A2878" s="397" t="s">
        <v>1330</v>
      </c>
      <c r="C2878" s="397" t="s">
        <v>1053</v>
      </c>
      <c r="D2878" s="397" t="s">
        <v>1329</v>
      </c>
      <c r="E2878" s="397" t="s">
        <v>1328</v>
      </c>
      <c r="F2878" s="397" t="s">
        <v>191</v>
      </c>
      <c r="G2878" s="396">
        <v>1</v>
      </c>
      <c r="H2878" s="395">
        <v>110159.66500000001</v>
      </c>
      <c r="I2878" s="394">
        <v>95766.96</v>
      </c>
      <c r="J2878" s="394">
        <v>157370.95000000001</v>
      </c>
      <c r="K2878" s="393" t="s">
        <v>1033</v>
      </c>
    </row>
    <row r="2879" spans="1:11" hidden="1" x14ac:dyDescent="0.3">
      <c r="A2879" s="397" t="s">
        <v>4560</v>
      </c>
      <c r="C2879" s="397" t="s">
        <v>1053</v>
      </c>
      <c r="D2879" s="397" t="s">
        <v>4559</v>
      </c>
      <c r="E2879" s="397" t="s">
        <v>4472</v>
      </c>
      <c r="F2879" s="397" t="s">
        <v>191</v>
      </c>
      <c r="G2879" s="396">
        <v>1</v>
      </c>
      <c r="H2879" s="395">
        <v>54613.951000000001</v>
      </c>
      <c r="I2879" s="394">
        <v>215.49</v>
      </c>
      <c r="J2879" s="394">
        <v>78019.929999999993</v>
      </c>
      <c r="K2879" s="393" t="s">
        <v>1033</v>
      </c>
    </row>
    <row r="2880" spans="1:11" hidden="1" x14ac:dyDescent="0.3">
      <c r="A2880" s="397" t="s">
        <v>4549</v>
      </c>
      <c r="C2880" s="397" t="s">
        <v>1053</v>
      </c>
      <c r="D2880" s="397" t="s">
        <v>4548</v>
      </c>
      <c r="E2880" s="397" t="s">
        <v>4472</v>
      </c>
      <c r="F2880" s="397" t="s">
        <v>191</v>
      </c>
      <c r="G2880" s="396">
        <v>1</v>
      </c>
      <c r="H2880" s="395">
        <v>68042.618000000002</v>
      </c>
      <c r="I2880" s="394">
        <v>218.92000000000002</v>
      </c>
      <c r="J2880" s="394">
        <v>97203.74</v>
      </c>
      <c r="K2880" s="393" t="s">
        <v>1033</v>
      </c>
    </row>
    <row r="2881" spans="1:11" hidden="1" x14ac:dyDescent="0.3">
      <c r="A2881" s="397" t="s">
        <v>5530</v>
      </c>
      <c r="C2881" s="397" t="s">
        <v>1053</v>
      </c>
      <c r="D2881" s="397" t="s">
        <v>5610</v>
      </c>
      <c r="E2881" s="397" t="s">
        <v>5609</v>
      </c>
      <c r="F2881" s="397" t="s">
        <v>191</v>
      </c>
      <c r="G2881" s="396">
        <v>1</v>
      </c>
      <c r="H2881" s="395">
        <v>60718.504000000008</v>
      </c>
      <c r="I2881" s="394">
        <v>464.63</v>
      </c>
      <c r="J2881" s="394">
        <v>86740.72</v>
      </c>
      <c r="K2881" s="393" t="s">
        <v>1033</v>
      </c>
    </row>
    <row r="2882" spans="1:11" hidden="1" x14ac:dyDescent="0.3">
      <c r="A2882" s="397" t="s">
        <v>5530</v>
      </c>
      <c r="C2882" s="397" t="s">
        <v>1053</v>
      </c>
      <c r="D2882" s="397" t="s">
        <v>5529</v>
      </c>
      <c r="E2882" s="397" t="s">
        <v>5528</v>
      </c>
      <c r="F2882" s="397" t="s">
        <v>191</v>
      </c>
      <c r="G2882" s="396">
        <v>1</v>
      </c>
      <c r="H2882" s="395">
        <v>24090.297000000002</v>
      </c>
      <c r="I2882" s="394">
        <v>188.04</v>
      </c>
      <c r="J2882" s="394">
        <v>34414.71</v>
      </c>
      <c r="K2882" s="393" t="s">
        <v>1033</v>
      </c>
    </row>
    <row r="2883" spans="1:11" hidden="1" x14ac:dyDescent="0.3">
      <c r="A2883" s="397" t="s">
        <v>4555</v>
      </c>
      <c r="C2883" s="397" t="s">
        <v>1053</v>
      </c>
      <c r="D2883" s="397" t="s">
        <v>4554</v>
      </c>
      <c r="E2883" s="397" t="s">
        <v>4553</v>
      </c>
      <c r="F2883" s="397" t="s">
        <v>191</v>
      </c>
      <c r="G2883" s="396">
        <v>1</v>
      </c>
      <c r="H2883" s="395">
        <v>106549.394</v>
      </c>
      <c r="I2883" s="394">
        <v>331.05</v>
      </c>
      <c r="J2883" s="394">
        <v>152213.42000000001</v>
      </c>
      <c r="K2883" s="393" t="s">
        <v>1033</v>
      </c>
    </row>
    <row r="2884" spans="1:11" hidden="1" x14ac:dyDescent="0.3">
      <c r="A2884" s="397" t="s">
        <v>4881</v>
      </c>
      <c r="C2884" s="397" t="s">
        <v>1053</v>
      </c>
      <c r="D2884" s="397" t="s">
        <v>4880</v>
      </c>
      <c r="E2884" s="397" t="s">
        <v>4879</v>
      </c>
      <c r="F2884" s="397" t="s">
        <v>191</v>
      </c>
      <c r="G2884" s="396">
        <v>1</v>
      </c>
      <c r="H2884" s="395">
        <v>40644.582999999999</v>
      </c>
      <c r="I2884" s="394">
        <v>167.24</v>
      </c>
      <c r="J2884" s="394">
        <v>58063.69</v>
      </c>
      <c r="K2884" s="393" t="s">
        <v>1033</v>
      </c>
    </row>
    <row r="2885" spans="1:11" hidden="1" x14ac:dyDescent="0.3">
      <c r="A2885" s="397" t="s">
        <v>1577</v>
      </c>
      <c r="C2885" s="397" t="s">
        <v>1053</v>
      </c>
      <c r="D2885" s="397" t="s">
        <v>1576</v>
      </c>
      <c r="E2885" s="397" t="s">
        <v>1575</v>
      </c>
      <c r="F2885" s="397" t="s">
        <v>191</v>
      </c>
      <c r="G2885" s="396">
        <v>1</v>
      </c>
      <c r="H2885" s="395">
        <v>120407.18900000001</v>
      </c>
      <c r="I2885" s="394">
        <v>114588.53</v>
      </c>
      <c r="J2885" s="394">
        <v>172010.27</v>
      </c>
      <c r="K2885" s="393" t="s">
        <v>1033</v>
      </c>
    </row>
    <row r="2886" spans="1:11" hidden="1" x14ac:dyDescent="0.3">
      <c r="A2886" s="397" t="s">
        <v>4547</v>
      </c>
      <c r="C2886" s="397" t="s">
        <v>1053</v>
      </c>
      <c r="D2886" s="397" t="s">
        <v>4546</v>
      </c>
      <c r="E2886" s="397" t="s">
        <v>4545</v>
      </c>
      <c r="F2886" s="397" t="s">
        <v>191</v>
      </c>
      <c r="G2886" s="396">
        <v>3</v>
      </c>
      <c r="H2886" s="395">
        <v>101028.697</v>
      </c>
      <c r="I2886" s="394">
        <v>345.1</v>
      </c>
      <c r="J2886" s="394">
        <v>144326.71</v>
      </c>
      <c r="K2886" s="393" t="s">
        <v>1033</v>
      </c>
    </row>
    <row r="2887" spans="1:11" hidden="1" x14ac:dyDescent="0.3">
      <c r="A2887" s="397" t="s">
        <v>4552</v>
      </c>
      <c r="C2887" s="397" t="s">
        <v>1053</v>
      </c>
      <c r="D2887" s="397" t="s">
        <v>4551</v>
      </c>
      <c r="E2887" s="397" t="s">
        <v>4550</v>
      </c>
      <c r="F2887" s="397" t="s">
        <v>191</v>
      </c>
      <c r="G2887" s="396">
        <v>4</v>
      </c>
      <c r="H2887" s="395">
        <v>101028.697</v>
      </c>
      <c r="I2887" s="394">
        <v>345.1</v>
      </c>
      <c r="J2887" s="394">
        <v>144326.71</v>
      </c>
      <c r="K2887" s="393" t="s">
        <v>1033</v>
      </c>
    </row>
    <row r="2888" spans="1:11" hidden="1" x14ac:dyDescent="0.3">
      <c r="A2888" s="397" t="s">
        <v>4883</v>
      </c>
      <c r="C2888" s="397" t="s">
        <v>1053</v>
      </c>
      <c r="D2888" s="397" t="s">
        <v>4882</v>
      </c>
      <c r="E2888" s="397" t="s">
        <v>4877</v>
      </c>
      <c r="F2888" s="397" t="s">
        <v>191</v>
      </c>
      <c r="G2888" s="396">
        <v>1</v>
      </c>
      <c r="H2888" s="395">
        <v>49803.264000000003</v>
      </c>
      <c r="I2888" s="394">
        <v>29939.65</v>
      </c>
      <c r="J2888" s="394">
        <v>71147.520000000004</v>
      </c>
      <c r="K2888" s="393" t="s">
        <v>1033</v>
      </c>
    </row>
    <row r="2889" spans="1:11" hidden="1" x14ac:dyDescent="0.3">
      <c r="A2889" s="397" t="s">
        <v>5533</v>
      </c>
      <c r="C2889" s="397" t="s">
        <v>1053</v>
      </c>
      <c r="D2889" s="397" t="s">
        <v>5532</v>
      </c>
      <c r="E2889" s="397" t="s">
        <v>5531</v>
      </c>
      <c r="F2889" s="397" t="s">
        <v>191</v>
      </c>
      <c r="G2889" s="396">
        <v>2</v>
      </c>
      <c r="H2889" s="395">
        <v>24492.846000000001</v>
      </c>
      <c r="I2889" s="394">
        <v>162.09</v>
      </c>
      <c r="J2889" s="394">
        <v>34989.78</v>
      </c>
      <c r="K2889" s="393" t="s">
        <v>1033</v>
      </c>
    </row>
    <row r="2890" spans="1:11" hidden="1" x14ac:dyDescent="0.3">
      <c r="A2890" s="397" t="s">
        <v>4886</v>
      </c>
      <c r="C2890" s="397" t="s">
        <v>1053</v>
      </c>
      <c r="D2890" s="397" t="s">
        <v>4885</v>
      </c>
      <c r="E2890" s="397" t="s">
        <v>4884</v>
      </c>
      <c r="F2890" s="397" t="s">
        <v>191</v>
      </c>
      <c r="G2890" s="396">
        <v>1</v>
      </c>
      <c r="H2890" s="395">
        <v>44935.275000000001</v>
      </c>
      <c r="I2890" s="394">
        <v>41260.82</v>
      </c>
      <c r="J2890" s="394">
        <v>64193.25</v>
      </c>
      <c r="K2890" s="393" t="s">
        <v>1033</v>
      </c>
    </row>
    <row r="2891" spans="1:11" hidden="1" x14ac:dyDescent="0.3">
      <c r="A2891" s="397" t="s">
        <v>4471</v>
      </c>
      <c r="C2891" s="397" t="s">
        <v>1053</v>
      </c>
      <c r="D2891" s="397" t="s">
        <v>4470</v>
      </c>
      <c r="E2891" s="397" t="s">
        <v>4469</v>
      </c>
      <c r="F2891" s="397" t="s">
        <v>191</v>
      </c>
      <c r="G2891" s="396">
        <v>1</v>
      </c>
      <c r="H2891" s="395">
        <v>221662.25200000001</v>
      </c>
      <c r="I2891" s="394">
        <v>283.39999999999998</v>
      </c>
      <c r="J2891" s="394">
        <v>316660.36</v>
      </c>
      <c r="K2891" s="393" t="s">
        <v>1033</v>
      </c>
    </row>
    <row r="2892" spans="1:11" hidden="1" x14ac:dyDescent="0.3">
      <c r="A2892" s="397" t="s">
        <v>4558</v>
      </c>
      <c r="C2892" s="397" t="s">
        <v>1053</v>
      </c>
      <c r="D2892" s="397" t="s">
        <v>4557</v>
      </c>
      <c r="E2892" s="397" t="s">
        <v>4556</v>
      </c>
      <c r="F2892" s="397" t="s">
        <v>191</v>
      </c>
      <c r="G2892" s="396">
        <v>1</v>
      </c>
      <c r="H2892" s="395">
        <v>69535.255999999994</v>
      </c>
      <c r="I2892" s="394">
        <v>65234.61</v>
      </c>
      <c r="J2892" s="394">
        <v>99336.08</v>
      </c>
      <c r="K2892" s="393" t="s">
        <v>1033</v>
      </c>
    </row>
    <row r="2893" spans="1:11" hidden="1" x14ac:dyDescent="0.3">
      <c r="A2893" s="397" t="s">
        <v>4948</v>
      </c>
      <c r="C2893" s="397" t="s">
        <v>1053</v>
      </c>
      <c r="D2893" s="397" t="s">
        <v>4947</v>
      </c>
      <c r="E2893" s="397" t="s">
        <v>4946</v>
      </c>
      <c r="F2893" s="397" t="s">
        <v>191</v>
      </c>
      <c r="G2893" s="396">
        <v>1</v>
      </c>
      <c r="H2893" s="395">
        <v>73728.487000000008</v>
      </c>
      <c r="I2893" s="394">
        <v>129.93</v>
      </c>
      <c r="J2893" s="394">
        <v>105326.41</v>
      </c>
      <c r="K2893" s="393" t="s">
        <v>1033</v>
      </c>
    </row>
    <row r="2894" spans="1:11" hidden="1" x14ac:dyDescent="0.3">
      <c r="A2894" s="397" t="s">
        <v>4889</v>
      </c>
      <c r="C2894" s="397" t="s">
        <v>1053</v>
      </c>
      <c r="D2894" s="397" t="s">
        <v>4888</v>
      </c>
      <c r="E2894" s="397" t="s">
        <v>4887</v>
      </c>
      <c r="F2894" s="397" t="s">
        <v>191</v>
      </c>
      <c r="G2894" s="396">
        <v>1</v>
      </c>
      <c r="H2894" s="395">
        <v>28498.532999999999</v>
      </c>
      <c r="I2894" s="394">
        <v>193.28</v>
      </c>
      <c r="J2894" s="394">
        <v>40712.19</v>
      </c>
      <c r="K2894" s="393" t="s">
        <v>1033</v>
      </c>
    </row>
    <row r="2895" spans="1:11" hidden="1" x14ac:dyDescent="0.3">
      <c r="A2895" s="397" t="s">
        <v>4732</v>
      </c>
      <c r="C2895" s="397" t="s">
        <v>1053</v>
      </c>
      <c r="D2895" s="397" t="s">
        <v>4731</v>
      </c>
      <c r="E2895" s="397" t="s">
        <v>4730</v>
      </c>
      <c r="F2895" s="397" t="s">
        <v>191</v>
      </c>
      <c r="G2895" s="396">
        <v>6</v>
      </c>
      <c r="H2895" s="395">
        <v>8431.6049999999996</v>
      </c>
      <c r="I2895" s="394">
        <v>8048.29</v>
      </c>
      <c r="J2895" s="394">
        <v>12045.15</v>
      </c>
      <c r="K2895" s="393" t="s">
        <v>1033</v>
      </c>
    </row>
    <row r="2896" spans="1:11" hidden="1" x14ac:dyDescent="0.3">
      <c r="A2896" s="397" t="s">
        <v>4726</v>
      </c>
      <c r="C2896" s="397" t="s">
        <v>1053</v>
      </c>
      <c r="D2896" s="397" t="s">
        <v>4725</v>
      </c>
      <c r="E2896" s="397" t="s">
        <v>4722</v>
      </c>
      <c r="F2896" s="397" t="s">
        <v>191</v>
      </c>
      <c r="G2896" s="396">
        <v>1</v>
      </c>
      <c r="H2896" s="395">
        <v>222068.77000000002</v>
      </c>
      <c r="I2896" s="394">
        <v>13033.54</v>
      </c>
      <c r="J2896" s="394">
        <v>317241.09999999998</v>
      </c>
      <c r="K2896" s="393" t="s">
        <v>1033</v>
      </c>
    </row>
    <row r="2897" spans="1:11" hidden="1" x14ac:dyDescent="0.3">
      <c r="A2897" s="397" t="s">
        <v>4729</v>
      </c>
      <c r="C2897" s="397" t="s">
        <v>1053</v>
      </c>
      <c r="D2897" s="397" t="s">
        <v>4728</v>
      </c>
      <c r="E2897" s="397" t="s">
        <v>4727</v>
      </c>
      <c r="F2897" s="397" t="s">
        <v>191</v>
      </c>
      <c r="G2897" s="396">
        <v>1</v>
      </c>
      <c r="H2897" s="395">
        <v>282320.61900000001</v>
      </c>
      <c r="I2897" s="394">
        <v>265234.58</v>
      </c>
      <c r="J2897" s="394">
        <v>403315.17</v>
      </c>
      <c r="K2897" s="393" t="s">
        <v>1033</v>
      </c>
    </row>
    <row r="2898" spans="1:11" hidden="1" x14ac:dyDescent="0.3">
      <c r="A2898" s="397" t="s">
        <v>1129</v>
      </c>
      <c r="C2898" s="397" t="s">
        <v>1034</v>
      </c>
      <c r="D2898" s="397" t="s">
        <v>1128</v>
      </c>
      <c r="E2898" s="397" t="s">
        <v>1127</v>
      </c>
      <c r="F2898" s="397" t="s">
        <v>416</v>
      </c>
      <c r="G2898" s="396">
        <v>2</v>
      </c>
      <c r="H2898" s="395">
        <v>67.580100000000002</v>
      </c>
      <c r="I2898" s="394">
        <v>67.58</v>
      </c>
      <c r="J2898" s="394">
        <v>107.27</v>
      </c>
      <c r="K2898" s="393" t="s">
        <v>1033</v>
      </c>
    </row>
    <row r="2899" spans="1:11" hidden="1" x14ac:dyDescent="0.3">
      <c r="A2899" s="397" t="s">
        <v>1126</v>
      </c>
      <c r="C2899" s="397" t="s">
        <v>1034</v>
      </c>
      <c r="D2899" s="397" t="s">
        <v>1125</v>
      </c>
      <c r="E2899" s="397" t="s">
        <v>1124</v>
      </c>
      <c r="F2899" s="397" t="s">
        <v>416</v>
      </c>
      <c r="G2899" s="396">
        <v>3</v>
      </c>
      <c r="H2899" s="395">
        <v>120.65130000000001</v>
      </c>
      <c r="I2899" s="394">
        <v>120.65</v>
      </c>
      <c r="J2899" s="394">
        <v>191.51</v>
      </c>
      <c r="K2899" s="393" t="s">
        <v>1033</v>
      </c>
    </row>
    <row r="2900" spans="1:11" hidden="1" x14ac:dyDescent="0.3">
      <c r="A2900" s="397" t="s">
        <v>4735</v>
      </c>
      <c r="C2900" s="397" t="s">
        <v>1053</v>
      </c>
      <c r="D2900" s="397" t="s">
        <v>4734</v>
      </c>
      <c r="E2900" s="397" t="s">
        <v>4733</v>
      </c>
      <c r="F2900" s="397" t="s">
        <v>191</v>
      </c>
      <c r="G2900" s="396">
        <v>1</v>
      </c>
      <c r="H2900" s="395">
        <v>967753.77300000004</v>
      </c>
      <c r="I2900" s="394">
        <v>193673.12</v>
      </c>
      <c r="J2900" s="394">
        <v>1382505.3900000001</v>
      </c>
      <c r="K2900" s="393" t="s">
        <v>1033</v>
      </c>
    </row>
    <row r="2901" spans="1:11" hidden="1" x14ac:dyDescent="0.3">
      <c r="A2901" s="397" t="s">
        <v>4724</v>
      </c>
      <c r="C2901" s="397" t="s">
        <v>1053</v>
      </c>
      <c r="D2901" s="397" t="s">
        <v>4723</v>
      </c>
      <c r="E2901" s="397" t="s">
        <v>4722</v>
      </c>
      <c r="F2901" s="397" t="s">
        <v>191</v>
      </c>
      <c r="G2901" s="396">
        <v>1</v>
      </c>
      <c r="H2901" s="395">
        <v>272439.39799999999</v>
      </c>
      <c r="I2901" s="394">
        <v>57825.630000000005</v>
      </c>
      <c r="J2901" s="394">
        <v>389199.14</v>
      </c>
      <c r="K2901" s="393" t="s">
        <v>1033</v>
      </c>
    </row>
    <row r="2902" spans="1:11" hidden="1" x14ac:dyDescent="0.3">
      <c r="A2902" s="397" t="s">
        <v>1081</v>
      </c>
      <c r="C2902" s="397" t="s">
        <v>1034</v>
      </c>
      <c r="D2902" s="397" t="s">
        <v>1080</v>
      </c>
      <c r="E2902" s="397" t="s">
        <v>1079</v>
      </c>
      <c r="F2902" s="397" t="s">
        <v>416</v>
      </c>
      <c r="G2902" s="396">
        <v>1</v>
      </c>
      <c r="H2902" s="395">
        <v>11950.001000000002</v>
      </c>
      <c r="I2902" s="394">
        <v>11950</v>
      </c>
      <c r="J2902" s="394">
        <v>17071.43</v>
      </c>
      <c r="K2902" s="393" t="s">
        <v>1033</v>
      </c>
    </row>
    <row r="2903" spans="1:11" hidden="1" x14ac:dyDescent="0.3">
      <c r="A2903" s="397" t="s">
        <v>5795</v>
      </c>
      <c r="C2903" s="397" t="s">
        <v>1053</v>
      </c>
      <c r="D2903" s="397" t="s">
        <v>5794</v>
      </c>
      <c r="E2903" s="397" t="s">
        <v>5793</v>
      </c>
      <c r="F2903" s="397" t="s">
        <v>191</v>
      </c>
      <c r="G2903" s="396">
        <v>2</v>
      </c>
      <c r="H2903" s="395">
        <v>174956.32699999999</v>
      </c>
      <c r="I2903" s="394">
        <v>130865.33</v>
      </c>
      <c r="J2903" s="394">
        <v>249937.61000000002</v>
      </c>
      <c r="K2903" s="393" t="s">
        <v>1033</v>
      </c>
    </row>
    <row r="2904" spans="1:11" hidden="1" x14ac:dyDescent="0.3">
      <c r="A2904" s="397" t="s">
        <v>5274</v>
      </c>
      <c r="C2904" s="397" t="s">
        <v>1053</v>
      </c>
      <c r="D2904" s="397" t="s">
        <v>5273</v>
      </c>
      <c r="E2904" s="397" t="s">
        <v>5272</v>
      </c>
      <c r="F2904" s="397" t="s">
        <v>191</v>
      </c>
      <c r="G2904" s="396">
        <v>1</v>
      </c>
      <c r="H2904" s="395">
        <v>923765.99700000009</v>
      </c>
      <c r="I2904" s="394">
        <v>894442.86</v>
      </c>
      <c r="J2904" s="394">
        <v>1319665.71</v>
      </c>
      <c r="K2904" s="393" t="s">
        <v>1033</v>
      </c>
    </row>
    <row r="2905" spans="1:11" hidden="1" x14ac:dyDescent="0.3">
      <c r="A2905" s="397" t="s">
        <v>822</v>
      </c>
      <c r="C2905" s="397" t="s">
        <v>1053</v>
      </c>
      <c r="D2905" s="397" t="s">
        <v>197</v>
      </c>
      <c r="E2905" s="397" t="s">
        <v>196</v>
      </c>
      <c r="F2905" s="397" t="s">
        <v>191</v>
      </c>
      <c r="G2905" s="396">
        <v>5</v>
      </c>
      <c r="H2905" s="395">
        <v>233063.348</v>
      </c>
      <c r="I2905" s="394">
        <v>228807.62</v>
      </c>
      <c r="J2905" s="394">
        <v>332947.64</v>
      </c>
      <c r="K2905" s="393" t="s">
        <v>1033</v>
      </c>
    </row>
    <row r="2906" spans="1:11" hidden="1" x14ac:dyDescent="0.3">
      <c r="A2906" s="397" t="s">
        <v>5260</v>
      </c>
      <c r="C2906" s="397" t="s">
        <v>1053</v>
      </c>
      <c r="D2906" s="397" t="s">
        <v>5259</v>
      </c>
      <c r="E2906" s="397" t="s">
        <v>610</v>
      </c>
      <c r="F2906" s="397" t="s">
        <v>191</v>
      </c>
      <c r="G2906" s="396">
        <v>1</v>
      </c>
      <c r="H2906" s="395">
        <v>574564.43799999997</v>
      </c>
      <c r="I2906" s="394">
        <v>550808.68000000005</v>
      </c>
      <c r="J2906" s="394">
        <v>820806.34</v>
      </c>
      <c r="K2906" s="393" t="s">
        <v>1033</v>
      </c>
    </row>
    <row r="2907" spans="1:11" hidden="1" x14ac:dyDescent="0.3">
      <c r="A2907" s="397" t="s">
        <v>5241</v>
      </c>
      <c r="C2907" s="397" t="s">
        <v>1053</v>
      </c>
      <c r="D2907" s="397" t="s">
        <v>5240</v>
      </c>
      <c r="E2907" s="397" t="s">
        <v>610</v>
      </c>
      <c r="F2907" s="397" t="s">
        <v>191</v>
      </c>
      <c r="G2907" s="396">
        <v>2</v>
      </c>
      <c r="H2907" s="395">
        <v>638701.22400000005</v>
      </c>
      <c r="I2907" s="394">
        <v>26827.21</v>
      </c>
      <c r="J2907" s="394">
        <v>912430.32000000007</v>
      </c>
      <c r="K2907" s="393" t="s">
        <v>1033</v>
      </c>
    </row>
    <row r="2908" spans="1:11" hidden="1" x14ac:dyDescent="0.3">
      <c r="A2908" s="397" t="s">
        <v>5252</v>
      </c>
      <c r="C2908" s="397" t="s">
        <v>1053</v>
      </c>
      <c r="D2908" s="397" t="s">
        <v>5251</v>
      </c>
      <c r="E2908" s="397" t="s">
        <v>610</v>
      </c>
      <c r="F2908" s="397" t="s">
        <v>191</v>
      </c>
      <c r="G2908" s="396">
        <v>1</v>
      </c>
      <c r="H2908" s="395">
        <v>400294.62900000002</v>
      </c>
      <c r="I2908" s="394">
        <v>203635.71</v>
      </c>
      <c r="J2908" s="394">
        <v>571849.47</v>
      </c>
      <c r="K2908" s="393" t="s">
        <v>1033</v>
      </c>
    </row>
    <row r="2909" spans="1:11" hidden="1" x14ac:dyDescent="0.3">
      <c r="A2909" s="397" t="s">
        <v>5262</v>
      </c>
      <c r="C2909" s="397" t="s">
        <v>1053</v>
      </c>
      <c r="D2909" s="397" t="s">
        <v>5261</v>
      </c>
      <c r="E2909" s="397" t="s">
        <v>610</v>
      </c>
      <c r="F2909" s="397" t="s">
        <v>191</v>
      </c>
      <c r="G2909" s="396">
        <v>1</v>
      </c>
      <c r="H2909" s="395">
        <v>546769.25100000005</v>
      </c>
      <c r="I2909" s="394">
        <v>529584.93000000005</v>
      </c>
      <c r="J2909" s="394">
        <v>781098.93</v>
      </c>
      <c r="K2909" s="393" t="s">
        <v>1033</v>
      </c>
    </row>
    <row r="2910" spans="1:11" hidden="1" x14ac:dyDescent="0.3">
      <c r="A2910" s="397" t="s">
        <v>5264</v>
      </c>
      <c r="C2910" s="397" t="s">
        <v>1053</v>
      </c>
      <c r="D2910" s="397" t="s">
        <v>5263</v>
      </c>
      <c r="E2910" s="397" t="s">
        <v>610</v>
      </c>
      <c r="F2910" s="397" t="s">
        <v>191</v>
      </c>
      <c r="G2910" s="396">
        <v>1</v>
      </c>
      <c r="H2910" s="395">
        <v>889968.08600000001</v>
      </c>
      <c r="I2910" s="394">
        <v>853201.19000000006</v>
      </c>
      <c r="J2910" s="394">
        <v>1271382.98</v>
      </c>
      <c r="K2910" s="393" t="s">
        <v>1033</v>
      </c>
    </row>
    <row r="2911" spans="1:11" hidden="1" x14ac:dyDescent="0.3">
      <c r="A2911" s="397" t="s">
        <v>5256</v>
      </c>
      <c r="C2911" s="397" t="s">
        <v>1053</v>
      </c>
      <c r="D2911" s="397" t="s">
        <v>5255</v>
      </c>
      <c r="E2911" s="397" t="s">
        <v>610</v>
      </c>
      <c r="F2911" s="397" t="s">
        <v>191</v>
      </c>
      <c r="G2911" s="396">
        <v>1</v>
      </c>
      <c r="H2911" s="395">
        <v>293436.38099999999</v>
      </c>
      <c r="I2911" s="394">
        <v>281030.15999999997</v>
      </c>
      <c r="J2911" s="394">
        <v>419194.83</v>
      </c>
      <c r="K2911" s="393" t="s">
        <v>1033</v>
      </c>
    </row>
    <row r="2912" spans="1:11" hidden="1" x14ac:dyDescent="0.3">
      <c r="A2912" s="397" t="s">
        <v>5258</v>
      </c>
      <c r="C2912" s="397" t="s">
        <v>1053</v>
      </c>
      <c r="D2912" s="397" t="s">
        <v>5257</v>
      </c>
      <c r="E2912" s="397" t="s">
        <v>610</v>
      </c>
      <c r="F2912" s="397" t="s">
        <v>191</v>
      </c>
      <c r="G2912" s="396">
        <v>1</v>
      </c>
      <c r="H2912" s="395">
        <v>508324.48799999995</v>
      </c>
      <c r="I2912" s="394">
        <v>57154.73</v>
      </c>
      <c r="J2912" s="394">
        <v>726177.84</v>
      </c>
      <c r="K2912" s="393" t="s">
        <v>1033</v>
      </c>
    </row>
    <row r="2913" spans="1:11" hidden="1" x14ac:dyDescent="0.3">
      <c r="A2913" s="397" t="s">
        <v>5254</v>
      </c>
      <c r="C2913" s="397" t="s">
        <v>1053</v>
      </c>
      <c r="D2913" s="397" t="s">
        <v>5253</v>
      </c>
      <c r="E2913" s="397" t="s">
        <v>610</v>
      </c>
      <c r="F2913" s="397" t="s">
        <v>191</v>
      </c>
      <c r="G2913" s="396">
        <v>1</v>
      </c>
      <c r="H2913" s="395">
        <v>318670.38</v>
      </c>
      <c r="I2913" s="394">
        <v>12241.99</v>
      </c>
      <c r="J2913" s="394">
        <v>455243.4</v>
      </c>
      <c r="K2913" s="393" t="s">
        <v>1033</v>
      </c>
    </row>
    <row r="2914" spans="1:11" hidden="1" x14ac:dyDescent="0.3">
      <c r="A2914" s="397" t="s">
        <v>5070</v>
      </c>
      <c r="C2914" s="397" t="s">
        <v>1053</v>
      </c>
      <c r="D2914" s="397" t="s">
        <v>5069</v>
      </c>
      <c r="E2914" s="397" t="s">
        <v>612</v>
      </c>
      <c r="F2914" s="397" t="s">
        <v>191</v>
      </c>
      <c r="G2914" s="396">
        <v>1</v>
      </c>
      <c r="H2914" s="395">
        <v>301491.239</v>
      </c>
      <c r="I2914" s="394">
        <v>4053.87</v>
      </c>
      <c r="J2914" s="394">
        <v>430701.77</v>
      </c>
      <c r="K2914" s="393" t="s">
        <v>1033</v>
      </c>
    </row>
    <row r="2915" spans="1:11" hidden="1" x14ac:dyDescent="0.3">
      <c r="A2915" s="397" t="s">
        <v>5271</v>
      </c>
      <c r="C2915" s="397" t="s">
        <v>1053</v>
      </c>
      <c r="D2915" s="397" t="s">
        <v>5270</v>
      </c>
      <c r="E2915" s="397" t="s">
        <v>610</v>
      </c>
      <c r="F2915" s="397" t="s">
        <v>191</v>
      </c>
      <c r="G2915" s="396">
        <v>2</v>
      </c>
      <c r="H2915" s="395">
        <v>841335.48800000001</v>
      </c>
      <c r="I2915" s="394">
        <v>837596.58000000007</v>
      </c>
      <c r="J2915" s="394">
        <v>1201907.8400000001</v>
      </c>
      <c r="K2915" s="393" t="s">
        <v>1033</v>
      </c>
    </row>
    <row r="2916" spans="1:11" hidden="1" x14ac:dyDescent="0.3">
      <c r="A2916" s="397" t="s">
        <v>5248</v>
      </c>
      <c r="C2916" s="397" t="s">
        <v>1053</v>
      </c>
      <c r="D2916" s="397" t="s">
        <v>5247</v>
      </c>
      <c r="E2916" s="397" t="s">
        <v>5246</v>
      </c>
      <c r="F2916" s="397" t="s">
        <v>191</v>
      </c>
      <c r="G2916" s="396">
        <v>1</v>
      </c>
      <c r="H2916" s="395">
        <v>400294.62900000002</v>
      </c>
      <c r="I2916" s="394">
        <v>380432.22000000003</v>
      </c>
      <c r="J2916" s="394">
        <v>571849.47</v>
      </c>
      <c r="K2916" s="393" t="s">
        <v>1033</v>
      </c>
    </row>
    <row r="2917" spans="1:11" hidden="1" x14ac:dyDescent="0.3">
      <c r="A2917" s="397" t="s">
        <v>5245</v>
      </c>
      <c r="C2917" s="397" t="s">
        <v>1053</v>
      </c>
      <c r="D2917" s="397" t="s">
        <v>5244</v>
      </c>
      <c r="E2917" s="397" t="s">
        <v>610</v>
      </c>
      <c r="F2917" s="397" t="s">
        <v>191</v>
      </c>
      <c r="G2917" s="396">
        <v>1</v>
      </c>
      <c r="H2917" s="395">
        <v>652431.451</v>
      </c>
      <c r="I2917" s="394">
        <v>133129.87</v>
      </c>
      <c r="J2917" s="394">
        <v>932044.93</v>
      </c>
      <c r="K2917" s="393" t="s">
        <v>1033</v>
      </c>
    </row>
    <row r="2918" spans="1:11" hidden="1" x14ac:dyDescent="0.3">
      <c r="A2918" s="397" t="s">
        <v>821</v>
      </c>
      <c r="C2918" s="397" t="s">
        <v>1053</v>
      </c>
      <c r="D2918" s="397" t="s">
        <v>262</v>
      </c>
      <c r="E2918" s="397" t="s">
        <v>261</v>
      </c>
      <c r="F2918" s="397" t="s">
        <v>191</v>
      </c>
      <c r="G2918" s="396">
        <v>2</v>
      </c>
      <c r="H2918" s="395">
        <v>326559.016</v>
      </c>
      <c r="I2918" s="394">
        <v>306599.2</v>
      </c>
      <c r="J2918" s="394">
        <v>466512.88</v>
      </c>
      <c r="K2918" s="393" t="s">
        <v>1033</v>
      </c>
    </row>
    <row r="2919" spans="1:11" hidden="1" x14ac:dyDescent="0.3">
      <c r="A2919" s="397" t="s">
        <v>5250</v>
      </c>
      <c r="C2919" s="397" t="s">
        <v>1053</v>
      </c>
      <c r="D2919" s="397" t="s">
        <v>5249</v>
      </c>
      <c r="E2919" s="397" t="s">
        <v>610</v>
      </c>
      <c r="F2919" s="397" t="s">
        <v>191</v>
      </c>
      <c r="G2919" s="396">
        <v>1</v>
      </c>
      <c r="H2919" s="395">
        <v>400294.62900000002</v>
      </c>
      <c r="I2919" s="394">
        <v>392993.79000000004</v>
      </c>
      <c r="J2919" s="394">
        <v>571849.47</v>
      </c>
      <c r="K2919" s="393" t="s">
        <v>1033</v>
      </c>
    </row>
    <row r="2920" spans="1:11" hidden="1" x14ac:dyDescent="0.3">
      <c r="A2920" s="397" t="s">
        <v>5267</v>
      </c>
      <c r="C2920" s="397" t="s">
        <v>1053</v>
      </c>
      <c r="D2920" s="397" t="s">
        <v>5266</v>
      </c>
      <c r="E2920" s="397" t="s">
        <v>5265</v>
      </c>
      <c r="F2920" s="397" t="s">
        <v>191</v>
      </c>
      <c r="G2920" s="396">
        <v>1</v>
      </c>
      <c r="H2920" s="395">
        <v>846394.48599999992</v>
      </c>
      <c r="I2920" s="394">
        <v>545889.06999999995</v>
      </c>
      <c r="J2920" s="394">
        <v>1209134.98</v>
      </c>
      <c r="K2920" s="393" t="s">
        <v>1033</v>
      </c>
    </row>
    <row r="2921" spans="1:11" hidden="1" x14ac:dyDescent="0.3">
      <c r="A2921" s="397" t="s">
        <v>5239</v>
      </c>
      <c r="C2921" s="397" t="s">
        <v>1053</v>
      </c>
      <c r="D2921" s="397" t="s">
        <v>5238</v>
      </c>
      <c r="E2921" s="397" t="s">
        <v>5237</v>
      </c>
      <c r="F2921" s="397" t="s">
        <v>191</v>
      </c>
      <c r="G2921" s="396">
        <v>1</v>
      </c>
      <c r="H2921" s="395">
        <v>822867.76599999995</v>
      </c>
      <c r="I2921" s="394">
        <v>167798</v>
      </c>
      <c r="J2921" s="394">
        <v>1175525.3799999999</v>
      </c>
      <c r="K2921" s="393" t="s">
        <v>1033</v>
      </c>
    </row>
    <row r="2922" spans="1:11" hidden="1" x14ac:dyDescent="0.3">
      <c r="A2922" s="397" t="s">
        <v>5473</v>
      </c>
      <c r="C2922" s="397" t="s">
        <v>1053</v>
      </c>
      <c r="D2922" s="397" t="s">
        <v>5472</v>
      </c>
      <c r="E2922" s="397" t="s">
        <v>5461</v>
      </c>
      <c r="F2922" s="397" t="s">
        <v>191</v>
      </c>
      <c r="G2922" s="396">
        <v>1</v>
      </c>
      <c r="H2922" s="395">
        <v>256890.2</v>
      </c>
      <c r="I2922" s="394">
        <v>190327.01</v>
      </c>
      <c r="J2922" s="394">
        <v>366986</v>
      </c>
      <c r="K2922" s="393" t="s">
        <v>1033</v>
      </c>
    </row>
    <row r="2923" spans="1:11" hidden="1" x14ac:dyDescent="0.3">
      <c r="A2923" s="397" t="s">
        <v>5468</v>
      </c>
      <c r="C2923" s="397" t="s">
        <v>1053</v>
      </c>
      <c r="D2923" s="397" t="s">
        <v>5467</v>
      </c>
      <c r="E2923" s="397" t="s">
        <v>5429</v>
      </c>
      <c r="F2923" s="397" t="s">
        <v>191</v>
      </c>
      <c r="G2923" s="396">
        <v>1</v>
      </c>
      <c r="H2923" s="395">
        <v>279222.23700000002</v>
      </c>
      <c r="I2923" s="394">
        <v>263904.03000000003</v>
      </c>
      <c r="J2923" s="394">
        <v>398888.91000000003</v>
      </c>
      <c r="K2923" s="393" t="s">
        <v>1033</v>
      </c>
    </row>
    <row r="2924" spans="1:11" hidden="1" x14ac:dyDescent="0.3">
      <c r="A2924" s="397" t="s">
        <v>5431</v>
      </c>
      <c r="C2924" s="397" t="s">
        <v>1053</v>
      </c>
      <c r="D2924" s="397" t="s">
        <v>5430</v>
      </c>
      <c r="E2924" s="397" t="s">
        <v>5429</v>
      </c>
      <c r="F2924" s="397" t="s">
        <v>191</v>
      </c>
      <c r="G2924" s="396">
        <v>1</v>
      </c>
      <c r="H2924" s="395">
        <v>257050.19899999999</v>
      </c>
      <c r="I2924" s="394">
        <v>9401.82</v>
      </c>
      <c r="J2924" s="394">
        <v>367214.57</v>
      </c>
      <c r="K2924" s="393" t="s">
        <v>1033</v>
      </c>
    </row>
    <row r="2925" spans="1:11" hidden="1" x14ac:dyDescent="0.3">
      <c r="A2925" s="397" t="s">
        <v>5422</v>
      </c>
      <c r="C2925" s="397" t="s">
        <v>1053</v>
      </c>
      <c r="D2925" s="397" t="s">
        <v>5421</v>
      </c>
      <c r="E2925" s="397" t="s">
        <v>5420</v>
      </c>
      <c r="F2925" s="397" t="s">
        <v>191</v>
      </c>
      <c r="G2925" s="396">
        <v>1</v>
      </c>
      <c r="H2925" s="395">
        <v>236674.40300000002</v>
      </c>
      <c r="I2925" s="394">
        <v>229202.63</v>
      </c>
      <c r="J2925" s="394">
        <v>338106.29</v>
      </c>
      <c r="K2925" s="393" t="s">
        <v>1033</v>
      </c>
    </row>
    <row r="2926" spans="1:11" hidden="1" x14ac:dyDescent="0.3">
      <c r="A2926" s="397" t="s">
        <v>5011</v>
      </c>
      <c r="C2926" s="397" t="s">
        <v>1053</v>
      </c>
      <c r="D2926" s="397" t="s">
        <v>5010</v>
      </c>
      <c r="E2926" s="397" t="s">
        <v>5009</v>
      </c>
      <c r="F2926" s="397" t="s">
        <v>191</v>
      </c>
      <c r="G2926" s="396">
        <v>1</v>
      </c>
      <c r="H2926" s="395">
        <v>377916.58799999999</v>
      </c>
      <c r="I2926" s="394">
        <v>40220.879999999997</v>
      </c>
      <c r="J2926" s="394">
        <v>539880.84</v>
      </c>
      <c r="K2926" s="393" t="s">
        <v>1033</v>
      </c>
    </row>
    <row r="2927" spans="1:11" hidden="1" x14ac:dyDescent="0.3">
      <c r="A2927" s="397" t="s">
        <v>5156</v>
      </c>
      <c r="C2927" s="397" t="s">
        <v>1053</v>
      </c>
      <c r="D2927" s="397" t="s">
        <v>5155</v>
      </c>
      <c r="E2927" s="397" t="s">
        <v>5154</v>
      </c>
      <c r="F2927" s="397" t="s">
        <v>191</v>
      </c>
      <c r="G2927" s="396">
        <v>1</v>
      </c>
      <c r="H2927" s="395">
        <v>726567.08600000001</v>
      </c>
      <c r="I2927" s="394">
        <v>82603.399999999994</v>
      </c>
      <c r="J2927" s="394">
        <v>1037952.98</v>
      </c>
      <c r="K2927" s="393" t="s">
        <v>1033</v>
      </c>
    </row>
    <row r="2928" spans="1:11" hidden="1" x14ac:dyDescent="0.3">
      <c r="A2928" s="397" t="s">
        <v>5027</v>
      </c>
      <c r="C2928" s="397" t="s">
        <v>1053</v>
      </c>
      <c r="D2928" s="397" t="s">
        <v>5026</v>
      </c>
      <c r="E2928" s="397" t="s">
        <v>5025</v>
      </c>
      <c r="F2928" s="397" t="s">
        <v>191</v>
      </c>
      <c r="G2928" s="396">
        <v>1</v>
      </c>
      <c r="H2928" s="395">
        <v>1054163.3970000001</v>
      </c>
      <c r="I2928" s="394">
        <v>623500.55000000005</v>
      </c>
      <c r="J2928" s="394">
        <v>1505947.71</v>
      </c>
      <c r="K2928" s="393" t="s">
        <v>1033</v>
      </c>
    </row>
    <row r="2929" spans="1:12" hidden="1" x14ac:dyDescent="0.3">
      <c r="A2929" s="397" t="s">
        <v>5554</v>
      </c>
      <c r="C2929" s="397" t="s">
        <v>1053</v>
      </c>
      <c r="D2929" s="397" t="s">
        <v>5553</v>
      </c>
      <c r="E2929" s="397" t="s">
        <v>5552</v>
      </c>
      <c r="F2929" s="397" t="s">
        <v>191</v>
      </c>
      <c r="G2929" s="396">
        <v>1</v>
      </c>
      <c r="H2929" s="395">
        <v>603629.397</v>
      </c>
      <c r="I2929" s="394">
        <v>295985.38</v>
      </c>
      <c r="J2929" s="394">
        <v>862327.71</v>
      </c>
      <c r="K2929" s="393" t="s">
        <v>1033</v>
      </c>
    </row>
    <row r="2930" spans="1:12" hidden="1" x14ac:dyDescent="0.3">
      <c r="A2930" s="397" t="s">
        <v>5471</v>
      </c>
      <c r="C2930" s="397" t="s">
        <v>1053</v>
      </c>
      <c r="D2930" s="397" t="s">
        <v>5470</v>
      </c>
      <c r="E2930" s="397" t="s">
        <v>5469</v>
      </c>
      <c r="F2930" s="397" t="s">
        <v>191</v>
      </c>
      <c r="G2930" s="396">
        <v>1</v>
      </c>
      <c r="H2930" s="395">
        <v>421362.76700000005</v>
      </c>
      <c r="I2930" s="394">
        <v>161091.4</v>
      </c>
      <c r="J2930" s="394">
        <v>601946.81000000006</v>
      </c>
      <c r="K2930" s="393" t="s">
        <v>1033</v>
      </c>
    </row>
    <row r="2931" spans="1:12" hidden="1" x14ac:dyDescent="0.3">
      <c r="A2931" s="397" t="s">
        <v>5437</v>
      </c>
      <c r="C2931" s="397" t="s">
        <v>1053</v>
      </c>
      <c r="D2931" s="397" t="s">
        <v>5436</v>
      </c>
      <c r="E2931" s="397" t="s">
        <v>5435</v>
      </c>
      <c r="F2931" s="397" t="s">
        <v>191</v>
      </c>
      <c r="G2931" s="396">
        <v>1</v>
      </c>
      <c r="H2931" s="395">
        <v>241370.19200000001</v>
      </c>
      <c r="I2931" s="394">
        <v>11914.54</v>
      </c>
      <c r="J2931" s="394">
        <v>344814.56</v>
      </c>
      <c r="K2931" s="393" t="s">
        <v>1033</v>
      </c>
    </row>
    <row r="2932" spans="1:12" hidden="1" x14ac:dyDescent="0.3">
      <c r="A2932" s="397" t="s">
        <v>5434</v>
      </c>
      <c r="C2932" s="397" t="s">
        <v>1053</v>
      </c>
      <c r="D2932" s="397" t="s">
        <v>5433</v>
      </c>
      <c r="E2932" s="397" t="s">
        <v>5432</v>
      </c>
      <c r="F2932" s="397" t="s">
        <v>191</v>
      </c>
      <c r="G2932" s="396">
        <v>1</v>
      </c>
      <c r="H2932" s="395">
        <v>236401.459</v>
      </c>
      <c r="I2932" s="394">
        <v>226713.65</v>
      </c>
      <c r="J2932" s="394">
        <v>337716.37</v>
      </c>
      <c r="K2932" s="393" t="s">
        <v>1033</v>
      </c>
    </row>
    <row r="2933" spans="1:12" hidden="1" x14ac:dyDescent="0.3">
      <c r="A2933" s="397" t="s">
        <v>5443</v>
      </c>
      <c r="C2933" s="397" t="s">
        <v>1053</v>
      </c>
      <c r="D2933" s="397" t="s">
        <v>5442</v>
      </c>
      <c r="E2933" s="397" t="s">
        <v>5441</v>
      </c>
      <c r="F2933" s="397" t="s">
        <v>191</v>
      </c>
      <c r="G2933" s="396">
        <v>1</v>
      </c>
      <c r="H2933" s="395">
        <v>410516.26700000005</v>
      </c>
      <c r="I2933" s="394">
        <v>14186.59</v>
      </c>
      <c r="J2933" s="394">
        <v>586451.81000000006</v>
      </c>
      <c r="K2933" s="393" t="s">
        <v>1033</v>
      </c>
    </row>
    <row r="2934" spans="1:12" hidden="1" x14ac:dyDescent="0.3">
      <c r="A2934" s="397" t="s">
        <v>5428</v>
      </c>
      <c r="C2934" s="397" t="s">
        <v>1053</v>
      </c>
      <c r="D2934" s="397" t="s">
        <v>5427</v>
      </c>
      <c r="E2934" s="397" t="s">
        <v>5426</v>
      </c>
      <c r="F2934" s="397" t="s">
        <v>191</v>
      </c>
      <c r="G2934" s="396">
        <v>1</v>
      </c>
      <c r="H2934" s="395">
        <v>194672.247</v>
      </c>
      <c r="I2934" s="394">
        <v>147090.89000000001</v>
      </c>
      <c r="J2934" s="394">
        <v>278103.21000000002</v>
      </c>
      <c r="K2934" s="393" t="s">
        <v>1033</v>
      </c>
    </row>
    <row r="2935" spans="1:12" hidden="1" x14ac:dyDescent="0.3">
      <c r="A2935" s="397" t="s">
        <v>5015</v>
      </c>
      <c r="C2935" s="397" t="s">
        <v>1053</v>
      </c>
      <c r="D2935" s="397" t="s">
        <v>5593</v>
      </c>
      <c r="E2935" s="397" t="s">
        <v>5592</v>
      </c>
      <c r="F2935" s="397" t="s">
        <v>191</v>
      </c>
      <c r="G2935" s="396">
        <v>1</v>
      </c>
      <c r="H2935" s="395">
        <v>603562.4</v>
      </c>
      <c r="I2935" s="394">
        <v>413157.69</v>
      </c>
      <c r="J2935" s="394">
        <v>862232</v>
      </c>
      <c r="K2935" s="393" t="s">
        <v>1033</v>
      </c>
    </row>
    <row r="2936" spans="1:12" hidden="1" x14ac:dyDescent="0.3">
      <c r="A2936" s="397" t="s">
        <v>5176</v>
      </c>
      <c r="C2936" s="397" t="s">
        <v>1053</v>
      </c>
      <c r="D2936" s="397" t="s">
        <v>5175</v>
      </c>
      <c r="E2936" s="397" t="s">
        <v>5174</v>
      </c>
      <c r="F2936" s="397" t="s">
        <v>191</v>
      </c>
      <c r="G2936" s="396">
        <v>1</v>
      </c>
      <c r="H2936" s="395">
        <v>203125.03399999999</v>
      </c>
      <c r="I2936" s="394">
        <v>11906.300000000001</v>
      </c>
      <c r="J2936" s="394">
        <v>290178.62</v>
      </c>
      <c r="K2936" s="393" t="s">
        <v>1033</v>
      </c>
    </row>
    <row r="2937" spans="1:12" hidden="1" x14ac:dyDescent="0.3">
      <c r="A2937" s="397" t="s">
        <v>5063</v>
      </c>
      <c r="C2937" s="397" t="s">
        <v>1053</v>
      </c>
      <c r="D2937" s="397" t="s">
        <v>5062</v>
      </c>
      <c r="E2937" s="397" t="s">
        <v>5061</v>
      </c>
      <c r="F2937" s="397" t="s">
        <v>191</v>
      </c>
      <c r="G2937" s="396">
        <v>3</v>
      </c>
      <c r="H2937" s="395">
        <v>710061.59700000007</v>
      </c>
      <c r="I2937" s="394">
        <v>81589.67</v>
      </c>
      <c r="J2937" s="394">
        <v>1014373.7100000001</v>
      </c>
      <c r="K2937" s="393" t="s">
        <v>1033</v>
      </c>
    </row>
    <row r="2938" spans="1:12" hidden="1" x14ac:dyDescent="0.3">
      <c r="A2938" s="397" t="s">
        <v>5159</v>
      </c>
      <c r="C2938" s="397" t="s">
        <v>1053</v>
      </c>
      <c r="D2938" s="397" t="s">
        <v>5158</v>
      </c>
      <c r="E2938" s="397" t="s">
        <v>5157</v>
      </c>
      <c r="F2938" s="397" t="s">
        <v>191</v>
      </c>
      <c r="G2938" s="396">
        <v>1</v>
      </c>
      <c r="H2938" s="395">
        <v>1004046.1900000001</v>
      </c>
      <c r="I2938" s="394">
        <v>37999.24</v>
      </c>
      <c r="J2938" s="394">
        <v>1434351.7</v>
      </c>
      <c r="K2938" s="393" t="s">
        <v>1033</v>
      </c>
    </row>
    <row r="2939" spans="1:12" hidden="1" x14ac:dyDescent="0.3">
      <c r="A2939" s="397" t="s">
        <v>5008</v>
      </c>
      <c r="C2939" s="397" t="s">
        <v>1053</v>
      </c>
      <c r="D2939" s="397" t="s">
        <v>5007</v>
      </c>
      <c r="E2939" s="397" t="s">
        <v>5006</v>
      </c>
      <c r="F2939" s="397" t="s">
        <v>191</v>
      </c>
      <c r="G2939" s="396">
        <v>1</v>
      </c>
      <c r="H2939" s="395">
        <v>303417.12100000004</v>
      </c>
      <c r="I2939" s="394">
        <v>195339.36000000002</v>
      </c>
      <c r="J2939" s="394">
        <v>433453.03</v>
      </c>
      <c r="K2939" s="393" t="s">
        <v>1033</v>
      </c>
    </row>
    <row r="2940" spans="1:12" hidden="1" x14ac:dyDescent="0.3">
      <c r="A2940" s="397" t="s">
        <v>5014</v>
      </c>
      <c r="C2940" s="397" t="s">
        <v>1053</v>
      </c>
      <c r="D2940" s="397" t="s">
        <v>5029</v>
      </c>
      <c r="E2940" s="397" t="s">
        <v>5028</v>
      </c>
      <c r="F2940" s="397" t="s">
        <v>191</v>
      </c>
      <c r="G2940" s="396">
        <v>1</v>
      </c>
      <c r="H2940" s="395">
        <v>1054163.3970000001</v>
      </c>
      <c r="I2940" s="394">
        <v>872241.73</v>
      </c>
      <c r="J2940" s="394">
        <v>1505947.71</v>
      </c>
      <c r="K2940" s="393" t="s">
        <v>1033</v>
      </c>
    </row>
    <row r="2941" spans="1:12" hidden="1" x14ac:dyDescent="0.3">
      <c r="A2941" s="397" t="s">
        <v>5014</v>
      </c>
      <c r="C2941" s="397" t="s">
        <v>1053</v>
      </c>
      <c r="D2941" s="397" t="s">
        <v>5013</v>
      </c>
      <c r="E2941" s="397" t="s">
        <v>5012</v>
      </c>
      <c r="F2941" s="397" t="s">
        <v>191</v>
      </c>
      <c r="G2941" s="396">
        <v>1</v>
      </c>
      <c r="H2941" s="395">
        <v>645382.89199999999</v>
      </c>
      <c r="I2941" s="394">
        <v>647116.55000000005</v>
      </c>
      <c r="J2941" s="394">
        <v>921975.56</v>
      </c>
      <c r="K2941" s="393" t="s">
        <v>1033</v>
      </c>
    </row>
    <row r="2942" spans="1:12" hidden="1" x14ac:dyDescent="0.3">
      <c r="A2942" s="397" t="s">
        <v>5440</v>
      </c>
      <c r="C2942" s="397" t="s">
        <v>1053</v>
      </c>
      <c r="D2942" s="397" t="s">
        <v>5439</v>
      </c>
      <c r="E2942" s="397" t="s">
        <v>5438</v>
      </c>
      <c r="F2942" s="397" t="s">
        <v>191</v>
      </c>
      <c r="G2942" s="396">
        <v>1</v>
      </c>
      <c r="H2942" s="395">
        <v>189862.69399999999</v>
      </c>
      <c r="I2942" s="394">
        <v>143481.29</v>
      </c>
      <c r="J2942" s="394">
        <v>271232.42</v>
      </c>
      <c r="K2942" s="393" t="s">
        <v>1033</v>
      </c>
      <c r="L2942" s="395">
        <v>1</v>
      </c>
    </row>
    <row r="2943" spans="1:12" hidden="1" x14ac:dyDescent="0.3">
      <c r="A2943" s="397" t="s">
        <v>5425</v>
      </c>
      <c r="C2943" s="397" t="s">
        <v>1053</v>
      </c>
      <c r="D2943" s="397" t="s">
        <v>5424</v>
      </c>
      <c r="E2943" s="397" t="s">
        <v>5423</v>
      </c>
      <c r="F2943" s="397" t="s">
        <v>191</v>
      </c>
      <c r="G2943" s="396">
        <v>1</v>
      </c>
      <c r="H2943" s="395">
        <v>194672.247</v>
      </c>
      <c r="I2943" s="394">
        <v>1786.83</v>
      </c>
      <c r="J2943" s="394">
        <v>278103.21000000002</v>
      </c>
      <c r="K2943" s="393" t="s">
        <v>1033</v>
      </c>
    </row>
    <row r="2944" spans="1:12" hidden="1" x14ac:dyDescent="0.3">
      <c r="A2944" s="397" t="s">
        <v>5625</v>
      </c>
      <c r="C2944" s="397" t="s">
        <v>1053</v>
      </c>
      <c r="D2944" s="397" t="s">
        <v>5624</v>
      </c>
      <c r="E2944" s="397" t="s">
        <v>5623</v>
      </c>
      <c r="F2944" s="397" t="s">
        <v>191</v>
      </c>
      <c r="G2944" s="396">
        <v>2</v>
      </c>
      <c r="H2944" s="395">
        <v>157848.677</v>
      </c>
      <c r="I2944" s="394">
        <v>151200.78</v>
      </c>
      <c r="J2944" s="394">
        <v>225498.11000000002</v>
      </c>
      <c r="K2944" s="393" t="s">
        <v>1033</v>
      </c>
    </row>
    <row r="2945" spans="1:12" hidden="1" x14ac:dyDescent="0.3">
      <c r="A2945" s="397" t="s">
        <v>5541</v>
      </c>
      <c r="C2945" s="397" t="s">
        <v>1053</v>
      </c>
      <c r="D2945" s="397" t="s">
        <v>5540</v>
      </c>
      <c r="E2945" s="397" t="s">
        <v>5539</v>
      </c>
      <c r="F2945" s="397" t="s">
        <v>191</v>
      </c>
      <c r="G2945" s="396">
        <v>1</v>
      </c>
      <c r="H2945" s="395">
        <v>90740.131999999998</v>
      </c>
      <c r="I2945" s="394">
        <v>88258.59</v>
      </c>
      <c r="J2945" s="394">
        <v>129628.76000000001</v>
      </c>
      <c r="K2945" s="393" t="s">
        <v>1033</v>
      </c>
    </row>
    <row r="2946" spans="1:12" hidden="1" x14ac:dyDescent="0.3">
      <c r="A2946" s="397" t="s">
        <v>4530</v>
      </c>
      <c r="C2946" s="397" t="s">
        <v>1053</v>
      </c>
      <c r="D2946" s="397" t="s">
        <v>4529</v>
      </c>
      <c r="E2946" s="397" t="s">
        <v>4528</v>
      </c>
      <c r="F2946" s="397" t="s">
        <v>191</v>
      </c>
      <c r="G2946" s="396">
        <v>1</v>
      </c>
      <c r="H2946" s="395">
        <v>82057.584000000003</v>
      </c>
      <c r="I2946" s="394">
        <v>2014.71</v>
      </c>
      <c r="J2946" s="394">
        <v>117225.12</v>
      </c>
      <c r="K2946" s="393" t="s">
        <v>1033</v>
      </c>
    </row>
    <row r="2947" spans="1:12" hidden="1" x14ac:dyDescent="0.3">
      <c r="A2947" s="397" t="s">
        <v>4539</v>
      </c>
      <c r="C2947" s="397" t="s">
        <v>1053</v>
      </c>
      <c r="D2947" s="397" t="s">
        <v>4538</v>
      </c>
      <c r="E2947" s="397" t="s">
        <v>4537</v>
      </c>
      <c r="F2947" s="397" t="s">
        <v>191</v>
      </c>
      <c r="G2947" s="396">
        <v>1</v>
      </c>
      <c r="H2947" s="395">
        <v>48432.202000000005</v>
      </c>
      <c r="I2947" s="394">
        <v>1855.9</v>
      </c>
      <c r="J2947" s="394">
        <v>69188.86</v>
      </c>
      <c r="K2947" s="393" t="s">
        <v>1033</v>
      </c>
    </row>
    <row r="2948" spans="1:12" hidden="1" x14ac:dyDescent="0.3">
      <c r="A2948" s="397" t="s">
        <v>5591</v>
      </c>
      <c r="C2948" s="397" t="s">
        <v>1053</v>
      </c>
      <c r="D2948" s="397" t="s">
        <v>5590</v>
      </c>
      <c r="E2948" s="397" t="s">
        <v>5589</v>
      </c>
      <c r="F2948" s="397" t="s">
        <v>191</v>
      </c>
      <c r="G2948" s="396">
        <v>1</v>
      </c>
      <c r="H2948" s="395">
        <v>251291.943</v>
      </c>
      <c r="I2948" s="394">
        <v>250590.66</v>
      </c>
      <c r="J2948" s="394">
        <v>358988.49</v>
      </c>
      <c r="K2948" s="393" t="s">
        <v>1033</v>
      </c>
    </row>
    <row r="2949" spans="1:12" hidden="1" x14ac:dyDescent="0.3">
      <c r="A2949" s="397" t="s">
        <v>4536</v>
      </c>
      <c r="C2949" s="397" t="s">
        <v>1053</v>
      </c>
      <c r="D2949" s="397" t="s">
        <v>4535</v>
      </c>
      <c r="E2949" s="397" t="s">
        <v>4472</v>
      </c>
      <c r="F2949" s="397" t="s">
        <v>191</v>
      </c>
      <c r="G2949" s="396">
        <v>1</v>
      </c>
      <c r="H2949" s="395">
        <v>111731.25599999998</v>
      </c>
      <c r="I2949" s="394">
        <v>3499.53</v>
      </c>
      <c r="J2949" s="394">
        <v>159616.07999999999</v>
      </c>
      <c r="K2949" s="393" t="s">
        <v>1033</v>
      </c>
    </row>
    <row r="2950" spans="1:12" hidden="1" x14ac:dyDescent="0.3">
      <c r="A2950" s="397" t="s">
        <v>5639</v>
      </c>
      <c r="C2950" s="397" t="s">
        <v>1053</v>
      </c>
      <c r="D2950" s="397" t="s">
        <v>5638</v>
      </c>
      <c r="E2950" s="397" t="s">
        <v>606</v>
      </c>
      <c r="F2950" s="397" t="s">
        <v>191</v>
      </c>
      <c r="G2950" s="396">
        <v>1</v>
      </c>
      <c r="H2950" s="395">
        <v>100182.40400000001</v>
      </c>
      <c r="I2950" s="394">
        <v>93745.02</v>
      </c>
      <c r="J2950" s="394">
        <v>143117.72</v>
      </c>
      <c r="K2950" s="393" t="s">
        <v>1033</v>
      </c>
    </row>
    <row r="2951" spans="1:12" hidden="1" x14ac:dyDescent="0.3">
      <c r="A2951" s="397" t="s">
        <v>4477</v>
      </c>
      <c r="C2951" s="397" t="s">
        <v>1053</v>
      </c>
      <c r="D2951" s="397" t="s">
        <v>4476</v>
      </c>
      <c r="E2951" s="397" t="s">
        <v>4475</v>
      </c>
      <c r="F2951" s="397" t="s">
        <v>191</v>
      </c>
      <c r="G2951" s="396">
        <v>1</v>
      </c>
      <c r="H2951" s="395">
        <v>199910.91399999999</v>
      </c>
      <c r="I2951" s="394">
        <v>1574.79</v>
      </c>
      <c r="J2951" s="394">
        <v>285587.02</v>
      </c>
      <c r="K2951" s="393" t="s">
        <v>1033</v>
      </c>
    </row>
    <row r="2952" spans="1:12" hidden="1" x14ac:dyDescent="0.3">
      <c r="A2952" s="397" t="s">
        <v>4533</v>
      </c>
      <c r="C2952" s="397" t="s">
        <v>1053</v>
      </c>
      <c r="D2952" s="397" t="s">
        <v>4532</v>
      </c>
      <c r="E2952" s="397" t="s">
        <v>4531</v>
      </c>
      <c r="F2952" s="397" t="s">
        <v>191</v>
      </c>
      <c r="G2952" s="396">
        <v>6</v>
      </c>
      <c r="H2952" s="395">
        <v>124265.799</v>
      </c>
      <c r="I2952" s="394">
        <v>6612.62</v>
      </c>
      <c r="J2952" s="394">
        <v>177522.57</v>
      </c>
      <c r="K2952" s="393" t="s">
        <v>1033</v>
      </c>
    </row>
    <row r="2953" spans="1:12" hidden="1" x14ac:dyDescent="0.3">
      <c r="A2953" s="397" t="s">
        <v>6039</v>
      </c>
      <c r="C2953" s="397" t="s">
        <v>1053</v>
      </c>
      <c r="D2953" s="397" t="s">
        <v>6038</v>
      </c>
      <c r="E2953" s="397" t="s">
        <v>6037</v>
      </c>
      <c r="F2953" s="397" t="s">
        <v>191</v>
      </c>
      <c r="G2953" s="396">
        <v>1</v>
      </c>
      <c r="H2953" s="395">
        <v>127404.837</v>
      </c>
      <c r="I2953" s="394">
        <v>92801.09</v>
      </c>
      <c r="J2953" s="394">
        <v>182006.91</v>
      </c>
      <c r="K2953" s="393" t="s">
        <v>1033</v>
      </c>
    </row>
    <row r="2954" spans="1:12" hidden="1" x14ac:dyDescent="0.3">
      <c r="A2954" s="397" t="s">
        <v>6042</v>
      </c>
      <c r="C2954" s="397" t="s">
        <v>1053</v>
      </c>
      <c r="D2954" s="397" t="s">
        <v>6041</v>
      </c>
      <c r="E2954" s="397" t="s">
        <v>6040</v>
      </c>
      <c r="F2954" s="397" t="s">
        <v>191</v>
      </c>
      <c r="G2954" s="396">
        <v>1</v>
      </c>
      <c r="H2954" s="395">
        <v>315911.435</v>
      </c>
      <c r="I2954" s="394">
        <v>315004.38</v>
      </c>
      <c r="J2954" s="394">
        <v>451302.05</v>
      </c>
      <c r="K2954" s="393" t="s">
        <v>1033</v>
      </c>
      <c r="L2954" s="395">
        <v>-2</v>
      </c>
    </row>
    <row r="2955" spans="1:12" hidden="1" x14ac:dyDescent="0.3">
      <c r="A2955" s="397" t="s">
        <v>826</v>
      </c>
      <c r="C2955" s="397" t="s">
        <v>1053</v>
      </c>
      <c r="D2955" s="397" t="s">
        <v>6044</v>
      </c>
      <c r="E2955" s="397" t="s">
        <v>6043</v>
      </c>
      <c r="F2955" s="397" t="s">
        <v>191</v>
      </c>
      <c r="G2955" s="396">
        <v>1</v>
      </c>
      <c r="H2955" s="395">
        <v>343952.29399999999</v>
      </c>
      <c r="I2955" s="394">
        <v>313590.03000000003</v>
      </c>
      <c r="J2955" s="394">
        <v>491360.42</v>
      </c>
      <c r="K2955" s="393" t="s">
        <v>1033</v>
      </c>
    </row>
    <row r="2956" spans="1:12" hidden="1" x14ac:dyDescent="0.3">
      <c r="A2956" s="397" t="s">
        <v>826</v>
      </c>
      <c r="C2956" s="397" t="s">
        <v>1053</v>
      </c>
      <c r="D2956" s="397" t="s">
        <v>825</v>
      </c>
      <c r="E2956" s="397" t="s">
        <v>824</v>
      </c>
      <c r="F2956" s="397" t="s">
        <v>191</v>
      </c>
      <c r="G2956" s="396">
        <v>1</v>
      </c>
      <c r="H2956" s="395">
        <v>90993.930999999997</v>
      </c>
      <c r="I2956" s="394">
        <v>61530.33</v>
      </c>
      <c r="J2956" s="394">
        <v>129991.33</v>
      </c>
      <c r="K2956" s="393" t="s">
        <v>1033</v>
      </c>
    </row>
    <row r="2957" spans="1:12" hidden="1" x14ac:dyDescent="0.3">
      <c r="A2957" s="397" t="s">
        <v>5417</v>
      </c>
      <c r="C2957" s="397" t="s">
        <v>1053</v>
      </c>
      <c r="D2957" s="397" t="s">
        <v>5416</v>
      </c>
      <c r="E2957" s="397" t="s">
        <v>5415</v>
      </c>
      <c r="F2957" s="397" t="s">
        <v>191</v>
      </c>
      <c r="G2957" s="396">
        <v>1</v>
      </c>
      <c r="H2957" s="395">
        <v>95101.936999999991</v>
      </c>
      <c r="I2957" s="394">
        <v>39033.86</v>
      </c>
      <c r="J2957" s="394">
        <v>135859.91</v>
      </c>
      <c r="K2957" s="393" t="s">
        <v>1033</v>
      </c>
    </row>
    <row r="2958" spans="1:12" hidden="1" x14ac:dyDescent="0.3">
      <c r="A2958" s="397" t="s">
        <v>5666</v>
      </c>
      <c r="C2958" s="397" t="s">
        <v>1053</v>
      </c>
      <c r="D2958" s="397" t="s">
        <v>5665</v>
      </c>
      <c r="E2958" s="397" t="s">
        <v>5664</v>
      </c>
      <c r="F2958" s="397" t="s">
        <v>191</v>
      </c>
      <c r="G2958" s="396">
        <v>1</v>
      </c>
      <c r="H2958" s="395">
        <v>525130.34</v>
      </c>
      <c r="I2958" s="394">
        <v>20722.21</v>
      </c>
      <c r="J2958" s="394">
        <v>750186.20000000007</v>
      </c>
      <c r="K2958" s="393" t="s">
        <v>1033</v>
      </c>
    </row>
    <row r="2959" spans="1:12" hidden="1" x14ac:dyDescent="0.3">
      <c r="A2959" s="397" t="s">
        <v>5645</v>
      </c>
      <c r="C2959" s="397" t="s">
        <v>1053</v>
      </c>
      <c r="D2959" s="397" t="s">
        <v>5644</v>
      </c>
      <c r="E2959" s="397" t="s">
        <v>5643</v>
      </c>
      <c r="F2959" s="397" t="s">
        <v>191</v>
      </c>
      <c r="G2959" s="396">
        <v>1</v>
      </c>
      <c r="H2959" s="395">
        <v>243461.82</v>
      </c>
      <c r="I2959" s="394">
        <v>9588.5</v>
      </c>
      <c r="J2959" s="394">
        <v>347802.60000000003</v>
      </c>
      <c r="K2959" s="393" t="s">
        <v>1033</v>
      </c>
    </row>
    <row r="2960" spans="1:12" hidden="1" x14ac:dyDescent="0.3">
      <c r="A2960" s="397" t="s">
        <v>5567</v>
      </c>
      <c r="C2960" s="397" t="s">
        <v>1053</v>
      </c>
      <c r="D2960" s="397" t="s">
        <v>5566</v>
      </c>
      <c r="E2960" s="397" t="s">
        <v>5565</v>
      </c>
      <c r="F2960" s="397" t="s">
        <v>191</v>
      </c>
      <c r="G2960" s="396">
        <v>1</v>
      </c>
      <c r="H2960" s="395">
        <v>89736.366999999998</v>
      </c>
      <c r="I2960" s="394">
        <v>83449.960000000006</v>
      </c>
      <c r="J2960" s="394">
        <v>128194.81</v>
      </c>
      <c r="K2960" s="393" t="s">
        <v>1033</v>
      </c>
    </row>
    <row r="2961" spans="1:11" hidden="1" x14ac:dyDescent="0.3">
      <c r="A2961" s="397" t="s">
        <v>5863</v>
      </c>
      <c r="C2961" s="397" t="s">
        <v>1053</v>
      </c>
      <c r="D2961" s="397" t="s">
        <v>5862</v>
      </c>
      <c r="E2961" s="397" t="s">
        <v>5859</v>
      </c>
      <c r="F2961" s="397" t="s">
        <v>191</v>
      </c>
      <c r="G2961" s="396">
        <v>1</v>
      </c>
      <c r="H2961" s="395">
        <v>113023.659</v>
      </c>
      <c r="I2961" s="394">
        <v>102222.93000000001</v>
      </c>
      <c r="J2961" s="394">
        <v>161462.37</v>
      </c>
      <c r="K2961" s="393" t="s">
        <v>1033</v>
      </c>
    </row>
    <row r="2962" spans="1:11" hidden="1" x14ac:dyDescent="0.3">
      <c r="A2962" s="397" t="s">
        <v>5647</v>
      </c>
      <c r="C2962" s="397" t="s">
        <v>1053</v>
      </c>
      <c r="D2962" s="397" t="s">
        <v>5646</v>
      </c>
      <c r="E2962" s="397" t="s">
        <v>606</v>
      </c>
      <c r="F2962" s="397" t="s">
        <v>191</v>
      </c>
      <c r="G2962" s="396">
        <v>1</v>
      </c>
      <c r="H2962" s="395">
        <v>45114.559000000001</v>
      </c>
      <c r="I2962" s="394">
        <v>1287.6500000000001</v>
      </c>
      <c r="J2962" s="394">
        <v>64449.37</v>
      </c>
      <c r="K2962" s="393" t="s">
        <v>1033</v>
      </c>
    </row>
    <row r="2963" spans="1:11" hidden="1" x14ac:dyDescent="0.3">
      <c r="A2963" s="397" t="s">
        <v>5650</v>
      </c>
      <c r="C2963" s="397" t="s">
        <v>1053</v>
      </c>
      <c r="D2963" s="397" t="s">
        <v>5649</v>
      </c>
      <c r="E2963" s="397" t="s">
        <v>5648</v>
      </c>
      <c r="F2963" s="397" t="s">
        <v>191</v>
      </c>
      <c r="G2963" s="396">
        <v>1</v>
      </c>
      <c r="H2963" s="395">
        <v>119033.08900000001</v>
      </c>
      <c r="I2963" s="394">
        <v>5078.74</v>
      </c>
      <c r="J2963" s="394">
        <v>170047.27</v>
      </c>
      <c r="K2963" s="393" t="s">
        <v>1033</v>
      </c>
    </row>
    <row r="2964" spans="1:11" hidden="1" x14ac:dyDescent="0.3">
      <c r="A2964" s="397" t="s">
        <v>5635</v>
      </c>
      <c r="C2964" s="397" t="s">
        <v>1053</v>
      </c>
      <c r="D2964" s="397" t="s">
        <v>5651</v>
      </c>
      <c r="E2964" s="397" t="s">
        <v>5643</v>
      </c>
      <c r="F2964" s="397" t="s">
        <v>191</v>
      </c>
      <c r="G2964" s="396">
        <v>1</v>
      </c>
      <c r="H2964" s="395">
        <v>96554.675000000003</v>
      </c>
      <c r="I2964" s="394">
        <v>68912.94</v>
      </c>
      <c r="J2964" s="394">
        <v>137935.25</v>
      </c>
      <c r="K2964" s="393" t="s">
        <v>1033</v>
      </c>
    </row>
    <row r="2965" spans="1:11" hidden="1" x14ac:dyDescent="0.3">
      <c r="A2965" s="397" t="s">
        <v>5635</v>
      </c>
      <c r="C2965" s="397" t="s">
        <v>1053</v>
      </c>
      <c r="D2965" s="397" t="s">
        <v>5634</v>
      </c>
      <c r="E2965" s="397" t="s">
        <v>606</v>
      </c>
      <c r="F2965" s="397" t="s">
        <v>191</v>
      </c>
      <c r="G2965" s="396">
        <v>1</v>
      </c>
      <c r="H2965" s="395">
        <v>212907.15600000002</v>
      </c>
      <c r="I2965" s="394">
        <v>201141.61000000002</v>
      </c>
      <c r="J2965" s="394">
        <v>304153.08</v>
      </c>
      <c r="K2965" s="393" t="s">
        <v>1033</v>
      </c>
    </row>
    <row r="2966" spans="1:11" hidden="1" x14ac:dyDescent="0.3">
      <c r="A2966" s="397" t="s">
        <v>1387</v>
      </c>
      <c r="C2966" s="397" t="s">
        <v>1053</v>
      </c>
      <c r="D2966" s="397" t="s">
        <v>1386</v>
      </c>
      <c r="E2966" s="397" t="s">
        <v>1385</v>
      </c>
      <c r="F2966" s="397" t="s">
        <v>191</v>
      </c>
      <c r="G2966" s="396">
        <v>3</v>
      </c>
      <c r="H2966" s="395">
        <v>68799.339000000007</v>
      </c>
      <c r="I2966" s="394">
        <v>54668.67</v>
      </c>
      <c r="J2966" s="394">
        <v>98284.77</v>
      </c>
      <c r="K2966" s="393" t="s">
        <v>1033</v>
      </c>
    </row>
    <row r="2967" spans="1:11" hidden="1" x14ac:dyDescent="0.3">
      <c r="A2967" s="397" t="s">
        <v>1393</v>
      </c>
      <c r="C2967" s="397" t="s">
        <v>1053</v>
      </c>
      <c r="D2967" s="397" t="s">
        <v>1392</v>
      </c>
      <c r="E2967" s="397" t="s">
        <v>1391</v>
      </c>
      <c r="F2967" s="397" t="s">
        <v>191</v>
      </c>
      <c r="G2967" s="396">
        <v>9</v>
      </c>
      <c r="H2967" s="395">
        <v>53226.697999999997</v>
      </c>
      <c r="I2967" s="394">
        <v>41928.480000000003</v>
      </c>
      <c r="J2967" s="394">
        <v>76038.14</v>
      </c>
      <c r="K2967" s="393" t="s">
        <v>1033</v>
      </c>
    </row>
    <row r="2968" spans="1:11" hidden="1" x14ac:dyDescent="0.3">
      <c r="A2968" s="397" t="s">
        <v>3584</v>
      </c>
      <c r="C2968" s="397" t="s">
        <v>1053</v>
      </c>
      <c r="D2968" s="397" t="s">
        <v>3583</v>
      </c>
      <c r="E2968" s="397" t="s">
        <v>3582</v>
      </c>
      <c r="F2968" s="397" t="s">
        <v>191</v>
      </c>
      <c r="G2968" s="396">
        <v>1</v>
      </c>
      <c r="H2968" s="395">
        <v>280466.45199999999</v>
      </c>
      <c r="I2968" s="394">
        <v>8423.23</v>
      </c>
      <c r="J2968" s="394">
        <v>400666.36</v>
      </c>
      <c r="K2968" s="393" t="s">
        <v>1033</v>
      </c>
    </row>
    <row r="2969" spans="1:11" hidden="1" x14ac:dyDescent="0.3">
      <c r="A2969" s="397" t="s">
        <v>3592</v>
      </c>
      <c r="C2969" s="397" t="s">
        <v>1053</v>
      </c>
      <c r="D2969" s="397" t="s">
        <v>3591</v>
      </c>
      <c r="E2969" s="397" t="s">
        <v>3590</v>
      </c>
      <c r="F2969" s="397" t="s">
        <v>191</v>
      </c>
      <c r="G2969" s="396">
        <v>1</v>
      </c>
      <c r="H2969" s="395">
        <v>288633.47100000002</v>
      </c>
      <c r="I2969" s="394">
        <v>2615.96</v>
      </c>
      <c r="J2969" s="394">
        <v>412333.53</v>
      </c>
      <c r="K2969" s="393" t="s">
        <v>1033</v>
      </c>
    </row>
    <row r="2970" spans="1:11" hidden="1" x14ac:dyDescent="0.3">
      <c r="A2970" s="397" t="s">
        <v>3578</v>
      </c>
      <c r="C2970" s="397" t="s">
        <v>1053</v>
      </c>
      <c r="D2970" s="397" t="s">
        <v>3577</v>
      </c>
      <c r="E2970" s="397" t="s">
        <v>3576</v>
      </c>
      <c r="F2970" s="397" t="s">
        <v>191</v>
      </c>
      <c r="G2970" s="396">
        <v>1</v>
      </c>
      <c r="H2970" s="395">
        <v>216547.30299999999</v>
      </c>
      <c r="I2970" s="394">
        <v>30792.53</v>
      </c>
      <c r="J2970" s="394">
        <v>309353.28999999998</v>
      </c>
      <c r="K2970" s="393" t="s">
        <v>1033</v>
      </c>
    </row>
    <row r="2971" spans="1:11" hidden="1" x14ac:dyDescent="0.3">
      <c r="A2971" s="397" t="s">
        <v>3587</v>
      </c>
      <c r="C2971" s="397" t="s">
        <v>1053</v>
      </c>
      <c r="D2971" s="397" t="s">
        <v>3586</v>
      </c>
      <c r="E2971" s="397" t="s">
        <v>3585</v>
      </c>
      <c r="F2971" s="397" t="s">
        <v>191</v>
      </c>
      <c r="G2971" s="396">
        <v>1</v>
      </c>
      <c r="H2971" s="395">
        <v>337553.16700000002</v>
      </c>
      <c r="I2971" s="394">
        <v>256190.55000000002</v>
      </c>
      <c r="J2971" s="394">
        <v>482218.81</v>
      </c>
      <c r="K2971" s="393" t="s">
        <v>1033</v>
      </c>
    </row>
    <row r="2972" spans="1:11" hidden="1" x14ac:dyDescent="0.3">
      <c r="A2972" s="397" t="s">
        <v>6033</v>
      </c>
      <c r="C2972" s="397" t="s">
        <v>1053</v>
      </c>
      <c r="D2972" s="397" t="s">
        <v>6032</v>
      </c>
      <c r="E2972" s="397" t="s">
        <v>6031</v>
      </c>
      <c r="F2972" s="397" t="s">
        <v>191</v>
      </c>
      <c r="G2972" s="396">
        <v>1</v>
      </c>
      <c r="H2972" s="395">
        <v>171658.43800000002</v>
      </c>
      <c r="I2972" s="394">
        <v>779.45</v>
      </c>
      <c r="J2972" s="394">
        <v>245226.34</v>
      </c>
      <c r="K2972" s="393" t="s">
        <v>1033</v>
      </c>
    </row>
    <row r="2973" spans="1:11" hidden="1" x14ac:dyDescent="0.3">
      <c r="A2973" s="397" t="s">
        <v>5093</v>
      </c>
      <c r="C2973" s="397" t="s">
        <v>1053</v>
      </c>
      <c r="D2973" s="397" t="s">
        <v>5092</v>
      </c>
      <c r="E2973" s="397" t="s">
        <v>5091</v>
      </c>
      <c r="F2973" s="397" t="s">
        <v>191</v>
      </c>
      <c r="G2973" s="396">
        <v>1</v>
      </c>
      <c r="H2973" s="395">
        <v>402772.11799999996</v>
      </c>
      <c r="I2973" s="394">
        <v>2145.6799999999998</v>
      </c>
      <c r="J2973" s="394">
        <v>575388.74</v>
      </c>
      <c r="K2973" s="393" t="s">
        <v>1033</v>
      </c>
    </row>
    <row r="2974" spans="1:11" hidden="1" x14ac:dyDescent="0.3">
      <c r="A2974" s="397" t="s">
        <v>5778</v>
      </c>
      <c r="C2974" s="397" t="s">
        <v>1053</v>
      </c>
      <c r="D2974" s="397" t="s">
        <v>5777</v>
      </c>
      <c r="E2974" s="397" t="s">
        <v>5776</v>
      </c>
      <c r="F2974" s="397" t="s">
        <v>191</v>
      </c>
      <c r="G2974" s="396">
        <v>1</v>
      </c>
      <c r="H2974" s="395">
        <v>168581.91699999999</v>
      </c>
      <c r="I2974" s="394">
        <v>465.25</v>
      </c>
      <c r="J2974" s="394">
        <v>240831.31</v>
      </c>
      <c r="K2974" s="393" t="s">
        <v>1033</v>
      </c>
    </row>
    <row r="2975" spans="1:11" hidden="1" x14ac:dyDescent="0.3">
      <c r="A2975" s="397" t="s">
        <v>5770</v>
      </c>
      <c r="C2975" s="397" t="s">
        <v>1053</v>
      </c>
      <c r="D2975" s="397" t="s">
        <v>5769</v>
      </c>
      <c r="E2975" s="397" t="s">
        <v>5768</v>
      </c>
      <c r="F2975" s="397" t="s">
        <v>191</v>
      </c>
      <c r="G2975" s="396">
        <v>1</v>
      </c>
      <c r="H2975" s="395">
        <v>280802.56400000001</v>
      </c>
      <c r="I2975" s="394">
        <v>976.74</v>
      </c>
      <c r="J2975" s="394">
        <v>401146.52</v>
      </c>
      <c r="K2975" s="393" t="s">
        <v>1033</v>
      </c>
    </row>
    <row r="2976" spans="1:11" hidden="1" x14ac:dyDescent="0.3">
      <c r="A2976" s="397" t="s">
        <v>5551</v>
      </c>
      <c r="C2976" s="397" t="s">
        <v>1053</v>
      </c>
      <c r="D2976" s="397" t="s">
        <v>5550</v>
      </c>
      <c r="E2976" s="397" t="s">
        <v>5549</v>
      </c>
      <c r="F2976" s="397" t="s">
        <v>191</v>
      </c>
      <c r="G2976" s="396">
        <v>1</v>
      </c>
      <c r="H2976" s="395">
        <v>529428.473</v>
      </c>
      <c r="I2976" s="394">
        <v>1377.19</v>
      </c>
      <c r="J2976" s="394">
        <v>756326.39</v>
      </c>
      <c r="K2976" s="393" t="s">
        <v>1033</v>
      </c>
    </row>
    <row r="2977" spans="1:11" hidden="1" x14ac:dyDescent="0.3">
      <c r="A2977" s="397" t="s">
        <v>4986</v>
      </c>
      <c r="C2977" s="397" t="s">
        <v>1053</v>
      </c>
      <c r="D2977" s="397" t="s">
        <v>4985</v>
      </c>
      <c r="E2977" s="397" t="s">
        <v>4984</v>
      </c>
      <c r="F2977" s="397" t="s">
        <v>191</v>
      </c>
      <c r="G2977" s="396">
        <v>1</v>
      </c>
      <c r="H2977" s="395">
        <v>614626.054</v>
      </c>
      <c r="I2977" s="394">
        <v>671.84</v>
      </c>
      <c r="J2977" s="394">
        <v>878037.22</v>
      </c>
      <c r="K2977" s="393" t="s">
        <v>1033</v>
      </c>
    </row>
    <row r="2978" spans="1:11" hidden="1" x14ac:dyDescent="0.3">
      <c r="A2978" s="397" t="s">
        <v>1553</v>
      </c>
      <c r="C2978" s="397" t="s">
        <v>1053</v>
      </c>
      <c r="D2978" s="397" t="s">
        <v>1552</v>
      </c>
      <c r="E2978" s="397" t="s">
        <v>1551</v>
      </c>
      <c r="F2978" s="397" t="s">
        <v>191</v>
      </c>
      <c r="G2978" s="396">
        <v>1</v>
      </c>
      <c r="H2978" s="395">
        <v>39440.974999999999</v>
      </c>
      <c r="I2978" s="394">
        <v>37910.35</v>
      </c>
      <c r="J2978" s="394">
        <v>56344.25</v>
      </c>
      <c r="K2978" s="393" t="s">
        <v>1033</v>
      </c>
    </row>
    <row r="2979" spans="1:11" hidden="1" x14ac:dyDescent="0.3">
      <c r="A2979" s="397" t="s">
        <v>6053</v>
      </c>
      <c r="C2979" s="397" t="s">
        <v>1053</v>
      </c>
      <c r="D2979" s="397" t="s">
        <v>6052</v>
      </c>
      <c r="E2979" s="397" t="s">
        <v>6051</v>
      </c>
      <c r="F2979" s="397" t="s">
        <v>191</v>
      </c>
      <c r="G2979" s="396">
        <v>2</v>
      </c>
      <c r="H2979" s="395">
        <v>821657.38900000008</v>
      </c>
      <c r="I2979" s="394">
        <v>190620.14</v>
      </c>
      <c r="J2979" s="394">
        <v>1173796.27</v>
      </c>
      <c r="K2979" s="393" t="s">
        <v>1033</v>
      </c>
    </row>
    <row r="2980" spans="1:11" hidden="1" x14ac:dyDescent="0.3">
      <c r="A2980" s="397" t="s">
        <v>6333</v>
      </c>
      <c r="C2980" s="397" t="s">
        <v>1053</v>
      </c>
      <c r="D2980" s="397" t="s">
        <v>266</v>
      </c>
      <c r="E2980" s="397" t="s">
        <v>265</v>
      </c>
      <c r="F2980" s="397" t="s">
        <v>191</v>
      </c>
      <c r="G2980" s="396">
        <v>1</v>
      </c>
      <c r="H2980" s="395">
        <v>690629.07900000003</v>
      </c>
      <c r="I2980" s="394">
        <v>455515.06</v>
      </c>
      <c r="J2980" s="394">
        <v>986612.97</v>
      </c>
      <c r="K2980" s="393" t="s">
        <v>1033</v>
      </c>
    </row>
    <row r="2981" spans="1:11" hidden="1" x14ac:dyDescent="0.3">
      <c r="A2981" s="397" t="s">
        <v>5986</v>
      </c>
      <c r="C2981" s="397" t="s">
        <v>1053</v>
      </c>
      <c r="D2981" s="397" t="s">
        <v>5985</v>
      </c>
      <c r="E2981" s="397" t="s">
        <v>5984</v>
      </c>
      <c r="F2981" s="397" t="s">
        <v>191</v>
      </c>
      <c r="G2981" s="396">
        <v>1</v>
      </c>
      <c r="H2981" s="395">
        <v>230780.27000000002</v>
      </c>
      <c r="I2981" s="394">
        <v>221335.35</v>
      </c>
      <c r="J2981" s="394">
        <v>329686.09999999998</v>
      </c>
      <c r="K2981" s="393" t="s">
        <v>1033</v>
      </c>
    </row>
    <row r="2982" spans="1:11" hidden="1" x14ac:dyDescent="0.3">
      <c r="A2982" s="397" t="s">
        <v>6846</v>
      </c>
      <c r="C2982" s="397" t="s">
        <v>1053</v>
      </c>
      <c r="D2982" s="397" t="s">
        <v>6845</v>
      </c>
      <c r="E2982" s="397" t="s">
        <v>6844</v>
      </c>
      <c r="F2982" s="397" t="s">
        <v>191</v>
      </c>
      <c r="G2982" s="396">
        <v>1</v>
      </c>
      <c r="H2982" s="395">
        <v>679948.72400000005</v>
      </c>
      <c r="I2982" s="394">
        <v>504736.97000000003</v>
      </c>
      <c r="J2982" s="394">
        <v>971355.32000000007</v>
      </c>
      <c r="K2982" s="393" t="s">
        <v>1033</v>
      </c>
    </row>
    <row r="2983" spans="1:11" hidden="1" x14ac:dyDescent="0.3">
      <c r="A2983" s="397" t="s">
        <v>5588</v>
      </c>
      <c r="C2983" s="397" t="s">
        <v>1053</v>
      </c>
      <c r="D2983" s="397" t="s">
        <v>5587</v>
      </c>
      <c r="E2983" s="397" t="s">
        <v>5586</v>
      </c>
      <c r="F2983" s="397" t="s">
        <v>191</v>
      </c>
      <c r="G2983" s="396">
        <v>1</v>
      </c>
      <c r="H2983" s="395">
        <v>714.45500000000004</v>
      </c>
      <c r="I2983" s="394">
        <v>492.42</v>
      </c>
      <c r="J2983" s="394">
        <v>1020.65</v>
      </c>
      <c r="K2983" s="393" t="s">
        <v>1033</v>
      </c>
    </row>
    <row r="2984" spans="1:11" hidden="1" x14ac:dyDescent="0.3">
      <c r="A2984" s="397" t="s">
        <v>6857</v>
      </c>
      <c r="C2984" s="397" t="s">
        <v>1053</v>
      </c>
      <c r="D2984" s="397" t="s">
        <v>6856</v>
      </c>
      <c r="E2984" s="397" t="s">
        <v>6855</v>
      </c>
      <c r="F2984" s="397" t="s">
        <v>191</v>
      </c>
      <c r="G2984" s="396">
        <v>1</v>
      </c>
      <c r="H2984" s="395">
        <v>1935734.4930000002</v>
      </c>
      <c r="I2984" s="394">
        <v>64841.68</v>
      </c>
      <c r="J2984" s="394">
        <v>2765334.99</v>
      </c>
      <c r="K2984" s="393" t="s">
        <v>1033</v>
      </c>
    </row>
    <row r="2985" spans="1:11" hidden="1" x14ac:dyDescent="0.3">
      <c r="A2985" s="397" t="s">
        <v>6717</v>
      </c>
      <c r="C2985" s="397" t="s">
        <v>1053</v>
      </c>
      <c r="D2985" s="397" t="s">
        <v>6716</v>
      </c>
      <c r="E2985" s="397" t="s">
        <v>6715</v>
      </c>
      <c r="F2985" s="397" t="s">
        <v>191</v>
      </c>
      <c r="G2985" s="396">
        <v>1</v>
      </c>
      <c r="H2985" s="395">
        <v>932958.56500000006</v>
      </c>
      <c r="I2985" s="394">
        <v>8827.98</v>
      </c>
      <c r="J2985" s="394">
        <v>1332797.95</v>
      </c>
      <c r="K2985" s="393" t="s">
        <v>1033</v>
      </c>
    </row>
    <row r="2986" spans="1:11" hidden="1" x14ac:dyDescent="0.3">
      <c r="A2986" s="397" t="s">
        <v>6332</v>
      </c>
      <c r="C2986" s="397" t="s">
        <v>1053</v>
      </c>
      <c r="D2986" s="397" t="s">
        <v>6331</v>
      </c>
      <c r="E2986" s="397" t="s">
        <v>6330</v>
      </c>
      <c r="F2986" s="397" t="s">
        <v>191</v>
      </c>
      <c r="G2986" s="396">
        <v>1</v>
      </c>
      <c r="H2986" s="395">
        <v>127897.595</v>
      </c>
      <c r="I2986" s="394">
        <v>3153.32</v>
      </c>
      <c r="J2986" s="394">
        <v>182710.85</v>
      </c>
      <c r="K2986" s="393" t="s">
        <v>1033</v>
      </c>
    </row>
    <row r="2987" spans="1:11" hidden="1" x14ac:dyDescent="0.3">
      <c r="A2987" s="397" t="s">
        <v>1153</v>
      </c>
      <c r="C2987" s="397" t="s">
        <v>1034</v>
      </c>
      <c r="D2987" s="397" t="s">
        <v>1152</v>
      </c>
      <c r="E2987" s="397" t="s">
        <v>1151</v>
      </c>
      <c r="F2987" s="397" t="s">
        <v>416</v>
      </c>
      <c r="G2987" s="396">
        <v>2</v>
      </c>
      <c r="H2987" s="395">
        <v>131.61959999999999</v>
      </c>
      <c r="I2987" s="394">
        <v>106.60000000000001</v>
      </c>
      <c r="J2987" s="394">
        <v>208.92000000000002</v>
      </c>
      <c r="K2987" s="393" t="s">
        <v>1033</v>
      </c>
    </row>
    <row r="2988" spans="1:11" hidden="1" x14ac:dyDescent="0.3">
      <c r="A2988" s="397" t="s">
        <v>7455</v>
      </c>
      <c r="C2988" s="397" t="s">
        <v>1053</v>
      </c>
      <c r="D2988" s="397" t="s">
        <v>7454</v>
      </c>
      <c r="E2988" s="397" t="s">
        <v>7453</v>
      </c>
      <c r="F2988" s="397" t="s">
        <v>191</v>
      </c>
      <c r="G2988" s="396">
        <v>1</v>
      </c>
      <c r="H2988" s="395">
        <v>854408.51300000004</v>
      </c>
      <c r="I2988" s="394">
        <v>474.77</v>
      </c>
      <c r="J2988" s="394">
        <v>1220583.5900000001</v>
      </c>
      <c r="K2988" s="393" t="s">
        <v>1033</v>
      </c>
    </row>
    <row r="2989" spans="1:11" hidden="1" x14ac:dyDescent="0.3">
      <c r="A2989" s="397" t="s">
        <v>7458</v>
      </c>
      <c r="C2989" s="397" t="s">
        <v>1053</v>
      </c>
      <c r="D2989" s="397" t="s">
        <v>7457</v>
      </c>
      <c r="E2989" s="397" t="s">
        <v>7456</v>
      </c>
      <c r="F2989" s="397" t="s">
        <v>191</v>
      </c>
      <c r="G2989" s="396">
        <v>1</v>
      </c>
      <c r="H2989" s="395">
        <v>150720.402</v>
      </c>
      <c r="J2989" s="394">
        <v>215314.86000000002</v>
      </c>
      <c r="K2989" s="393" t="s">
        <v>1033</v>
      </c>
    </row>
    <row r="2990" spans="1:11" hidden="1" x14ac:dyDescent="0.3">
      <c r="A2990" s="397" t="s">
        <v>6711</v>
      </c>
      <c r="C2990" s="397" t="s">
        <v>1053</v>
      </c>
      <c r="D2990" s="397" t="s">
        <v>6710</v>
      </c>
      <c r="E2990" s="397" t="s">
        <v>6709</v>
      </c>
      <c r="F2990" s="397" t="s">
        <v>191</v>
      </c>
      <c r="G2990" s="396">
        <v>1</v>
      </c>
      <c r="H2990" s="395">
        <v>764005.27</v>
      </c>
      <c r="I2990" s="394">
        <v>731771.81</v>
      </c>
      <c r="J2990" s="394">
        <v>1091436.1000000001</v>
      </c>
      <c r="K2990" s="393" t="s">
        <v>1033</v>
      </c>
    </row>
    <row r="2991" spans="1:11" hidden="1" x14ac:dyDescent="0.3">
      <c r="A2991" s="397" t="s">
        <v>6714</v>
      </c>
      <c r="C2991" s="397" t="s">
        <v>1053</v>
      </c>
      <c r="D2991" s="397" t="s">
        <v>6713</v>
      </c>
      <c r="E2991" s="397" t="s">
        <v>6712</v>
      </c>
      <c r="F2991" s="397" t="s">
        <v>191</v>
      </c>
      <c r="G2991" s="396">
        <v>1</v>
      </c>
      <c r="H2991" s="395">
        <v>844693.96900000004</v>
      </c>
      <c r="I2991" s="394">
        <v>809054.52</v>
      </c>
      <c r="J2991" s="394">
        <v>1206705.67</v>
      </c>
      <c r="K2991" s="393" t="s">
        <v>1033</v>
      </c>
    </row>
    <row r="2992" spans="1:11" hidden="1" x14ac:dyDescent="0.3">
      <c r="A2992" s="397" t="s">
        <v>7461</v>
      </c>
      <c r="C2992" s="397" t="s">
        <v>1053</v>
      </c>
      <c r="D2992" s="397" t="s">
        <v>7460</v>
      </c>
      <c r="E2992" s="397" t="s">
        <v>7459</v>
      </c>
      <c r="F2992" s="397" t="s">
        <v>191</v>
      </c>
      <c r="G2992" s="396">
        <v>2</v>
      </c>
      <c r="H2992" s="395">
        <v>318597.53100000002</v>
      </c>
      <c r="I2992" s="394">
        <v>1235.25</v>
      </c>
      <c r="J2992" s="394">
        <v>455139.33</v>
      </c>
      <c r="K2992" s="393" t="s">
        <v>1033</v>
      </c>
    </row>
    <row r="2993" spans="1:12" hidden="1" x14ac:dyDescent="0.3">
      <c r="A2993" s="397" t="s">
        <v>5598</v>
      </c>
      <c r="C2993" s="397" t="s">
        <v>1053</v>
      </c>
      <c r="D2993" s="397" t="s">
        <v>5597</v>
      </c>
      <c r="E2993" s="397" t="s">
        <v>5596</v>
      </c>
      <c r="F2993" s="397" t="s">
        <v>191</v>
      </c>
      <c r="G2993" s="396">
        <v>1</v>
      </c>
      <c r="H2993" s="395">
        <v>223324.15700000001</v>
      </c>
      <c r="I2993" s="394">
        <v>175135.32</v>
      </c>
      <c r="J2993" s="394">
        <v>319034.51</v>
      </c>
      <c r="K2993" s="393" t="s">
        <v>1033</v>
      </c>
    </row>
    <row r="2994" spans="1:12" hidden="1" x14ac:dyDescent="0.3">
      <c r="A2994" s="397" t="s">
        <v>1093</v>
      </c>
      <c r="C2994" s="397" t="s">
        <v>1034</v>
      </c>
      <c r="D2994" s="397" t="s">
        <v>1092</v>
      </c>
      <c r="E2994" s="397" t="s">
        <v>1091</v>
      </c>
      <c r="F2994" s="397" t="s">
        <v>416</v>
      </c>
      <c r="G2994" s="396">
        <v>1</v>
      </c>
      <c r="H2994" s="395">
        <v>388.43279999999999</v>
      </c>
      <c r="I2994" s="394">
        <v>388.43</v>
      </c>
      <c r="J2994" s="394">
        <v>616.55999999999995</v>
      </c>
      <c r="K2994" s="393" t="s">
        <v>1033</v>
      </c>
    </row>
    <row r="2995" spans="1:12" hidden="1" x14ac:dyDescent="0.3">
      <c r="A2995" s="397" t="s">
        <v>5871</v>
      </c>
      <c r="C2995" s="397" t="s">
        <v>1053</v>
      </c>
      <c r="D2995" s="397" t="s">
        <v>7600</v>
      </c>
      <c r="E2995" s="397" t="s">
        <v>7599</v>
      </c>
      <c r="F2995" s="397" t="s">
        <v>191</v>
      </c>
      <c r="G2995" s="396">
        <v>1</v>
      </c>
      <c r="H2995" s="395">
        <v>9339.5540000000001</v>
      </c>
      <c r="I2995" s="394">
        <v>7909.31</v>
      </c>
      <c r="J2995" s="394">
        <v>13342.220000000001</v>
      </c>
      <c r="K2995" s="393" t="s">
        <v>1033</v>
      </c>
    </row>
    <row r="2996" spans="1:12" hidden="1" x14ac:dyDescent="0.3">
      <c r="A2996" s="397" t="s">
        <v>5871</v>
      </c>
      <c r="C2996" s="397" t="s">
        <v>1053</v>
      </c>
      <c r="D2996" s="397" t="s">
        <v>5870</v>
      </c>
      <c r="E2996" s="397" t="s">
        <v>5859</v>
      </c>
      <c r="F2996" s="397" t="s">
        <v>191</v>
      </c>
      <c r="G2996" s="396">
        <v>1</v>
      </c>
      <c r="H2996" s="395">
        <v>117139.08500000001</v>
      </c>
      <c r="I2996" s="394">
        <v>109247.14</v>
      </c>
      <c r="J2996" s="394">
        <v>167341.54999999999</v>
      </c>
      <c r="K2996" s="393" t="s">
        <v>1033</v>
      </c>
      <c r="L2996" s="395">
        <v>1</v>
      </c>
    </row>
    <row r="2997" spans="1:12" hidden="1" x14ac:dyDescent="0.3">
      <c r="A2997" s="397" t="s">
        <v>5111</v>
      </c>
      <c r="C2997" s="397" t="s">
        <v>1053</v>
      </c>
      <c r="D2997" s="397" t="s">
        <v>5792</v>
      </c>
      <c r="E2997" s="397" t="s">
        <v>5791</v>
      </c>
      <c r="F2997" s="397" t="s">
        <v>191</v>
      </c>
      <c r="G2997" s="396">
        <v>1</v>
      </c>
      <c r="H2997" s="395">
        <v>143141.35500000001</v>
      </c>
      <c r="I2997" s="394">
        <v>114150.27</v>
      </c>
      <c r="J2997" s="394">
        <v>204487.65</v>
      </c>
      <c r="K2997" s="393" t="s">
        <v>1033</v>
      </c>
    </row>
    <row r="2998" spans="1:12" hidden="1" x14ac:dyDescent="0.3">
      <c r="A2998" s="397" t="s">
        <v>5111</v>
      </c>
      <c r="C2998" s="397" t="s">
        <v>1053</v>
      </c>
      <c r="D2998" s="397" t="s">
        <v>5110</v>
      </c>
      <c r="E2998" s="397" t="s">
        <v>5109</v>
      </c>
      <c r="F2998" s="397" t="s">
        <v>191</v>
      </c>
      <c r="G2998" s="396">
        <v>1</v>
      </c>
      <c r="H2998" s="395">
        <v>136511.704</v>
      </c>
      <c r="I2998" s="394">
        <v>8008.95</v>
      </c>
      <c r="J2998" s="394">
        <v>195016.72</v>
      </c>
      <c r="K2998" s="393" t="s">
        <v>1033</v>
      </c>
    </row>
    <row r="2999" spans="1:12" hidden="1" x14ac:dyDescent="0.3">
      <c r="A2999" s="397" t="s">
        <v>5564</v>
      </c>
      <c r="C2999" s="397" t="s">
        <v>1053</v>
      </c>
      <c r="D2999" s="397" t="s">
        <v>5563</v>
      </c>
      <c r="E2999" s="397" t="s">
        <v>441</v>
      </c>
      <c r="F2999" s="397" t="s">
        <v>191</v>
      </c>
      <c r="G2999" s="396">
        <v>1</v>
      </c>
      <c r="H2999" s="395">
        <v>96662.328000000009</v>
      </c>
      <c r="I2999" s="394">
        <v>92664.55</v>
      </c>
      <c r="J2999" s="394">
        <v>138089.04</v>
      </c>
      <c r="K2999" s="393" t="s">
        <v>1033</v>
      </c>
    </row>
    <row r="3000" spans="1:12" hidden="1" x14ac:dyDescent="0.3">
      <c r="A3000" s="397" t="s">
        <v>5560</v>
      </c>
      <c r="C3000" s="397" t="s">
        <v>1053</v>
      </c>
      <c r="D3000" s="397" t="s">
        <v>5559</v>
      </c>
      <c r="E3000" s="397" t="s">
        <v>5558</v>
      </c>
      <c r="F3000" s="397" t="s">
        <v>191</v>
      </c>
      <c r="G3000" s="396">
        <v>2</v>
      </c>
      <c r="H3000" s="395">
        <v>94704.994999999995</v>
      </c>
      <c r="I3000" s="394">
        <v>10734.75</v>
      </c>
      <c r="J3000" s="394">
        <v>135292.85</v>
      </c>
      <c r="K3000" s="393" t="s">
        <v>1033</v>
      </c>
    </row>
    <row r="3001" spans="1:12" hidden="1" x14ac:dyDescent="0.3">
      <c r="A3001" s="397" t="s">
        <v>1318</v>
      </c>
      <c r="C3001" s="397" t="s">
        <v>1053</v>
      </c>
      <c r="D3001" s="397" t="s">
        <v>1317</v>
      </c>
      <c r="E3001" s="397" t="s">
        <v>1316</v>
      </c>
      <c r="F3001" s="397" t="s">
        <v>191</v>
      </c>
      <c r="G3001" s="396">
        <v>1</v>
      </c>
      <c r="H3001" s="395">
        <v>93257.234000000011</v>
      </c>
      <c r="I3001" s="394">
        <v>24580.04</v>
      </c>
      <c r="J3001" s="394">
        <v>133224.62</v>
      </c>
      <c r="K3001" s="393" t="s">
        <v>1033</v>
      </c>
    </row>
    <row r="3002" spans="1:12" hidden="1" x14ac:dyDescent="0.3">
      <c r="A3002" s="397" t="s">
        <v>1402</v>
      </c>
      <c r="C3002" s="397" t="s">
        <v>1053</v>
      </c>
      <c r="D3002" s="397" t="s">
        <v>1401</v>
      </c>
      <c r="E3002" s="397" t="s">
        <v>1400</v>
      </c>
      <c r="F3002" s="397" t="s">
        <v>191</v>
      </c>
      <c r="G3002" s="396">
        <v>4</v>
      </c>
      <c r="H3002" s="395">
        <v>88695.305999999997</v>
      </c>
      <c r="I3002" s="394">
        <v>86532.01</v>
      </c>
      <c r="J3002" s="394">
        <v>126707.58</v>
      </c>
      <c r="K3002" s="393" t="s">
        <v>1033</v>
      </c>
    </row>
    <row r="3003" spans="1:12" hidden="1" x14ac:dyDescent="0.3">
      <c r="A3003" s="397" t="s">
        <v>1274</v>
      </c>
      <c r="C3003" s="397" t="s">
        <v>1053</v>
      </c>
      <c r="D3003" s="397" t="s">
        <v>1273</v>
      </c>
      <c r="E3003" s="397" t="s">
        <v>1272</v>
      </c>
      <c r="F3003" s="397" t="s">
        <v>191</v>
      </c>
      <c r="G3003" s="396">
        <v>1</v>
      </c>
      <c r="H3003" s="395">
        <v>2772.4450000000002</v>
      </c>
      <c r="I3003" s="394">
        <v>1469.24</v>
      </c>
      <c r="J3003" s="394">
        <v>3261.7000000000003</v>
      </c>
      <c r="K3003" s="393" t="s">
        <v>1033</v>
      </c>
    </row>
    <row r="3004" spans="1:12" hidden="1" x14ac:dyDescent="0.3">
      <c r="A3004" s="397" t="s">
        <v>1232</v>
      </c>
      <c r="C3004" s="397" t="s">
        <v>1053</v>
      </c>
      <c r="D3004" s="397" t="s">
        <v>1231</v>
      </c>
      <c r="E3004" s="397" t="s">
        <v>1230</v>
      </c>
      <c r="F3004" s="397" t="s">
        <v>191</v>
      </c>
      <c r="G3004" s="396">
        <v>1</v>
      </c>
      <c r="H3004" s="395">
        <v>60.137</v>
      </c>
      <c r="I3004" s="394">
        <v>34.74</v>
      </c>
      <c r="J3004" s="394">
        <v>85.91</v>
      </c>
      <c r="K3004" s="393" t="s">
        <v>1033</v>
      </c>
    </row>
    <row r="3005" spans="1:12" hidden="1" x14ac:dyDescent="0.3">
      <c r="A3005" s="397" t="s">
        <v>8303</v>
      </c>
      <c r="C3005" s="397" t="s">
        <v>1053</v>
      </c>
      <c r="D3005" s="397" t="s">
        <v>8302</v>
      </c>
      <c r="E3005" s="397" t="s">
        <v>8301</v>
      </c>
      <c r="F3005" s="397" t="s">
        <v>191</v>
      </c>
      <c r="G3005" s="396">
        <v>2</v>
      </c>
      <c r="H3005" s="395">
        <v>307.25799999999998</v>
      </c>
      <c r="I3005" s="394">
        <v>92.15</v>
      </c>
      <c r="J3005" s="394">
        <v>438.94</v>
      </c>
      <c r="K3005" s="393" t="s">
        <v>1033</v>
      </c>
    </row>
    <row r="3006" spans="1:12" hidden="1" x14ac:dyDescent="0.3">
      <c r="A3006" s="397" t="s">
        <v>1265</v>
      </c>
      <c r="C3006" s="397" t="s">
        <v>1053</v>
      </c>
      <c r="D3006" s="397" t="s">
        <v>1264</v>
      </c>
      <c r="E3006" s="397" t="s">
        <v>1263</v>
      </c>
      <c r="F3006" s="397" t="s">
        <v>191</v>
      </c>
      <c r="G3006" s="396">
        <v>4</v>
      </c>
      <c r="H3006" s="395">
        <v>163848.55900000001</v>
      </c>
      <c r="I3006" s="394">
        <v>127455.48</v>
      </c>
      <c r="J3006" s="394">
        <v>234069.37</v>
      </c>
      <c r="K3006" s="393" t="s">
        <v>1033</v>
      </c>
    </row>
    <row r="3007" spans="1:12" hidden="1" x14ac:dyDescent="0.3">
      <c r="A3007" s="397" t="s">
        <v>1262</v>
      </c>
      <c r="C3007" s="397" t="s">
        <v>1053</v>
      </c>
      <c r="D3007" s="397" t="s">
        <v>1261</v>
      </c>
      <c r="E3007" s="397" t="s">
        <v>1260</v>
      </c>
      <c r="F3007" s="397" t="s">
        <v>191</v>
      </c>
      <c r="G3007" s="396">
        <v>1</v>
      </c>
      <c r="H3007" s="395">
        <v>172437.125</v>
      </c>
      <c r="I3007" s="394">
        <v>4671.41</v>
      </c>
      <c r="J3007" s="394">
        <v>246338.75</v>
      </c>
      <c r="K3007" s="393" t="s">
        <v>1033</v>
      </c>
    </row>
    <row r="3008" spans="1:12" hidden="1" x14ac:dyDescent="0.3">
      <c r="A3008" s="397" t="s">
        <v>4570</v>
      </c>
      <c r="C3008" s="397" t="s">
        <v>1053</v>
      </c>
      <c r="D3008" s="397" t="s">
        <v>4569</v>
      </c>
      <c r="E3008" s="397" t="s">
        <v>4568</v>
      </c>
      <c r="F3008" s="397" t="s">
        <v>191</v>
      </c>
      <c r="G3008" s="396">
        <v>1</v>
      </c>
      <c r="H3008" s="395">
        <v>133297.584</v>
      </c>
      <c r="I3008" s="394">
        <v>11476.050000000001</v>
      </c>
      <c r="J3008" s="394">
        <v>190425.12</v>
      </c>
      <c r="K3008" s="393" t="s">
        <v>1033</v>
      </c>
    </row>
    <row r="3009" spans="1:12" hidden="1" x14ac:dyDescent="0.3">
      <c r="A3009" s="397" t="s">
        <v>4573</v>
      </c>
      <c r="C3009" s="397" t="s">
        <v>1053</v>
      </c>
      <c r="D3009" s="397" t="s">
        <v>4572</v>
      </c>
      <c r="E3009" s="397" t="s">
        <v>4571</v>
      </c>
      <c r="F3009" s="397" t="s">
        <v>191</v>
      </c>
      <c r="G3009" s="396">
        <v>1</v>
      </c>
      <c r="H3009" s="395">
        <v>133297.584</v>
      </c>
      <c r="I3009" s="394">
        <v>11476.050000000001</v>
      </c>
      <c r="J3009" s="394">
        <v>190425.12</v>
      </c>
      <c r="K3009" s="393" t="s">
        <v>1033</v>
      </c>
    </row>
    <row r="3010" spans="1:12" hidden="1" x14ac:dyDescent="0.3">
      <c r="A3010" s="397" t="s">
        <v>1259</v>
      </c>
      <c r="C3010" s="397" t="s">
        <v>1053</v>
      </c>
      <c r="D3010" s="397" t="s">
        <v>1258</v>
      </c>
      <c r="E3010" s="397" t="s">
        <v>1257</v>
      </c>
      <c r="F3010" s="397" t="s">
        <v>191</v>
      </c>
      <c r="G3010" s="396">
        <v>5</v>
      </c>
      <c r="H3010" s="395">
        <v>205390.14300000001</v>
      </c>
      <c r="I3010" s="394">
        <v>178038.80000000002</v>
      </c>
      <c r="J3010" s="394">
        <v>293414.49</v>
      </c>
      <c r="K3010" s="393" t="s">
        <v>1033</v>
      </c>
    </row>
    <row r="3011" spans="1:12" hidden="1" x14ac:dyDescent="0.3">
      <c r="A3011" s="397" t="s">
        <v>1903</v>
      </c>
      <c r="C3011" s="397" t="s">
        <v>1053</v>
      </c>
      <c r="D3011" s="397" t="s">
        <v>1902</v>
      </c>
      <c r="E3011" s="397" t="s">
        <v>1901</v>
      </c>
      <c r="F3011" s="397" t="s">
        <v>191</v>
      </c>
      <c r="G3011" s="396">
        <v>1</v>
      </c>
      <c r="H3011" s="395">
        <v>234172.785</v>
      </c>
      <c r="I3011" s="394">
        <v>29789.010000000002</v>
      </c>
      <c r="J3011" s="394">
        <v>334532.55</v>
      </c>
      <c r="K3011" s="393" t="s">
        <v>1033</v>
      </c>
    </row>
    <row r="3012" spans="1:12" hidden="1" x14ac:dyDescent="0.3">
      <c r="A3012" s="397" t="s">
        <v>1135</v>
      </c>
      <c r="C3012" s="397" t="s">
        <v>1034</v>
      </c>
      <c r="D3012" s="397" t="s">
        <v>1134</v>
      </c>
      <c r="E3012" s="397" t="s">
        <v>1133</v>
      </c>
      <c r="F3012" s="397" t="s">
        <v>416</v>
      </c>
      <c r="G3012" s="396">
        <v>1</v>
      </c>
      <c r="H3012" s="395">
        <v>158.94900000000001</v>
      </c>
      <c r="I3012" s="394">
        <v>158.94999999999999</v>
      </c>
      <c r="J3012" s="394">
        <v>252.3</v>
      </c>
      <c r="K3012" s="393" t="s">
        <v>1033</v>
      </c>
    </row>
    <row r="3013" spans="1:12" hidden="1" x14ac:dyDescent="0.3">
      <c r="A3013" s="397" t="s">
        <v>4566</v>
      </c>
      <c r="C3013" s="397" t="s">
        <v>1053</v>
      </c>
      <c r="D3013" s="397" t="s">
        <v>5207</v>
      </c>
      <c r="E3013" s="397" t="s">
        <v>5206</v>
      </c>
      <c r="F3013" s="397" t="s">
        <v>191</v>
      </c>
      <c r="G3013" s="396">
        <v>1</v>
      </c>
      <c r="H3013" s="395">
        <v>577645.51600000006</v>
      </c>
      <c r="I3013" s="394">
        <v>541882.78</v>
      </c>
      <c r="J3013" s="394">
        <v>825207.88</v>
      </c>
      <c r="K3013" s="393" t="s">
        <v>1033</v>
      </c>
    </row>
    <row r="3014" spans="1:12" hidden="1" x14ac:dyDescent="0.3">
      <c r="A3014" s="397" t="s">
        <v>4566</v>
      </c>
      <c r="C3014" s="397" t="s">
        <v>1053</v>
      </c>
      <c r="D3014" s="397" t="s">
        <v>4565</v>
      </c>
      <c r="E3014" s="397" t="s">
        <v>4564</v>
      </c>
      <c r="F3014" s="397" t="s">
        <v>191</v>
      </c>
      <c r="G3014" s="396">
        <v>1</v>
      </c>
      <c r="H3014" s="395">
        <v>153475.28699999998</v>
      </c>
      <c r="I3014" s="394">
        <v>22873.57</v>
      </c>
      <c r="J3014" s="394">
        <v>219250.41</v>
      </c>
      <c r="K3014" s="393" t="s">
        <v>1033</v>
      </c>
    </row>
    <row r="3015" spans="1:12" hidden="1" x14ac:dyDescent="0.3">
      <c r="A3015" s="397" t="s">
        <v>5213</v>
      </c>
      <c r="C3015" s="397" t="s">
        <v>1053</v>
      </c>
      <c r="D3015" s="397" t="s">
        <v>5212</v>
      </c>
      <c r="E3015" s="397" t="s">
        <v>5211</v>
      </c>
      <c r="F3015" s="397" t="s">
        <v>191</v>
      </c>
      <c r="G3015" s="396">
        <v>1</v>
      </c>
      <c r="H3015" s="395">
        <v>576003.23899999994</v>
      </c>
      <c r="I3015" s="394">
        <v>2014.25</v>
      </c>
      <c r="J3015" s="394">
        <v>822861.77</v>
      </c>
      <c r="K3015" s="393" t="s">
        <v>1033</v>
      </c>
    </row>
    <row r="3016" spans="1:12" hidden="1" x14ac:dyDescent="0.3">
      <c r="A3016" s="397" t="s">
        <v>1090</v>
      </c>
      <c r="C3016" s="397" t="s">
        <v>1034</v>
      </c>
      <c r="D3016" s="397" t="s">
        <v>1089</v>
      </c>
      <c r="E3016" s="397" t="s">
        <v>1088</v>
      </c>
      <c r="F3016" s="397" t="s">
        <v>416</v>
      </c>
      <c r="G3016" s="396">
        <v>1</v>
      </c>
      <c r="H3016" s="395">
        <v>7212.17</v>
      </c>
      <c r="I3016" s="394">
        <v>8765.64</v>
      </c>
      <c r="J3016" s="394">
        <v>10303.1</v>
      </c>
      <c r="K3016" s="393" t="s">
        <v>1033</v>
      </c>
      <c r="L3016" s="395">
        <v>1</v>
      </c>
    </row>
    <row r="3017" spans="1:12" hidden="1" x14ac:dyDescent="0.3">
      <c r="A3017" s="397" t="s">
        <v>1123</v>
      </c>
      <c r="C3017" s="397" t="s">
        <v>1053</v>
      </c>
      <c r="D3017" s="397" t="s">
        <v>1490</v>
      </c>
      <c r="E3017" s="397" t="s">
        <v>1489</v>
      </c>
      <c r="F3017" s="397" t="s">
        <v>191</v>
      </c>
      <c r="G3017" s="396">
        <v>1</v>
      </c>
      <c r="H3017" s="395">
        <v>231923.09700000001</v>
      </c>
      <c r="I3017" s="394">
        <v>169837.58000000002</v>
      </c>
      <c r="J3017" s="394">
        <v>331318.71000000002</v>
      </c>
      <c r="K3017" s="393" t="s">
        <v>1033</v>
      </c>
    </row>
    <row r="3018" spans="1:12" hidden="1" x14ac:dyDescent="0.3">
      <c r="A3018" s="397" t="s">
        <v>1123</v>
      </c>
      <c r="C3018" s="397" t="s">
        <v>1034</v>
      </c>
      <c r="D3018" s="397" t="s">
        <v>1122</v>
      </c>
      <c r="E3018" s="397" t="s">
        <v>1121</v>
      </c>
      <c r="F3018" s="397" t="s">
        <v>416</v>
      </c>
      <c r="G3018" s="396">
        <v>3</v>
      </c>
      <c r="H3018" s="395">
        <v>9302.5</v>
      </c>
      <c r="I3018" s="394">
        <v>2050</v>
      </c>
      <c r="J3018" s="394">
        <v>15250</v>
      </c>
      <c r="K3018" s="393" t="s">
        <v>1033</v>
      </c>
      <c r="L3018" s="395">
        <v>1</v>
      </c>
    </row>
    <row r="3019" spans="1:12" hidden="1" x14ac:dyDescent="0.3">
      <c r="A3019" s="397" t="s">
        <v>1132</v>
      </c>
      <c r="C3019" s="397" t="s">
        <v>1034</v>
      </c>
      <c r="D3019" s="397" t="s">
        <v>1131</v>
      </c>
      <c r="E3019" s="397" t="s">
        <v>1130</v>
      </c>
      <c r="F3019" s="397" t="s">
        <v>416</v>
      </c>
      <c r="G3019" s="396">
        <v>1</v>
      </c>
      <c r="H3019" s="395">
        <v>799.99919999999997</v>
      </c>
      <c r="I3019" s="394">
        <v>800</v>
      </c>
      <c r="J3019" s="394">
        <v>1269.8399999999999</v>
      </c>
      <c r="K3019" s="393" t="s">
        <v>1033</v>
      </c>
    </row>
    <row r="3020" spans="1:12" hidden="1" x14ac:dyDescent="0.3">
      <c r="A3020" s="397" t="s">
        <v>1084</v>
      </c>
      <c r="C3020" s="397" t="s">
        <v>1034</v>
      </c>
      <c r="D3020" s="397" t="s">
        <v>1083</v>
      </c>
      <c r="E3020" s="397" t="s">
        <v>1082</v>
      </c>
      <c r="F3020" s="397" t="s">
        <v>416</v>
      </c>
      <c r="G3020" s="396">
        <v>1</v>
      </c>
      <c r="H3020" s="395">
        <v>8974.3436999999994</v>
      </c>
      <c r="I3020" s="394">
        <v>10896.7</v>
      </c>
      <c r="J3020" s="394">
        <v>14244.99</v>
      </c>
      <c r="K3020" s="393" t="s">
        <v>1033</v>
      </c>
    </row>
    <row r="3021" spans="1:12" hidden="1" x14ac:dyDescent="0.3">
      <c r="A3021" s="397" t="s">
        <v>5173</v>
      </c>
      <c r="C3021" s="397" t="s">
        <v>1053</v>
      </c>
      <c r="D3021" s="397" t="s">
        <v>5172</v>
      </c>
      <c r="E3021" s="397" t="s">
        <v>5166</v>
      </c>
      <c r="F3021" s="397" t="s">
        <v>191</v>
      </c>
      <c r="G3021" s="396">
        <v>1</v>
      </c>
      <c r="H3021" s="395">
        <v>540.02199999999993</v>
      </c>
      <c r="I3021" s="394">
        <v>310.87</v>
      </c>
      <c r="J3021" s="394">
        <v>771.46</v>
      </c>
      <c r="K3021" s="393" t="s">
        <v>1033</v>
      </c>
    </row>
    <row r="3022" spans="1:12" hidden="1" x14ac:dyDescent="0.3">
      <c r="A3022" s="397" t="s">
        <v>5168</v>
      </c>
      <c r="C3022" s="397" t="s">
        <v>1053</v>
      </c>
      <c r="D3022" s="397" t="s">
        <v>5167</v>
      </c>
      <c r="E3022" s="397" t="s">
        <v>5166</v>
      </c>
      <c r="F3022" s="397" t="s">
        <v>191</v>
      </c>
      <c r="G3022" s="396">
        <v>1</v>
      </c>
      <c r="H3022" s="395">
        <v>168413.098</v>
      </c>
      <c r="I3022" s="394">
        <v>1365.02</v>
      </c>
      <c r="J3022" s="394">
        <v>240590.14</v>
      </c>
      <c r="K3022" s="393" t="s">
        <v>1033</v>
      </c>
    </row>
    <row r="3023" spans="1:12" hidden="1" x14ac:dyDescent="0.3">
      <c r="A3023" s="397" t="s">
        <v>1150</v>
      </c>
      <c r="C3023" s="397" t="s">
        <v>1034</v>
      </c>
      <c r="D3023" s="397" t="s">
        <v>1149</v>
      </c>
      <c r="E3023" s="397" t="s">
        <v>1148</v>
      </c>
      <c r="F3023" s="397" t="s">
        <v>416</v>
      </c>
      <c r="G3023" s="396">
        <v>2</v>
      </c>
      <c r="H3023" s="395">
        <v>275.00129999999996</v>
      </c>
      <c r="I3023" s="394">
        <v>1967.22</v>
      </c>
      <c r="J3023" s="394">
        <v>436.51</v>
      </c>
      <c r="K3023" s="393" t="s">
        <v>1033</v>
      </c>
    </row>
    <row r="3024" spans="1:12" hidden="1" x14ac:dyDescent="0.3">
      <c r="A3024" s="397" t="s">
        <v>5153</v>
      </c>
      <c r="C3024" s="397" t="s">
        <v>1053</v>
      </c>
      <c r="D3024" s="397" t="s">
        <v>5152</v>
      </c>
      <c r="E3024" s="397" t="s">
        <v>5151</v>
      </c>
      <c r="F3024" s="397" t="s">
        <v>191</v>
      </c>
      <c r="G3024" s="396">
        <v>1</v>
      </c>
      <c r="H3024" s="395">
        <v>85620.940999999992</v>
      </c>
      <c r="I3024" s="394">
        <v>5034.4799999999996</v>
      </c>
      <c r="J3024" s="394">
        <v>122315.63</v>
      </c>
      <c r="K3024" s="393" t="s">
        <v>1033</v>
      </c>
    </row>
    <row r="3025" spans="1:11" hidden="1" x14ac:dyDescent="0.3">
      <c r="A3025" s="397" t="s">
        <v>5677</v>
      </c>
      <c r="C3025" s="397" t="s">
        <v>1053</v>
      </c>
      <c r="D3025" s="397" t="s">
        <v>5676</v>
      </c>
      <c r="E3025" s="397" t="s">
        <v>5675</v>
      </c>
      <c r="F3025" s="397" t="s">
        <v>191</v>
      </c>
      <c r="G3025" s="396">
        <v>1</v>
      </c>
      <c r="H3025" s="395">
        <v>333.66199999999998</v>
      </c>
      <c r="I3025" s="394">
        <v>240.98000000000002</v>
      </c>
      <c r="J3025" s="394">
        <v>476.66</v>
      </c>
      <c r="K3025" s="393" t="s">
        <v>1033</v>
      </c>
    </row>
    <row r="3026" spans="1:11" hidden="1" x14ac:dyDescent="0.3">
      <c r="A3026" s="397" t="s">
        <v>5819</v>
      </c>
      <c r="C3026" s="397" t="s">
        <v>1053</v>
      </c>
      <c r="D3026" s="397" t="s">
        <v>5818</v>
      </c>
      <c r="E3026" s="397" t="s">
        <v>5817</v>
      </c>
      <c r="F3026" s="397" t="s">
        <v>191</v>
      </c>
      <c r="G3026" s="396">
        <v>1</v>
      </c>
      <c r="H3026" s="395">
        <v>187943.86800000002</v>
      </c>
      <c r="I3026" s="394">
        <v>163957.96</v>
      </c>
      <c r="J3026" s="394">
        <v>268491.24</v>
      </c>
      <c r="K3026" s="393" t="s">
        <v>1033</v>
      </c>
    </row>
    <row r="3027" spans="1:11" hidden="1" x14ac:dyDescent="0.3">
      <c r="A3027" s="397" t="s">
        <v>6050</v>
      </c>
      <c r="C3027" s="397" t="s">
        <v>1053</v>
      </c>
      <c r="D3027" s="397" t="s">
        <v>6049</v>
      </c>
      <c r="E3027" s="397" t="s">
        <v>6048</v>
      </c>
      <c r="F3027" s="397" t="s">
        <v>191</v>
      </c>
      <c r="G3027" s="396">
        <v>1</v>
      </c>
      <c r="H3027" s="395">
        <v>414347.96200000006</v>
      </c>
      <c r="I3027" s="394">
        <v>879.33</v>
      </c>
      <c r="J3027" s="394">
        <v>591925.66</v>
      </c>
      <c r="K3027" s="393" t="s">
        <v>1033</v>
      </c>
    </row>
    <row r="3028" spans="1:11" hidden="1" x14ac:dyDescent="0.3">
      <c r="A3028" s="397" t="s">
        <v>7973</v>
      </c>
      <c r="C3028" s="397" t="s">
        <v>1053</v>
      </c>
      <c r="D3028" s="397" t="s">
        <v>7972</v>
      </c>
      <c r="E3028" s="397" t="s">
        <v>7971</v>
      </c>
      <c r="F3028" s="397" t="s">
        <v>191</v>
      </c>
      <c r="G3028" s="396">
        <v>1</v>
      </c>
      <c r="H3028" s="395">
        <v>4179.1759999999995</v>
      </c>
      <c r="I3028" s="394">
        <v>129605.02</v>
      </c>
      <c r="J3028" s="394">
        <v>5223.97</v>
      </c>
      <c r="K3028" s="393" t="s">
        <v>1033</v>
      </c>
    </row>
    <row r="3029" spans="1:11" hidden="1" x14ac:dyDescent="0.3">
      <c r="A3029" s="397" t="s">
        <v>5205</v>
      </c>
      <c r="C3029" s="397" t="s">
        <v>1053</v>
      </c>
      <c r="D3029" s="397" t="s">
        <v>5988</v>
      </c>
      <c r="E3029" s="397" t="s">
        <v>5987</v>
      </c>
      <c r="F3029" s="397" t="s">
        <v>191</v>
      </c>
      <c r="G3029" s="396">
        <v>1</v>
      </c>
      <c r="H3029" s="395">
        <v>198296.18899999998</v>
      </c>
      <c r="I3029" s="394">
        <v>194821.92</v>
      </c>
      <c r="J3029" s="394">
        <v>283280.27</v>
      </c>
      <c r="K3029" s="393" t="s">
        <v>1033</v>
      </c>
    </row>
    <row r="3030" spans="1:11" hidden="1" x14ac:dyDescent="0.3">
      <c r="A3030" s="397" t="s">
        <v>5205</v>
      </c>
      <c r="C3030" s="397" t="s">
        <v>1053</v>
      </c>
      <c r="D3030" s="397" t="s">
        <v>5973</v>
      </c>
      <c r="E3030" s="397" t="s">
        <v>5972</v>
      </c>
      <c r="F3030" s="397" t="s">
        <v>191</v>
      </c>
      <c r="G3030" s="396">
        <v>1</v>
      </c>
      <c r="H3030" s="395">
        <v>130021.052</v>
      </c>
      <c r="I3030" s="394">
        <v>120549.48</v>
      </c>
      <c r="J3030" s="394">
        <v>185744.36000000002</v>
      </c>
      <c r="K3030" s="393" t="s">
        <v>1033</v>
      </c>
    </row>
    <row r="3031" spans="1:11" hidden="1" x14ac:dyDescent="0.3">
      <c r="A3031" s="397" t="s">
        <v>5205</v>
      </c>
      <c r="C3031" s="397" t="s">
        <v>1053</v>
      </c>
      <c r="D3031" s="397" t="s">
        <v>5204</v>
      </c>
      <c r="E3031" s="397" t="s">
        <v>5203</v>
      </c>
      <c r="F3031" s="397" t="s">
        <v>191</v>
      </c>
      <c r="G3031" s="396">
        <v>1</v>
      </c>
      <c r="H3031" s="395">
        <v>103752.54400000001</v>
      </c>
      <c r="I3031" s="394">
        <v>100877.2</v>
      </c>
      <c r="J3031" s="394">
        <v>148217.92000000001</v>
      </c>
      <c r="K3031" s="393" t="s">
        <v>1033</v>
      </c>
    </row>
    <row r="3032" spans="1:11" hidden="1" x14ac:dyDescent="0.3">
      <c r="A3032" s="397" t="s">
        <v>5810</v>
      </c>
      <c r="C3032" s="397" t="s">
        <v>1053</v>
      </c>
      <c r="D3032" s="397" t="s">
        <v>5809</v>
      </c>
      <c r="E3032" s="397" t="s">
        <v>5808</v>
      </c>
      <c r="F3032" s="397" t="s">
        <v>191</v>
      </c>
      <c r="G3032" s="396">
        <v>1</v>
      </c>
      <c r="H3032" s="395">
        <v>469271.978</v>
      </c>
      <c r="I3032" s="394">
        <v>373440.84</v>
      </c>
      <c r="J3032" s="394">
        <v>670388.54</v>
      </c>
      <c r="K3032" s="393" t="s">
        <v>1033</v>
      </c>
    </row>
    <row r="3033" spans="1:11" hidden="1" x14ac:dyDescent="0.3">
      <c r="A3033" s="397" t="s">
        <v>1384</v>
      </c>
      <c r="C3033" s="397" t="s">
        <v>1053</v>
      </c>
      <c r="D3033" s="397" t="s">
        <v>1383</v>
      </c>
      <c r="E3033" s="397" t="s">
        <v>1382</v>
      </c>
      <c r="F3033" s="397" t="s">
        <v>191</v>
      </c>
      <c r="G3033" s="396">
        <v>1</v>
      </c>
      <c r="H3033" s="395">
        <v>71824.570999999996</v>
      </c>
      <c r="I3033" s="394">
        <v>44042.879999999997</v>
      </c>
      <c r="J3033" s="394">
        <v>102606.53</v>
      </c>
      <c r="K3033" s="393" t="s">
        <v>1033</v>
      </c>
    </row>
    <row r="3034" spans="1:11" hidden="1" x14ac:dyDescent="0.3">
      <c r="A3034" s="397" t="s">
        <v>5414</v>
      </c>
      <c r="C3034" s="397" t="s">
        <v>1053</v>
      </c>
      <c r="D3034" s="397" t="s">
        <v>5413</v>
      </c>
      <c r="E3034" s="397" t="s">
        <v>5412</v>
      </c>
      <c r="F3034" s="397" t="s">
        <v>191</v>
      </c>
      <c r="G3034" s="396">
        <v>1</v>
      </c>
      <c r="H3034" s="395">
        <v>227998.86199999996</v>
      </c>
      <c r="I3034" s="394">
        <v>37921.69</v>
      </c>
      <c r="J3034" s="394">
        <v>325712.65999999997</v>
      </c>
      <c r="K3034" s="393" t="s">
        <v>1033</v>
      </c>
    </row>
    <row r="3035" spans="1:11" hidden="1" x14ac:dyDescent="0.3">
      <c r="A3035" s="397" t="s">
        <v>5171</v>
      </c>
      <c r="C3035" s="397" t="s">
        <v>1053</v>
      </c>
      <c r="D3035" s="397" t="s">
        <v>5170</v>
      </c>
      <c r="E3035" s="397" t="s">
        <v>5169</v>
      </c>
      <c r="F3035" s="397" t="s">
        <v>191</v>
      </c>
      <c r="G3035" s="396">
        <v>1</v>
      </c>
      <c r="H3035" s="395">
        <v>123079.537</v>
      </c>
      <c r="I3035" s="394">
        <v>7229.25</v>
      </c>
      <c r="J3035" s="394">
        <v>175827.91</v>
      </c>
      <c r="K3035" s="393" t="s">
        <v>1033</v>
      </c>
    </row>
    <row r="3036" spans="1:11" hidden="1" x14ac:dyDescent="0.3">
      <c r="A3036" s="397" t="s">
        <v>5150</v>
      </c>
      <c r="C3036" s="397" t="s">
        <v>1053</v>
      </c>
      <c r="D3036" s="397" t="s">
        <v>5149</v>
      </c>
      <c r="E3036" s="397" t="s">
        <v>5148</v>
      </c>
      <c r="F3036" s="397" t="s">
        <v>191</v>
      </c>
      <c r="G3036" s="396">
        <v>1</v>
      </c>
      <c r="H3036" s="395">
        <v>214622.674</v>
      </c>
      <c r="I3036" s="394">
        <v>26840.240000000002</v>
      </c>
      <c r="J3036" s="394">
        <v>306603.82</v>
      </c>
      <c r="K3036" s="393" t="s">
        <v>1033</v>
      </c>
    </row>
    <row r="3037" spans="1:11" hidden="1" x14ac:dyDescent="0.3">
      <c r="A3037" s="397" t="s">
        <v>5557</v>
      </c>
      <c r="C3037" s="397" t="s">
        <v>1053</v>
      </c>
      <c r="D3037" s="397" t="s">
        <v>5556</v>
      </c>
      <c r="E3037" s="397" t="s">
        <v>441</v>
      </c>
      <c r="F3037" s="397" t="s">
        <v>191</v>
      </c>
      <c r="G3037" s="396">
        <v>1</v>
      </c>
      <c r="H3037" s="395">
        <v>99021.173999999999</v>
      </c>
      <c r="I3037" s="394">
        <v>94979.900000000009</v>
      </c>
      <c r="J3037" s="394">
        <v>141458.82</v>
      </c>
      <c r="K3037" s="393" t="s">
        <v>1033</v>
      </c>
    </row>
    <row r="3038" spans="1:11" hidden="1" x14ac:dyDescent="0.3">
      <c r="A3038" s="397" t="s">
        <v>1482</v>
      </c>
      <c r="C3038" s="397" t="s">
        <v>1053</v>
      </c>
      <c r="D3038" s="397" t="s">
        <v>1481</v>
      </c>
      <c r="E3038" s="397" t="s">
        <v>1480</v>
      </c>
      <c r="F3038" s="397" t="s">
        <v>191</v>
      </c>
      <c r="G3038" s="396">
        <v>24</v>
      </c>
      <c r="H3038" s="395">
        <v>86751.861000000004</v>
      </c>
      <c r="I3038" s="394">
        <v>78583.28</v>
      </c>
      <c r="J3038" s="394">
        <v>123931.23</v>
      </c>
      <c r="K3038" s="393" t="s">
        <v>1033</v>
      </c>
    </row>
    <row r="3039" spans="1:11" hidden="1" x14ac:dyDescent="0.3">
      <c r="A3039" s="397" t="s">
        <v>5165</v>
      </c>
      <c r="C3039" s="397" t="s">
        <v>1053</v>
      </c>
      <c r="D3039" s="397" t="s">
        <v>5164</v>
      </c>
      <c r="E3039" s="397" t="s">
        <v>5163</v>
      </c>
      <c r="F3039" s="397" t="s">
        <v>191</v>
      </c>
      <c r="G3039" s="396">
        <v>1</v>
      </c>
      <c r="H3039" s="395">
        <v>303275.28000000003</v>
      </c>
      <c r="I3039" s="394">
        <v>1796.45</v>
      </c>
      <c r="J3039" s="394">
        <v>433250.4</v>
      </c>
      <c r="K3039" s="393" t="s">
        <v>1033</v>
      </c>
    </row>
    <row r="3040" spans="1:11" hidden="1" x14ac:dyDescent="0.3">
      <c r="A3040" s="397" t="s">
        <v>5024</v>
      </c>
      <c r="C3040" s="397" t="s">
        <v>1053</v>
      </c>
      <c r="D3040" s="397" t="s">
        <v>5023</v>
      </c>
      <c r="E3040" s="397" t="s">
        <v>5022</v>
      </c>
      <c r="F3040" s="397" t="s">
        <v>191</v>
      </c>
      <c r="G3040" s="396">
        <v>1</v>
      </c>
      <c r="H3040" s="395">
        <v>2504939.5350000001</v>
      </c>
      <c r="I3040" s="394">
        <v>121352.28</v>
      </c>
      <c r="J3040" s="394">
        <v>3578485.0500000003</v>
      </c>
      <c r="K3040" s="393" t="s">
        <v>1033</v>
      </c>
    </row>
    <row r="3041" spans="1:12" hidden="1" x14ac:dyDescent="0.3">
      <c r="A3041" s="397" t="s">
        <v>6059</v>
      </c>
      <c r="C3041" s="397" t="s">
        <v>1053</v>
      </c>
      <c r="D3041" s="397" t="s">
        <v>6058</v>
      </c>
      <c r="E3041" s="397" t="s">
        <v>6057</v>
      </c>
      <c r="F3041" s="397" t="s">
        <v>191</v>
      </c>
      <c r="G3041" s="396">
        <v>1</v>
      </c>
      <c r="H3041" s="395">
        <v>595575.88300000003</v>
      </c>
      <c r="I3041" s="394">
        <v>2507.4699999999998</v>
      </c>
      <c r="J3041" s="394">
        <v>850822.69000000006</v>
      </c>
      <c r="K3041" s="393" t="s">
        <v>1033</v>
      </c>
    </row>
    <row r="3042" spans="1:12" hidden="1" x14ac:dyDescent="0.3">
      <c r="A3042" s="397" t="s">
        <v>6056</v>
      </c>
      <c r="C3042" s="397" t="s">
        <v>1053</v>
      </c>
      <c r="D3042" s="397" t="s">
        <v>6055</v>
      </c>
      <c r="E3042" s="397" t="s">
        <v>6054</v>
      </c>
      <c r="F3042" s="397" t="s">
        <v>191</v>
      </c>
      <c r="G3042" s="396">
        <v>3</v>
      </c>
      <c r="H3042" s="395">
        <v>595575.88300000003</v>
      </c>
      <c r="I3042" s="394">
        <v>2279.4699999999998</v>
      </c>
      <c r="J3042" s="394">
        <v>850822.69000000006</v>
      </c>
      <c r="K3042" s="393" t="s">
        <v>1033</v>
      </c>
    </row>
    <row r="3043" spans="1:12" hidden="1" x14ac:dyDescent="0.3">
      <c r="A3043" s="397" t="s">
        <v>1117</v>
      </c>
      <c r="C3043" s="397" t="s">
        <v>1034</v>
      </c>
      <c r="D3043" s="397" t="s">
        <v>1116</v>
      </c>
      <c r="E3043" s="397" t="s">
        <v>1115</v>
      </c>
      <c r="F3043" s="397" t="s">
        <v>416</v>
      </c>
      <c r="G3043" s="396">
        <v>1</v>
      </c>
      <c r="H3043" s="395">
        <v>98.695800000000006</v>
      </c>
      <c r="I3043" s="394">
        <v>98.7</v>
      </c>
      <c r="J3043" s="394">
        <v>156.66</v>
      </c>
      <c r="K3043" s="393" t="s">
        <v>1033</v>
      </c>
    </row>
    <row r="3044" spans="1:12" hidden="1" x14ac:dyDescent="0.3">
      <c r="A3044" s="397" t="s">
        <v>1461</v>
      </c>
      <c r="C3044" s="397" t="s">
        <v>1053</v>
      </c>
      <c r="D3044" s="397" t="s">
        <v>1460</v>
      </c>
      <c r="E3044" s="397" t="s">
        <v>1459</v>
      </c>
      <c r="F3044" s="397" t="s">
        <v>191</v>
      </c>
      <c r="G3044" s="396">
        <v>7</v>
      </c>
      <c r="H3044" s="395">
        <v>245015.883</v>
      </c>
      <c r="I3044" s="394">
        <v>239039.89</v>
      </c>
      <c r="J3044" s="394">
        <v>350022.69</v>
      </c>
      <c r="K3044" s="393" t="s">
        <v>1033</v>
      </c>
      <c r="L3044" s="395">
        <v>1</v>
      </c>
    </row>
    <row r="3045" spans="1:12" hidden="1" x14ac:dyDescent="0.3">
      <c r="A3045" s="397" t="s">
        <v>7167</v>
      </c>
      <c r="C3045" s="397" t="s">
        <v>1034</v>
      </c>
      <c r="D3045" s="397" t="s">
        <v>7166</v>
      </c>
      <c r="E3045" s="397" t="s">
        <v>7165</v>
      </c>
      <c r="F3045" s="397" t="s">
        <v>416</v>
      </c>
      <c r="G3045" s="396">
        <v>1</v>
      </c>
      <c r="H3045" s="395">
        <v>107.10000000000001</v>
      </c>
      <c r="I3045" s="394">
        <v>107.10000000000001</v>
      </c>
      <c r="J3045" s="394">
        <v>170</v>
      </c>
      <c r="K3045" s="393" t="s">
        <v>1033</v>
      </c>
    </row>
    <row r="3046" spans="1:12" hidden="1" x14ac:dyDescent="0.3">
      <c r="A3046" s="397" t="s">
        <v>5685</v>
      </c>
      <c r="C3046" s="397" t="s">
        <v>1053</v>
      </c>
      <c r="D3046" s="397" t="s">
        <v>5684</v>
      </c>
      <c r="E3046" s="397" t="s">
        <v>5683</v>
      </c>
      <c r="F3046" s="397" t="s">
        <v>191</v>
      </c>
      <c r="G3046" s="396">
        <v>1</v>
      </c>
      <c r="H3046" s="395">
        <v>123884.054</v>
      </c>
      <c r="I3046" s="394">
        <v>199.49</v>
      </c>
      <c r="J3046" s="394">
        <v>176977.22</v>
      </c>
      <c r="K3046" s="393" t="s">
        <v>1033</v>
      </c>
    </row>
    <row r="3047" spans="1:12" hidden="1" x14ac:dyDescent="0.3">
      <c r="A3047" s="397" t="s">
        <v>6036</v>
      </c>
      <c r="C3047" s="397" t="s">
        <v>1053</v>
      </c>
      <c r="D3047" s="397" t="s">
        <v>6035</v>
      </c>
      <c r="E3047" s="397" t="s">
        <v>6034</v>
      </c>
      <c r="F3047" s="397" t="s">
        <v>191</v>
      </c>
      <c r="G3047" s="396">
        <v>1</v>
      </c>
      <c r="H3047" s="395">
        <v>103752.54400000001</v>
      </c>
      <c r="I3047" s="394">
        <v>2948.93</v>
      </c>
      <c r="J3047" s="394">
        <v>148217.92000000001</v>
      </c>
      <c r="K3047" s="393" t="s">
        <v>1033</v>
      </c>
    </row>
    <row r="3048" spans="1:12" hidden="1" x14ac:dyDescent="0.3">
      <c r="A3048" s="397" t="s">
        <v>5682</v>
      </c>
      <c r="C3048" s="397" t="s">
        <v>1053</v>
      </c>
      <c r="D3048" s="397" t="s">
        <v>5681</v>
      </c>
      <c r="E3048" s="397" t="s">
        <v>5680</v>
      </c>
      <c r="F3048" s="397" t="s">
        <v>191</v>
      </c>
      <c r="G3048" s="396">
        <v>1</v>
      </c>
      <c r="H3048" s="395">
        <v>98619.668000000005</v>
      </c>
      <c r="I3048" s="394">
        <v>2803.4900000000002</v>
      </c>
      <c r="J3048" s="394">
        <v>140885.24</v>
      </c>
      <c r="K3048" s="393" t="s">
        <v>1033</v>
      </c>
    </row>
    <row r="3049" spans="1:12" hidden="1" x14ac:dyDescent="0.3">
      <c r="A3049" s="397" t="s">
        <v>5162</v>
      </c>
      <c r="C3049" s="397" t="s">
        <v>1053</v>
      </c>
      <c r="D3049" s="397" t="s">
        <v>5161</v>
      </c>
      <c r="E3049" s="397" t="s">
        <v>5160</v>
      </c>
      <c r="F3049" s="397" t="s">
        <v>191</v>
      </c>
      <c r="G3049" s="396">
        <v>1</v>
      </c>
      <c r="H3049" s="395">
        <v>155236.43800000002</v>
      </c>
      <c r="I3049" s="394">
        <v>743.05000000000007</v>
      </c>
      <c r="J3049" s="394">
        <v>221766.34</v>
      </c>
      <c r="K3049" s="393" t="s">
        <v>1033</v>
      </c>
    </row>
    <row r="3050" spans="1:12" hidden="1" x14ac:dyDescent="0.3">
      <c r="A3050" s="397" t="s">
        <v>4406</v>
      </c>
      <c r="C3050" s="397" t="s">
        <v>1053</v>
      </c>
      <c r="D3050" s="397" t="s">
        <v>4405</v>
      </c>
      <c r="E3050" s="397" t="s">
        <v>4404</v>
      </c>
      <c r="F3050" s="397" t="s">
        <v>191</v>
      </c>
      <c r="G3050" s="396">
        <v>1</v>
      </c>
      <c r="H3050" s="395">
        <v>29739.360000000001</v>
      </c>
      <c r="I3050" s="394">
        <v>90.94</v>
      </c>
      <c r="J3050" s="394">
        <v>42484.800000000003</v>
      </c>
      <c r="K3050" s="393" t="s">
        <v>1033</v>
      </c>
    </row>
    <row r="3051" spans="1:12" hidden="1" x14ac:dyDescent="0.3">
      <c r="A3051" s="397" t="s">
        <v>1138</v>
      </c>
      <c r="C3051" s="397" t="s">
        <v>1034</v>
      </c>
      <c r="D3051" s="397" t="s">
        <v>1137</v>
      </c>
      <c r="E3051" s="397" t="s">
        <v>1136</v>
      </c>
      <c r="F3051" s="397" t="s">
        <v>416</v>
      </c>
      <c r="G3051" s="396">
        <v>1</v>
      </c>
      <c r="H3051" s="395">
        <v>71.820000000000007</v>
      </c>
      <c r="I3051" s="394">
        <v>71.819999999999993</v>
      </c>
      <c r="J3051" s="394">
        <v>114</v>
      </c>
      <c r="K3051" s="393" t="s">
        <v>1033</v>
      </c>
    </row>
    <row r="3052" spans="1:12" hidden="1" x14ac:dyDescent="0.3">
      <c r="A3052" s="397" t="s">
        <v>5108</v>
      </c>
      <c r="C3052" s="397" t="s">
        <v>1053</v>
      </c>
      <c r="D3052" s="397" t="s">
        <v>5107</v>
      </c>
      <c r="E3052" s="397" t="s">
        <v>5106</v>
      </c>
      <c r="F3052" s="397" t="s">
        <v>191</v>
      </c>
      <c r="G3052" s="396">
        <v>1</v>
      </c>
      <c r="H3052" s="395">
        <v>173812.14199999999</v>
      </c>
      <c r="I3052" s="394">
        <v>269.57</v>
      </c>
      <c r="J3052" s="394">
        <v>248303.06</v>
      </c>
      <c r="K3052" s="393" t="s">
        <v>1033</v>
      </c>
    </row>
    <row r="3053" spans="1:12" hidden="1" x14ac:dyDescent="0.3">
      <c r="A3053" s="397" t="s">
        <v>1096</v>
      </c>
      <c r="C3053" s="397" t="s">
        <v>1034</v>
      </c>
      <c r="D3053" s="397" t="s">
        <v>1095</v>
      </c>
      <c r="E3053" s="397" t="s">
        <v>1094</v>
      </c>
      <c r="F3053" s="397" t="s">
        <v>416</v>
      </c>
      <c r="G3053" s="396">
        <v>2</v>
      </c>
      <c r="H3053" s="395">
        <v>13712.286000000002</v>
      </c>
      <c r="I3053" s="394">
        <v>13966.94</v>
      </c>
      <c r="J3053" s="394">
        <v>19588.98</v>
      </c>
      <c r="K3053" s="393" t="s">
        <v>1033</v>
      </c>
    </row>
    <row r="3054" spans="1:12" hidden="1" x14ac:dyDescent="0.3">
      <c r="A3054" s="397" t="s">
        <v>5202</v>
      </c>
      <c r="C3054" s="397" t="s">
        <v>1053</v>
      </c>
      <c r="D3054" s="397" t="s">
        <v>5201</v>
      </c>
      <c r="E3054" s="397" t="s">
        <v>5200</v>
      </c>
      <c r="F3054" s="397" t="s">
        <v>191</v>
      </c>
      <c r="G3054" s="396">
        <v>3</v>
      </c>
      <c r="H3054" s="395">
        <v>92135.869000000006</v>
      </c>
      <c r="I3054" s="394">
        <v>836.55000000000007</v>
      </c>
      <c r="J3054" s="394">
        <v>131622.67000000001</v>
      </c>
      <c r="K3054" s="393" t="s">
        <v>1033</v>
      </c>
    </row>
    <row r="3055" spans="1:12" hidden="1" x14ac:dyDescent="0.3">
      <c r="A3055" s="397" t="s">
        <v>4738</v>
      </c>
      <c r="C3055" s="397" t="s">
        <v>1053</v>
      </c>
      <c r="D3055" s="397" t="s">
        <v>4737</v>
      </c>
      <c r="E3055" s="397" t="s">
        <v>4736</v>
      </c>
      <c r="F3055" s="397" t="s">
        <v>191</v>
      </c>
      <c r="G3055" s="396">
        <v>1</v>
      </c>
      <c r="H3055" s="395">
        <v>710061.59700000007</v>
      </c>
      <c r="I3055" s="394">
        <v>41596.410000000003</v>
      </c>
      <c r="J3055" s="394">
        <v>1014373.7100000001</v>
      </c>
      <c r="K3055" s="393" t="s">
        <v>1033</v>
      </c>
    </row>
    <row r="3056" spans="1:12" hidden="1" x14ac:dyDescent="0.3">
      <c r="A3056" s="397" t="s">
        <v>4747</v>
      </c>
      <c r="C3056" s="397" t="s">
        <v>1053</v>
      </c>
      <c r="D3056" s="397" t="s">
        <v>4746</v>
      </c>
      <c r="E3056" s="397" t="s">
        <v>4745</v>
      </c>
      <c r="F3056" s="397" t="s">
        <v>191</v>
      </c>
      <c r="G3056" s="396">
        <v>1</v>
      </c>
      <c r="H3056" s="395">
        <v>709092.25800000003</v>
      </c>
      <c r="I3056" s="394">
        <v>3814.76</v>
      </c>
      <c r="J3056" s="394">
        <v>1012988.9400000001</v>
      </c>
      <c r="K3056" s="393" t="s">
        <v>1033</v>
      </c>
    </row>
    <row r="3057" spans="1:12" hidden="1" x14ac:dyDescent="0.3">
      <c r="A3057" s="397" t="s">
        <v>4952</v>
      </c>
      <c r="C3057" s="397" t="s">
        <v>1053</v>
      </c>
      <c r="D3057" s="397" t="s">
        <v>4951</v>
      </c>
      <c r="E3057" s="397" t="s">
        <v>4946</v>
      </c>
      <c r="F3057" s="397" t="s">
        <v>191</v>
      </c>
      <c r="G3057" s="396">
        <v>1</v>
      </c>
      <c r="H3057" s="395">
        <v>175892.47899999999</v>
      </c>
      <c r="I3057" s="394">
        <v>112760.29000000001</v>
      </c>
      <c r="J3057" s="394">
        <v>251274.97</v>
      </c>
      <c r="K3057" s="393" t="s">
        <v>1033</v>
      </c>
    </row>
    <row r="3058" spans="1:12" hidden="1" x14ac:dyDescent="0.3">
      <c r="A3058" s="397" t="s">
        <v>4744</v>
      </c>
      <c r="C3058" s="397" t="s">
        <v>1053</v>
      </c>
      <c r="D3058" s="397" t="s">
        <v>4743</v>
      </c>
      <c r="E3058" s="397" t="s">
        <v>4742</v>
      </c>
      <c r="F3058" s="397" t="s">
        <v>191</v>
      </c>
      <c r="G3058" s="396">
        <v>1</v>
      </c>
      <c r="H3058" s="395">
        <v>1284343.2070000002</v>
      </c>
      <c r="I3058" s="394">
        <v>4043.55</v>
      </c>
      <c r="J3058" s="394">
        <v>1834776.01</v>
      </c>
      <c r="K3058" s="393" t="s">
        <v>1033</v>
      </c>
    </row>
    <row r="3059" spans="1:12" hidden="1" x14ac:dyDescent="0.3">
      <c r="A3059" s="397" t="s">
        <v>4741</v>
      </c>
      <c r="C3059" s="397" t="s">
        <v>1053</v>
      </c>
      <c r="D3059" s="397" t="s">
        <v>4740</v>
      </c>
      <c r="E3059" s="397" t="s">
        <v>4739</v>
      </c>
      <c r="F3059" s="397" t="s">
        <v>191</v>
      </c>
      <c r="G3059" s="396">
        <v>1</v>
      </c>
      <c r="H3059" s="395">
        <v>1097056.1629999999</v>
      </c>
      <c r="I3059" s="394">
        <v>1014729.6900000001</v>
      </c>
      <c r="J3059" s="394">
        <v>1567223.09</v>
      </c>
      <c r="K3059" s="393" t="s">
        <v>1033</v>
      </c>
    </row>
    <row r="3060" spans="1:12" hidden="1" x14ac:dyDescent="0.3">
      <c r="A3060" s="397" t="s">
        <v>1250</v>
      </c>
      <c r="C3060" s="397" t="s">
        <v>1053</v>
      </c>
      <c r="D3060" s="397" t="s">
        <v>1249</v>
      </c>
      <c r="E3060" s="397" t="s">
        <v>1248</v>
      </c>
      <c r="F3060" s="397" t="s">
        <v>191</v>
      </c>
      <c r="G3060" s="396">
        <v>1</v>
      </c>
      <c r="H3060" s="395">
        <v>78965.592999999993</v>
      </c>
      <c r="I3060" s="394">
        <v>166.4</v>
      </c>
      <c r="J3060" s="394">
        <v>112807.99</v>
      </c>
      <c r="K3060" s="393" t="s">
        <v>1033</v>
      </c>
    </row>
    <row r="3061" spans="1:12" hidden="1" x14ac:dyDescent="0.3">
      <c r="A3061" s="397" t="s">
        <v>1192</v>
      </c>
      <c r="C3061" s="397" t="s">
        <v>1053</v>
      </c>
      <c r="D3061" s="397" t="s">
        <v>5196</v>
      </c>
      <c r="E3061" s="397" t="s">
        <v>5195</v>
      </c>
      <c r="F3061" s="397" t="s">
        <v>191</v>
      </c>
      <c r="G3061" s="396">
        <v>1</v>
      </c>
      <c r="H3061" s="395">
        <v>90010.634000000005</v>
      </c>
      <c r="I3061" s="394">
        <v>61244.97</v>
      </c>
      <c r="J3061" s="394">
        <v>128586.62000000001</v>
      </c>
      <c r="K3061" s="393" t="s">
        <v>1033</v>
      </c>
    </row>
    <row r="3062" spans="1:12" hidden="1" x14ac:dyDescent="0.3">
      <c r="A3062" s="397" t="s">
        <v>1192</v>
      </c>
      <c r="C3062" s="397" t="s">
        <v>1053</v>
      </c>
      <c r="D3062" s="397" t="s">
        <v>1191</v>
      </c>
      <c r="E3062" s="397" t="s">
        <v>1190</v>
      </c>
      <c r="F3062" s="397" t="s">
        <v>191</v>
      </c>
      <c r="G3062" s="396">
        <v>4</v>
      </c>
      <c r="H3062" s="395">
        <v>30175.957000000002</v>
      </c>
      <c r="I3062" s="394">
        <v>572.53</v>
      </c>
      <c r="J3062" s="394">
        <v>43108.51</v>
      </c>
      <c r="K3062" s="393" t="s">
        <v>1033</v>
      </c>
      <c r="L3062" s="395">
        <v>2</v>
      </c>
    </row>
    <row r="3063" spans="1:12" hidden="1" x14ac:dyDescent="0.3">
      <c r="A3063" s="397" t="s">
        <v>1075</v>
      </c>
      <c r="C3063" s="397" t="s">
        <v>1034</v>
      </c>
      <c r="D3063" s="397" t="s">
        <v>1074</v>
      </c>
      <c r="E3063" s="397" t="s">
        <v>1073</v>
      </c>
      <c r="F3063" s="397" t="s">
        <v>416</v>
      </c>
      <c r="G3063" s="396">
        <v>1</v>
      </c>
      <c r="H3063" s="395">
        <v>322212.51399999997</v>
      </c>
      <c r="I3063" s="394">
        <v>252704.08000000002</v>
      </c>
      <c r="J3063" s="394">
        <v>495711.56</v>
      </c>
      <c r="K3063" s="393" t="s">
        <v>1033</v>
      </c>
      <c r="L3063" s="395">
        <v>1</v>
      </c>
    </row>
    <row r="3064" spans="1:12" hidden="1" x14ac:dyDescent="0.3">
      <c r="A3064" s="397" t="s">
        <v>5199</v>
      </c>
      <c r="C3064" s="397" t="s">
        <v>1053</v>
      </c>
      <c r="D3064" s="397" t="s">
        <v>5198</v>
      </c>
      <c r="E3064" s="397" t="s">
        <v>5197</v>
      </c>
      <c r="F3064" s="397" t="s">
        <v>191</v>
      </c>
      <c r="G3064" s="396">
        <v>1</v>
      </c>
      <c r="H3064" s="395">
        <v>57338.029000000002</v>
      </c>
      <c r="I3064" s="394">
        <v>35159.72</v>
      </c>
      <c r="J3064" s="394">
        <v>81911.47</v>
      </c>
      <c r="K3064" s="393" t="s">
        <v>1033</v>
      </c>
    </row>
    <row r="3065" spans="1:12" hidden="1" x14ac:dyDescent="0.3">
      <c r="A3065" s="397" t="s">
        <v>7369</v>
      </c>
      <c r="C3065" s="397" t="s">
        <v>1053</v>
      </c>
      <c r="D3065" s="397" t="s">
        <v>7368</v>
      </c>
      <c r="E3065" s="397" t="s">
        <v>7367</v>
      </c>
      <c r="F3065" s="397" t="s">
        <v>191</v>
      </c>
      <c r="G3065" s="396">
        <v>4</v>
      </c>
      <c r="H3065" s="395">
        <v>309186.16800000001</v>
      </c>
      <c r="I3065" s="394">
        <v>309186.17</v>
      </c>
      <c r="J3065" s="394">
        <v>515310.28</v>
      </c>
      <c r="K3065" s="393" t="s">
        <v>1033</v>
      </c>
    </row>
    <row r="3066" spans="1:12" hidden="1" x14ac:dyDescent="0.3">
      <c r="A3066" s="397" t="s">
        <v>7340</v>
      </c>
      <c r="C3066" s="397" t="s">
        <v>1053</v>
      </c>
      <c r="D3066" s="397" t="s">
        <v>7339</v>
      </c>
      <c r="E3066" s="397" t="s">
        <v>7338</v>
      </c>
      <c r="F3066" s="397" t="s">
        <v>191</v>
      </c>
      <c r="G3066" s="396">
        <v>4</v>
      </c>
      <c r="H3066" s="395">
        <v>300725.97600000002</v>
      </c>
      <c r="I3066" s="394">
        <v>274263.64</v>
      </c>
      <c r="J3066" s="394">
        <v>501209.96</v>
      </c>
      <c r="K3066" s="393" t="s">
        <v>1033</v>
      </c>
    </row>
    <row r="3067" spans="1:12" hidden="1" x14ac:dyDescent="0.3">
      <c r="A3067" s="397" t="s">
        <v>7189</v>
      </c>
      <c r="C3067" s="397" t="s">
        <v>1053</v>
      </c>
      <c r="D3067" s="397" t="s">
        <v>7188</v>
      </c>
      <c r="E3067" s="397" t="s">
        <v>7187</v>
      </c>
      <c r="F3067" s="397" t="s">
        <v>191</v>
      </c>
      <c r="G3067" s="396">
        <v>4</v>
      </c>
      <c r="H3067" s="395">
        <v>153528.36000000002</v>
      </c>
      <c r="I3067" s="394">
        <v>153528.93</v>
      </c>
      <c r="J3067" s="394">
        <v>255880.6</v>
      </c>
      <c r="K3067" s="393" t="s">
        <v>1033</v>
      </c>
    </row>
    <row r="3068" spans="1:12" hidden="1" x14ac:dyDescent="0.3">
      <c r="A3068" s="397" t="s">
        <v>7834</v>
      </c>
      <c r="C3068" s="397" t="s">
        <v>1053</v>
      </c>
      <c r="D3068" s="397" t="s">
        <v>7833</v>
      </c>
      <c r="E3068" s="397" t="s">
        <v>7832</v>
      </c>
      <c r="F3068" s="397" t="s">
        <v>191</v>
      </c>
      <c r="G3068" s="396">
        <v>1</v>
      </c>
      <c r="H3068" s="395">
        <v>3737499.997</v>
      </c>
      <c r="I3068" s="394">
        <v>2272510</v>
      </c>
      <c r="J3068" s="394">
        <v>5339285.71</v>
      </c>
      <c r="K3068" s="393" t="s">
        <v>1033</v>
      </c>
    </row>
    <row r="3069" spans="1:12" hidden="1" x14ac:dyDescent="0.3">
      <c r="A3069" s="397" t="s">
        <v>5182</v>
      </c>
      <c r="C3069" s="397" t="s">
        <v>1034</v>
      </c>
      <c r="D3069" s="397" t="s">
        <v>5181</v>
      </c>
      <c r="E3069" s="397" t="s">
        <v>5180</v>
      </c>
      <c r="F3069" s="397" t="s">
        <v>191</v>
      </c>
      <c r="G3069" s="396">
        <v>5</v>
      </c>
      <c r="H3069" s="395">
        <v>1087933.882</v>
      </c>
      <c r="I3069" s="394">
        <v>1129752.07</v>
      </c>
      <c r="J3069" s="394">
        <v>1554191.26</v>
      </c>
      <c r="K3069" s="393" t="s">
        <v>1033</v>
      </c>
    </row>
    <row r="3070" spans="1:12" hidden="1" x14ac:dyDescent="0.3">
      <c r="A3070" s="397" t="s">
        <v>7894</v>
      </c>
      <c r="C3070" s="397" t="s">
        <v>1053</v>
      </c>
      <c r="D3070" s="397" t="s">
        <v>7893</v>
      </c>
      <c r="E3070" s="397" t="s">
        <v>7892</v>
      </c>
      <c r="F3070" s="397" t="s">
        <v>191</v>
      </c>
      <c r="G3070" s="396">
        <v>1</v>
      </c>
      <c r="H3070" s="395">
        <v>2133250</v>
      </c>
      <c r="I3070" s="394">
        <v>2133250</v>
      </c>
      <c r="J3070" s="394">
        <v>3047500</v>
      </c>
      <c r="K3070" s="393" t="s">
        <v>1033</v>
      </c>
    </row>
    <row r="3071" spans="1:12" hidden="1" x14ac:dyDescent="0.3">
      <c r="A3071" s="397" t="s">
        <v>7897</v>
      </c>
      <c r="C3071" s="397" t="s">
        <v>1053</v>
      </c>
      <c r="D3071" s="397" t="s">
        <v>7896</v>
      </c>
      <c r="E3071" s="397" t="s">
        <v>7895</v>
      </c>
      <c r="F3071" s="397" t="s">
        <v>191</v>
      </c>
      <c r="G3071" s="396">
        <v>1</v>
      </c>
      <c r="H3071" s="395">
        <v>302137.99699999997</v>
      </c>
      <c r="I3071" s="394">
        <v>302138</v>
      </c>
      <c r="J3071" s="394">
        <v>431625.71</v>
      </c>
      <c r="K3071" s="393" t="s">
        <v>1033</v>
      </c>
    </row>
    <row r="3072" spans="1:12" hidden="1" x14ac:dyDescent="0.3">
      <c r="A3072" s="397" t="s">
        <v>7355</v>
      </c>
      <c r="C3072" s="397" t="s">
        <v>1053</v>
      </c>
      <c r="D3072" s="397" t="s">
        <v>7354</v>
      </c>
      <c r="E3072" s="397" t="s">
        <v>7353</v>
      </c>
      <c r="F3072" s="397" t="s">
        <v>191</v>
      </c>
      <c r="G3072" s="396">
        <v>86</v>
      </c>
      <c r="H3072" s="395">
        <v>30260.365000000002</v>
      </c>
      <c r="I3072" s="394">
        <v>30260.37</v>
      </c>
      <c r="J3072" s="394">
        <v>60520.73</v>
      </c>
      <c r="K3072" s="393" t="s">
        <v>1033</v>
      </c>
    </row>
    <row r="3073" spans="1:11" hidden="1" x14ac:dyDescent="0.3">
      <c r="A3073" s="397" t="s">
        <v>7352</v>
      </c>
      <c r="C3073" s="397" t="s">
        <v>1053</v>
      </c>
      <c r="D3073" s="397" t="s">
        <v>7351</v>
      </c>
      <c r="E3073" s="397" t="s">
        <v>7350</v>
      </c>
      <c r="F3073" s="397" t="s">
        <v>191</v>
      </c>
      <c r="G3073" s="396">
        <v>2</v>
      </c>
      <c r="H3073" s="395">
        <v>734672.19700000004</v>
      </c>
      <c r="I3073" s="394">
        <v>524765.86</v>
      </c>
      <c r="J3073" s="394">
        <v>1049531.71</v>
      </c>
      <c r="K3073" s="393" t="s">
        <v>1033</v>
      </c>
    </row>
    <row r="3074" spans="1:11" hidden="1" x14ac:dyDescent="0.3">
      <c r="A3074" s="397" t="s">
        <v>7888</v>
      </c>
      <c r="C3074" s="397" t="s">
        <v>1053</v>
      </c>
      <c r="D3074" s="397" t="s">
        <v>7887</v>
      </c>
      <c r="E3074" s="397" t="s">
        <v>7886</v>
      </c>
      <c r="F3074" s="397" t="s">
        <v>191</v>
      </c>
      <c r="G3074" s="396">
        <v>4</v>
      </c>
      <c r="H3074" s="395">
        <v>106774.99699999999</v>
      </c>
      <c r="I3074" s="394">
        <v>99600</v>
      </c>
      <c r="J3074" s="394">
        <v>152535.71</v>
      </c>
      <c r="K3074" s="393" t="s">
        <v>1033</v>
      </c>
    </row>
    <row r="3075" spans="1:11" hidden="1" x14ac:dyDescent="0.3">
      <c r="A3075" s="397" t="s">
        <v>7891</v>
      </c>
      <c r="C3075" s="397" t="s">
        <v>1053</v>
      </c>
      <c r="D3075" s="397" t="s">
        <v>7890</v>
      </c>
      <c r="E3075" s="397" t="s">
        <v>7889</v>
      </c>
      <c r="F3075" s="397" t="s">
        <v>191</v>
      </c>
      <c r="G3075" s="396">
        <v>1</v>
      </c>
      <c r="H3075" s="395">
        <v>1674999.9980000001</v>
      </c>
      <c r="I3075" s="394">
        <v>1164140</v>
      </c>
      <c r="J3075" s="394">
        <v>2392857.14</v>
      </c>
      <c r="K3075" s="393" t="s">
        <v>1033</v>
      </c>
    </row>
    <row r="3076" spans="1:11" hidden="1" x14ac:dyDescent="0.3">
      <c r="A3076" s="397" t="s">
        <v>4468</v>
      </c>
      <c r="C3076" s="397" t="s">
        <v>1053</v>
      </c>
      <c r="D3076" s="397" t="s">
        <v>7999</v>
      </c>
      <c r="E3076" s="397" t="s">
        <v>7996</v>
      </c>
      <c r="F3076" s="397" t="s">
        <v>191</v>
      </c>
      <c r="G3076" s="396">
        <v>1</v>
      </c>
      <c r="H3076" s="395">
        <v>7805.1120000000001</v>
      </c>
      <c r="I3076" s="394">
        <v>7614.74</v>
      </c>
      <c r="J3076" s="394">
        <v>11150.16</v>
      </c>
      <c r="K3076" s="393" t="s">
        <v>1033</v>
      </c>
    </row>
    <row r="3077" spans="1:11" hidden="1" x14ac:dyDescent="0.3">
      <c r="A3077" s="397" t="s">
        <v>4468</v>
      </c>
      <c r="C3077" s="397" t="s">
        <v>1053</v>
      </c>
      <c r="D3077" s="397" t="s">
        <v>4544</v>
      </c>
      <c r="E3077" s="397" t="s">
        <v>4543</v>
      </c>
      <c r="F3077" s="397" t="s">
        <v>191</v>
      </c>
      <c r="G3077" s="396">
        <v>1</v>
      </c>
      <c r="H3077" s="395">
        <v>89142.430999999997</v>
      </c>
      <c r="J3077" s="394">
        <v>127346.33</v>
      </c>
      <c r="K3077" s="393" t="s">
        <v>1033</v>
      </c>
    </row>
    <row r="3078" spans="1:11" hidden="1" x14ac:dyDescent="0.3">
      <c r="A3078" s="397" t="s">
        <v>4468</v>
      </c>
      <c r="C3078" s="397" t="s">
        <v>1053</v>
      </c>
      <c r="D3078" s="397" t="s">
        <v>4467</v>
      </c>
      <c r="E3078" s="397" t="s">
        <v>596</v>
      </c>
      <c r="F3078" s="397" t="s">
        <v>191</v>
      </c>
      <c r="G3078" s="396">
        <v>2</v>
      </c>
      <c r="H3078" s="395">
        <v>1697.269</v>
      </c>
      <c r="I3078" s="394">
        <v>1671.99</v>
      </c>
      <c r="J3078" s="394">
        <v>2424.67</v>
      </c>
      <c r="K3078" s="393" t="s">
        <v>1033</v>
      </c>
    </row>
    <row r="3079" spans="1:11" hidden="1" x14ac:dyDescent="0.3">
      <c r="A3079" s="397" t="s">
        <v>6913</v>
      </c>
      <c r="C3079" s="397" t="s">
        <v>1053</v>
      </c>
      <c r="D3079" s="397" t="s">
        <v>6912</v>
      </c>
      <c r="E3079" s="397" t="s">
        <v>6911</v>
      </c>
      <c r="F3079" s="397" t="s">
        <v>191</v>
      </c>
      <c r="G3079" s="396">
        <v>1</v>
      </c>
      <c r="H3079" s="395">
        <v>1480235.2880000002</v>
      </c>
      <c r="I3079" s="394">
        <v>1236670.8600000001</v>
      </c>
      <c r="J3079" s="394">
        <v>2114621.84</v>
      </c>
      <c r="K3079" s="393" t="s">
        <v>1033</v>
      </c>
    </row>
    <row r="3080" spans="1:11" hidden="1" x14ac:dyDescent="0.3">
      <c r="A3080" s="397" t="s">
        <v>8283</v>
      </c>
      <c r="C3080" s="397" t="s">
        <v>1053</v>
      </c>
      <c r="D3080" s="397" t="s">
        <v>8282</v>
      </c>
      <c r="E3080" s="397" t="s">
        <v>334</v>
      </c>
      <c r="F3080" s="397" t="s">
        <v>191</v>
      </c>
      <c r="G3080" s="396">
        <v>13</v>
      </c>
      <c r="H3080" s="395">
        <v>83140.974000000002</v>
      </c>
      <c r="I3080" s="394">
        <v>4789.75</v>
      </c>
      <c r="J3080" s="394">
        <v>118772.82</v>
      </c>
      <c r="K3080" s="393" t="s">
        <v>1033</v>
      </c>
    </row>
    <row r="3081" spans="1:11" hidden="1" x14ac:dyDescent="0.3">
      <c r="A3081" s="397" t="s">
        <v>8273</v>
      </c>
      <c r="C3081" s="397" t="s">
        <v>1053</v>
      </c>
      <c r="D3081" s="397" t="s">
        <v>8272</v>
      </c>
      <c r="E3081" s="397" t="s">
        <v>328</v>
      </c>
      <c r="F3081" s="397" t="s">
        <v>191</v>
      </c>
      <c r="G3081" s="396">
        <v>23</v>
      </c>
      <c r="H3081" s="395">
        <v>12612.438999999998</v>
      </c>
      <c r="I3081" s="394">
        <v>1069.68</v>
      </c>
      <c r="J3081" s="394">
        <v>18017.77</v>
      </c>
      <c r="K3081" s="393" t="s">
        <v>1033</v>
      </c>
    </row>
    <row r="3082" spans="1:11" hidden="1" x14ac:dyDescent="0.3">
      <c r="A3082" s="397" t="s">
        <v>8300</v>
      </c>
      <c r="C3082" s="397" t="s">
        <v>1053</v>
      </c>
      <c r="D3082" s="397" t="s">
        <v>8299</v>
      </c>
      <c r="E3082" s="397" t="s">
        <v>327</v>
      </c>
      <c r="F3082" s="397" t="s">
        <v>191</v>
      </c>
      <c r="G3082" s="396">
        <v>7</v>
      </c>
      <c r="H3082" s="395">
        <v>590.42899999999997</v>
      </c>
      <c r="I3082" s="394">
        <v>376.35</v>
      </c>
      <c r="J3082" s="394">
        <v>843.47</v>
      </c>
      <c r="K3082" s="393" t="s">
        <v>1033</v>
      </c>
    </row>
    <row r="3083" spans="1:11" hidden="1" x14ac:dyDescent="0.3">
      <c r="A3083" s="397" t="s">
        <v>923</v>
      </c>
      <c r="C3083" s="397" t="s">
        <v>1053</v>
      </c>
      <c r="D3083" s="397" t="s">
        <v>1937</v>
      </c>
      <c r="E3083" s="397" t="s">
        <v>1936</v>
      </c>
      <c r="F3083" s="397" t="s">
        <v>191</v>
      </c>
      <c r="G3083" s="396">
        <v>1</v>
      </c>
      <c r="H3083" s="395">
        <v>95272.960000000006</v>
      </c>
      <c r="I3083" s="394">
        <v>31716.530000000002</v>
      </c>
      <c r="J3083" s="394">
        <v>119091.2</v>
      </c>
      <c r="K3083" s="393" t="s">
        <v>1033</v>
      </c>
    </row>
    <row r="3085" spans="1:11" x14ac:dyDescent="0.3">
      <c r="J3085" s="247" t="s">
        <v>8361</v>
      </c>
    </row>
  </sheetData>
  <autoFilter ref="A6:L3083" xr:uid="{EA31D52D-E824-459E-AF7F-BF3CA6254BC2}">
    <filterColumn colId="6">
      <colorFilter dxfId="3"/>
    </filterColumn>
    <sortState xmlns:xlrd2="http://schemas.microsoft.com/office/spreadsheetml/2017/richdata2" ref="A7:L3083">
      <sortCondition ref="A6:A3083"/>
    </sortState>
  </autoFilter>
  <pageMargins left="0.24996875390576173" right="0.24996875390576173" top="0.24996875390576173" bottom="0.24996875390576173" header="1.1126244600256519E-308" footer="0.24996875390576173"/>
  <pageSetup paperSize="0" scale="9" orientation="portrait" errors="NA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0227-09E5-4997-BBFB-A233B762AF8A}">
  <sheetPr filterMode="1">
    <tabColor rgb="FFFF0000"/>
  </sheetPr>
  <dimension ref="A1:L15"/>
  <sheetViews>
    <sheetView workbookViewId="0">
      <selection activeCell="L17" sqref="L17"/>
    </sheetView>
  </sheetViews>
  <sheetFormatPr baseColWidth="10" defaultRowHeight="13" x14ac:dyDescent="0.3"/>
  <cols>
    <col min="1" max="3" width="10.6328125" style="246" customWidth="1"/>
    <col min="4" max="4" width="20.1796875" style="246" customWidth="1"/>
    <col min="5" max="5" width="22" style="246" customWidth="1"/>
    <col min="6" max="10" width="10.6328125" style="246" customWidth="1"/>
    <col min="11" max="11" width="13.90625" style="255" bestFit="1" customWidth="1"/>
    <col min="12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2" ht="13.5" x14ac:dyDescent="0.3">
      <c r="A1" s="378" t="s">
        <v>190</v>
      </c>
    </row>
    <row r="2" spans="1:12" x14ac:dyDescent="0.3">
      <c r="A2" s="363" t="s">
        <v>189</v>
      </c>
    </row>
    <row r="3" spans="1:12" ht="15" x14ac:dyDescent="0.3">
      <c r="F3" s="377" t="s">
        <v>188</v>
      </c>
    </row>
    <row r="5" spans="1:12" x14ac:dyDescent="0.3">
      <c r="F5" s="361" t="s">
        <v>8325</v>
      </c>
    </row>
    <row r="6" spans="1:12" x14ac:dyDescent="0.3">
      <c r="A6" s="376" t="s">
        <v>2</v>
      </c>
      <c r="C6" s="371" t="s">
        <v>176</v>
      </c>
      <c r="D6" s="372" t="s">
        <v>177</v>
      </c>
      <c r="E6" s="372" t="s">
        <v>187</v>
      </c>
      <c r="G6" s="372" t="s">
        <v>186</v>
      </c>
      <c r="I6" s="371" t="s">
        <v>185</v>
      </c>
      <c r="K6" s="376" t="s">
        <v>8326</v>
      </c>
      <c r="L6" s="246" t="s">
        <v>777</v>
      </c>
    </row>
    <row r="7" spans="1:12" x14ac:dyDescent="0.3">
      <c r="A7" s="375">
        <v>46055</v>
      </c>
      <c r="C7" s="374" t="s">
        <v>8324</v>
      </c>
      <c r="D7" s="373" t="s">
        <v>928</v>
      </c>
      <c r="E7" s="373" t="s">
        <v>183</v>
      </c>
      <c r="G7" s="373" t="s">
        <v>8323</v>
      </c>
      <c r="I7" s="366">
        <f>SUBTOTAL(9,I9:I9)</f>
        <v>0</v>
      </c>
      <c r="J7" s="365">
        <v>9493.35</v>
      </c>
      <c r="K7" s="255" t="s">
        <v>41</v>
      </c>
      <c r="L7" s="246" t="s">
        <v>8333</v>
      </c>
    </row>
    <row r="8" spans="1:12" hidden="1" x14ac:dyDescent="0.3">
      <c r="C8" s="371" t="s">
        <v>926</v>
      </c>
      <c r="D8" s="372" t="s">
        <v>206</v>
      </c>
      <c r="E8" s="372" t="s">
        <v>326</v>
      </c>
      <c r="F8" s="372" t="s">
        <v>925</v>
      </c>
      <c r="I8" s="371" t="s">
        <v>202</v>
      </c>
      <c r="K8" s="371" t="s">
        <v>924</v>
      </c>
    </row>
    <row r="9" spans="1:12" hidden="1" x14ac:dyDescent="0.3">
      <c r="B9" s="252">
        <v>1</v>
      </c>
      <c r="C9" s="370" t="s">
        <v>8322</v>
      </c>
      <c r="D9" s="370" t="s">
        <v>191</v>
      </c>
      <c r="E9" s="370" t="s">
        <v>8321</v>
      </c>
      <c r="I9" s="369">
        <v>1</v>
      </c>
      <c r="J9" s="368">
        <v>9493.35</v>
      </c>
      <c r="K9" s="246"/>
    </row>
    <row r="10" spans="1:12" x14ac:dyDescent="0.3">
      <c r="A10" s="375">
        <v>46055</v>
      </c>
      <c r="C10" s="374" t="s">
        <v>8320</v>
      </c>
      <c r="D10" s="373" t="s">
        <v>927</v>
      </c>
      <c r="E10" s="373" t="s">
        <v>183</v>
      </c>
      <c r="G10" s="373" t="s">
        <v>8319</v>
      </c>
      <c r="I10" s="366">
        <f>SUBTOTAL(9,I12:I12)</f>
        <v>0</v>
      </c>
      <c r="J10" s="365">
        <v>563.01</v>
      </c>
      <c r="K10" s="255" t="s">
        <v>41</v>
      </c>
      <c r="L10" s="246" t="s">
        <v>8333</v>
      </c>
    </row>
    <row r="11" spans="1:12" hidden="1" x14ac:dyDescent="0.3">
      <c r="C11" s="371" t="s">
        <v>926</v>
      </c>
      <c r="D11" s="372" t="s">
        <v>206</v>
      </c>
      <c r="E11" s="372" t="s">
        <v>326</v>
      </c>
      <c r="F11" s="372" t="s">
        <v>925</v>
      </c>
      <c r="I11" s="371" t="s">
        <v>202</v>
      </c>
      <c r="K11" s="371" t="s">
        <v>924</v>
      </c>
    </row>
    <row r="12" spans="1:12" hidden="1" x14ac:dyDescent="0.3">
      <c r="B12" s="252">
        <v>1</v>
      </c>
      <c r="C12" s="370" t="s">
        <v>7422</v>
      </c>
      <c r="D12" s="370" t="s">
        <v>191</v>
      </c>
      <c r="E12" s="370" t="s">
        <v>442</v>
      </c>
      <c r="I12" s="369">
        <v>1</v>
      </c>
      <c r="J12" s="368">
        <v>563.01</v>
      </c>
      <c r="K12" s="246"/>
    </row>
    <row r="13" spans="1:12" hidden="1" x14ac:dyDescent="0.3">
      <c r="F13" s="367" t="s">
        <v>182</v>
      </c>
      <c r="H13" s="366">
        <f>SUBTOTAL(9,I7:I12)</f>
        <v>0</v>
      </c>
      <c r="I13" s="365">
        <v>10056.36</v>
      </c>
      <c r="K13" s="246"/>
    </row>
    <row r="14" spans="1:12" hidden="1" x14ac:dyDescent="0.3">
      <c r="J14" s="360" t="s">
        <v>8318</v>
      </c>
      <c r="K14" s="246"/>
    </row>
    <row r="15" spans="1:12" x14ac:dyDescent="0.3">
      <c r="K15" s="379">
        <v>1</v>
      </c>
    </row>
  </sheetData>
  <autoFilter ref="A6:K14" xr:uid="{A05D0227-09E5-4997-BBFB-A233B762AF8A}">
    <filterColumn colId="0">
      <customFilters>
        <customFilter operator="notEqual" val=" "/>
      </customFilters>
    </filterColumn>
  </autoFilter>
  <pageMargins left="0.24996875390576173" right="0.24996875390576173" top="0.24996875390576173" bottom="0.24996875390576173" header="1.1126244600256519E-308" footer="0.24996875390576173"/>
  <pageSetup paperSize="0" scale="9" orientation="portrait" errors="NA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CF9E-B47B-4CCD-8B1A-FDF4E3BC5E10}">
  <sheetPr filterMode="1">
    <tabColor rgb="FFFF0000"/>
  </sheetPr>
  <dimension ref="A1:Q49"/>
  <sheetViews>
    <sheetView workbookViewId="0">
      <selection activeCell="H17" sqref="H17"/>
    </sheetView>
  </sheetViews>
  <sheetFormatPr baseColWidth="10" defaultRowHeight="13" x14ac:dyDescent="0.3"/>
  <cols>
    <col min="1" max="1" width="19.453125" style="246" bestFit="1" customWidth="1"/>
    <col min="2" max="8" width="10.6328125" style="246" customWidth="1"/>
    <col min="9" max="9" width="14.453125" style="246" bestFit="1" customWidth="1"/>
    <col min="10" max="12" width="10.6328125" style="246" customWidth="1"/>
    <col min="13" max="13" width="14.453125" style="246" bestFit="1" customWidth="1"/>
    <col min="14" max="14" width="10.6328125" style="246" customWidth="1"/>
    <col min="15" max="15" width="17.36328125" style="246" customWidth="1"/>
    <col min="16" max="16" width="12.1796875" style="246" customWidth="1"/>
    <col min="17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7" ht="13.5" x14ac:dyDescent="0.3">
      <c r="A1" s="378" t="s">
        <v>190</v>
      </c>
    </row>
    <row r="2" spans="1:17" x14ac:dyDescent="0.3">
      <c r="A2" s="363" t="s">
        <v>1005</v>
      </c>
      <c r="M2" s="259"/>
      <c r="O2" s="259"/>
      <c r="P2" s="259"/>
    </row>
    <row r="3" spans="1:17" ht="16" x14ac:dyDescent="0.3">
      <c r="H3" s="362" t="s">
        <v>208</v>
      </c>
    </row>
    <row r="4" spans="1:17" x14ac:dyDescent="0.3">
      <c r="H4" s="361" t="s">
        <v>1004</v>
      </c>
    </row>
    <row r="5" spans="1:17" x14ac:dyDescent="0.3">
      <c r="M5" s="371" t="s">
        <v>202</v>
      </c>
      <c r="O5" s="371" t="s">
        <v>207</v>
      </c>
      <c r="Q5" s="256">
        <f>+COUNTIF(Q17:Q39,"sc")/(COUNTIF(Q17:Q39,"sc")+COUNTIF(Q17:Q39,"nc"))</f>
        <v>0.8</v>
      </c>
    </row>
    <row r="6" spans="1:17" x14ac:dyDescent="0.3">
      <c r="A6" s="376" t="s">
        <v>206</v>
      </c>
      <c r="B6" s="372" t="s">
        <v>39</v>
      </c>
      <c r="F6" s="376" t="s">
        <v>2</v>
      </c>
      <c r="G6" s="371" t="s">
        <v>205</v>
      </c>
      <c r="H6" s="372" t="s">
        <v>204</v>
      </c>
      <c r="I6" s="371" t="s">
        <v>47</v>
      </c>
      <c r="J6" s="371" t="s">
        <v>203</v>
      </c>
      <c r="K6" s="371" t="s">
        <v>202</v>
      </c>
      <c r="L6" s="372" t="s">
        <v>201</v>
      </c>
      <c r="M6" s="371" t="s">
        <v>200</v>
      </c>
      <c r="N6" s="371" t="s">
        <v>199</v>
      </c>
      <c r="O6" s="371" t="s">
        <v>199</v>
      </c>
      <c r="P6" s="255" t="s">
        <v>777</v>
      </c>
      <c r="Q6" s="246" t="s">
        <v>1028</v>
      </c>
    </row>
    <row r="7" spans="1:17" hidden="1" x14ac:dyDescent="0.3">
      <c r="A7" s="370" t="s">
        <v>269</v>
      </c>
      <c r="B7" s="370" t="s">
        <v>191</v>
      </c>
      <c r="C7" s="370" t="s">
        <v>268</v>
      </c>
      <c r="F7" s="381">
        <v>45027</v>
      </c>
      <c r="G7" s="369">
        <v>1</v>
      </c>
      <c r="H7" s="370" t="s">
        <v>934</v>
      </c>
      <c r="I7" s="380" t="s">
        <v>972</v>
      </c>
      <c r="J7" s="252">
        <v>2</v>
      </c>
      <c r="K7" s="369">
        <v>1</v>
      </c>
      <c r="L7" s="370" t="s">
        <v>932</v>
      </c>
      <c r="M7" s="380" t="s">
        <v>971</v>
      </c>
      <c r="N7" s="369">
        <v>1</v>
      </c>
      <c r="O7" s="368">
        <v>418480.31</v>
      </c>
    </row>
    <row r="8" spans="1:17" hidden="1" x14ac:dyDescent="0.3">
      <c r="A8" s="370" t="s">
        <v>953</v>
      </c>
      <c r="B8" s="370" t="s">
        <v>191</v>
      </c>
      <c r="C8" s="370" t="s">
        <v>717</v>
      </c>
      <c r="F8" s="381">
        <v>45040</v>
      </c>
      <c r="G8" s="369">
        <v>1</v>
      </c>
      <c r="H8" s="370" t="s">
        <v>934</v>
      </c>
      <c r="I8" s="380" t="s">
        <v>952</v>
      </c>
      <c r="J8" s="252">
        <v>2</v>
      </c>
      <c r="K8" s="369">
        <v>1</v>
      </c>
      <c r="L8" s="370" t="s">
        <v>932</v>
      </c>
      <c r="M8" s="380" t="s">
        <v>951</v>
      </c>
      <c r="N8" s="369">
        <v>1</v>
      </c>
      <c r="O8" s="368">
        <v>5008.84</v>
      </c>
    </row>
    <row r="9" spans="1:17" hidden="1" x14ac:dyDescent="0.3">
      <c r="A9" s="370" t="s">
        <v>427</v>
      </c>
      <c r="B9" s="370" t="s">
        <v>191</v>
      </c>
      <c r="C9" s="370" t="s">
        <v>425</v>
      </c>
      <c r="F9" s="381">
        <v>45069</v>
      </c>
      <c r="G9" s="369">
        <v>1</v>
      </c>
      <c r="H9" s="370" t="s">
        <v>934</v>
      </c>
      <c r="I9" s="380" t="s">
        <v>999</v>
      </c>
      <c r="J9" s="252">
        <v>2</v>
      </c>
      <c r="K9" s="369">
        <v>4</v>
      </c>
      <c r="L9" s="370" t="s">
        <v>932</v>
      </c>
      <c r="M9" s="380" t="s">
        <v>998</v>
      </c>
      <c r="N9" s="369">
        <v>4</v>
      </c>
      <c r="O9" s="368">
        <v>448367.88</v>
      </c>
    </row>
    <row r="10" spans="1:17" hidden="1" x14ac:dyDescent="0.3">
      <c r="A10" s="370" t="s">
        <v>1003</v>
      </c>
      <c r="B10" s="370" t="s">
        <v>191</v>
      </c>
      <c r="C10" s="370" t="s">
        <v>1002</v>
      </c>
      <c r="F10" s="381">
        <v>45231</v>
      </c>
      <c r="G10" s="369">
        <v>1</v>
      </c>
      <c r="H10" s="370" t="s">
        <v>934</v>
      </c>
      <c r="I10" s="380" t="s">
        <v>1001</v>
      </c>
      <c r="J10" s="252">
        <v>2</v>
      </c>
      <c r="K10" s="369">
        <v>1</v>
      </c>
      <c r="L10" s="370" t="s">
        <v>932</v>
      </c>
      <c r="N10" s="369">
        <v>1</v>
      </c>
      <c r="O10" s="368">
        <v>24621.760000000002</v>
      </c>
    </row>
    <row r="11" spans="1:17" hidden="1" x14ac:dyDescent="0.3">
      <c r="A11" s="370" t="s">
        <v>731</v>
      </c>
      <c r="B11" s="370" t="s">
        <v>191</v>
      </c>
      <c r="C11" s="370" t="s">
        <v>732</v>
      </c>
      <c r="F11" s="381">
        <v>45327</v>
      </c>
      <c r="G11" s="369">
        <v>1</v>
      </c>
      <c r="H11" s="370" t="s">
        <v>934</v>
      </c>
      <c r="I11" s="380" t="s">
        <v>947</v>
      </c>
      <c r="J11" s="252">
        <v>2</v>
      </c>
      <c r="K11" s="369">
        <v>1</v>
      </c>
      <c r="L11" s="370" t="s">
        <v>932</v>
      </c>
      <c r="M11" s="380" t="s">
        <v>946</v>
      </c>
      <c r="N11" s="369">
        <v>1</v>
      </c>
      <c r="O11" s="368">
        <v>107430.47</v>
      </c>
    </row>
    <row r="12" spans="1:17" hidden="1" x14ac:dyDescent="0.3">
      <c r="A12" s="370" t="s">
        <v>409</v>
      </c>
      <c r="B12" s="370" t="s">
        <v>191</v>
      </c>
      <c r="C12" s="370" t="s">
        <v>410</v>
      </c>
      <c r="F12" s="381">
        <v>45581</v>
      </c>
      <c r="G12" s="369">
        <v>1</v>
      </c>
      <c r="H12" s="370" t="s">
        <v>934</v>
      </c>
      <c r="I12" s="380" t="s">
        <v>1000</v>
      </c>
      <c r="J12" s="252">
        <v>2</v>
      </c>
      <c r="K12" s="369">
        <v>2</v>
      </c>
      <c r="L12" s="370" t="s">
        <v>932</v>
      </c>
      <c r="N12" s="369">
        <v>2</v>
      </c>
      <c r="O12" s="368">
        <v>135842.76</v>
      </c>
    </row>
    <row r="13" spans="1:17" hidden="1" x14ac:dyDescent="0.3">
      <c r="A13" s="370" t="s">
        <v>731</v>
      </c>
      <c r="B13" s="370" t="s">
        <v>191</v>
      </c>
      <c r="C13" s="370" t="s">
        <v>732</v>
      </c>
      <c r="F13" s="381">
        <v>45601</v>
      </c>
      <c r="G13" s="369">
        <v>1</v>
      </c>
      <c r="H13" s="370" t="s">
        <v>934</v>
      </c>
      <c r="I13" s="380" t="s">
        <v>945</v>
      </c>
      <c r="J13" s="252">
        <v>2</v>
      </c>
      <c r="K13" s="369">
        <v>1</v>
      </c>
      <c r="L13" s="370" t="s">
        <v>932</v>
      </c>
      <c r="M13" s="380" t="s">
        <v>944</v>
      </c>
      <c r="N13" s="369">
        <v>2</v>
      </c>
      <c r="O13" s="368">
        <v>107430.47</v>
      </c>
    </row>
    <row r="14" spans="1:17" hidden="1" x14ac:dyDescent="0.3">
      <c r="A14" s="370" t="s">
        <v>993</v>
      </c>
      <c r="B14" s="370" t="s">
        <v>191</v>
      </c>
      <c r="C14" s="370" t="s">
        <v>441</v>
      </c>
      <c r="F14" s="381">
        <v>40998</v>
      </c>
      <c r="G14" s="369">
        <v>1</v>
      </c>
      <c r="H14" s="370" t="s">
        <v>934</v>
      </c>
      <c r="I14" s="380" t="s">
        <v>941</v>
      </c>
      <c r="J14" s="252">
        <v>2</v>
      </c>
      <c r="K14" s="369">
        <v>1</v>
      </c>
      <c r="L14" s="370" t="s">
        <v>932</v>
      </c>
      <c r="M14" s="380" t="s">
        <v>940</v>
      </c>
      <c r="N14" s="369">
        <v>1</v>
      </c>
      <c r="O14" s="368">
        <v>101455.99</v>
      </c>
    </row>
    <row r="15" spans="1:17" hidden="1" x14ac:dyDescent="0.3">
      <c r="A15" s="370" t="s">
        <v>997</v>
      </c>
      <c r="B15" s="370" t="s">
        <v>191</v>
      </c>
      <c r="C15" s="370" t="s">
        <v>996</v>
      </c>
      <c r="F15" s="381">
        <v>45618</v>
      </c>
      <c r="G15" s="369">
        <v>1</v>
      </c>
      <c r="H15" s="370" t="s">
        <v>934</v>
      </c>
      <c r="I15" s="380" t="s">
        <v>995</v>
      </c>
      <c r="J15" s="252">
        <v>2</v>
      </c>
      <c r="K15" s="369">
        <v>2</v>
      </c>
      <c r="L15" s="370" t="s">
        <v>932</v>
      </c>
      <c r="M15" s="380" t="s">
        <v>994</v>
      </c>
      <c r="N15" s="369">
        <v>2</v>
      </c>
      <c r="O15" s="368">
        <v>132295.64000000001</v>
      </c>
    </row>
    <row r="16" spans="1:17" hidden="1" x14ac:dyDescent="0.3">
      <c r="A16" s="370" t="s">
        <v>508</v>
      </c>
      <c r="B16" s="370" t="s">
        <v>191</v>
      </c>
      <c r="C16" s="370" t="s">
        <v>509</v>
      </c>
      <c r="F16" s="381">
        <v>44684</v>
      </c>
      <c r="G16" s="369">
        <v>1</v>
      </c>
      <c r="H16" s="370" t="s">
        <v>934</v>
      </c>
      <c r="I16" s="380" t="s">
        <v>992</v>
      </c>
      <c r="J16" s="252">
        <v>2</v>
      </c>
      <c r="K16" s="369">
        <v>1</v>
      </c>
      <c r="L16" s="370" t="s">
        <v>932</v>
      </c>
      <c r="M16" s="380" t="s">
        <v>991</v>
      </c>
      <c r="N16" s="369">
        <v>1</v>
      </c>
      <c r="O16" s="368">
        <v>247070.57</v>
      </c>
    </row>
    <row r="17" spans="1:15" x14ac:dyDescent="0.3">
      <c r="A17" s="370" t="s">
        <v>405</v>
      </c>
      <c r="B17" s="370" t="s">
        <v>191</v>
      </c>
      <c r="C17" s="370" t="s">
        <v>406</v>
      </c>
      <c r="F17" s="381">
        <v>45688</v>
      </c>
      <c r="G17" s="369">
        <v>10001</v>
      </c>
      <c r="H17" s="370" t="s">
        <v>934</v>
      </c>
      <c r="I17" s="380" t="s">
        <v>8343</v>
      </c>
      <c r="J17" s="252">
        <v>2</v>
      </c>
      <c r="K17" s="369">
        <v>12</v>
      </c>
      <c r="L17" s="370" t="s">
        <v>932</v>
      </c>
      <c r="N17" s="369">
        <v>12</v>
      </c>
      <c r="O17" s="368">
        <v>37490.04</v>
      </c>
    </row>
    <row r="18" spans="1:15" hidden="1" x14ac:dyDescent="0.3">
      <c r="A18" s="370" t="s">
        <v>523</v>
      </c>
      <c r="B18" s="370" t="s">
        <v>191</v>
      </c>
      <c r="C18" s="370" t="s">
        <v>524</v>
      </c>
      <c r="F18" s="381">
        <v>44819</v>
      </c>
      <c r="G18" s="369">
        <v>1</v>
      </c>
      <c r="H18" s="370" t="s">
        <v>934</v>
      </c>
      <c r="I18" s="380" t="s">
        <v>990</v>
      </c>
      <c r="J18" s="252">
        <v>2</v>
      </c>
      <c r="K18" s="369">
        <v>1</v>
      </c>
      <c r="L18" s="370" t="s">
        <v>932</v>
      </c>
      <c r="M18" s="380" t="s">
        <v>989</v>
      </c>
      <c r="N18" s="369">
        <v>1</v>
      </c>
      <c r="O18" s="368">
        <v>195101.88</v>
      </c>
    </row>
    <row r="19" spans="1:15" hidden="1" x14ac:dyDescent="0.3">
      <c r="A19" s="370" t="s">
        <v>988</v>
      </c>
      <c r="B19" s="370" t="s">
        <v>191</v>
      </c>
      <c r="C19" s="370" t="s">
        <v>987</v>
      </c>
      <c r="F19" s="381">
        <v>37956</v>
      </c>
      <c r="G19" s="369">
        <v>1</v>
      </c>
      <c r="H19" s="370" t="s">
        <v>934</v>
      </c>
      <c r="I19" s="380" t="s">
        <v>986</v>
      </c>
      <c r="J19" s="252">
        <v>2</v>
      </c>
      <c r="K19" s="369">
        <v>1</v>
      </c>
      <c r="L19" s="370" t="s">
        <v>932</v>
      </c>
      <c r="M19" s="380" t="s">
        <v>985</v>
      </c>
      <c r="N19" s="369">
        <v>1</v>
      </c>
      <c r="O19" s="368">
        <v>25371.15</v>
      </c>
    </row>
    <row r="20" spans="1:15" hidden="1" x14ac:dyDescent="0.3">
      <c r="A20" s="370" t="s">
        <v>251</v>
      </c>
      <c r="B20" s="370" t="s">
        <v>191</v>
      </c>
      <c r="C20" s="370" t="s">
        <v>250</v>
      </c>
      <c r="F20" s="381">
        <v>44637</v>
      </c>
      <c r="G20" s="369">
        <v>1</v>
      </c>
      <c r="H20" s="370" t="s">
        <v>934</v>
      </c>
      <c r="I20" s="380" t="s">
        <v>984</v>
      </c>
      <c r="J20" s="252">
        <v>2</v>
      </c>
      <c r="K20" s="369">
        <v>1</v>
      </c>
      <c r="L20" s="370" t="s">
        <v>932</v>
      </c>
      <c r="M20" s="380" t="s">
        <v>983</v>
      </c>
      <c r="N20" s="369">
        <v>1</v>
      </c>
      <c r="O20" s="368">
        <v>296702.28000000003</v>
      </c>
    </row>
    <row r="21" spans="1:15" hidden="1" x14ac:dyDescent="0.3">
      <c r="A21" s="370" t="s">
        <v>982</v>
      </c>
      <c r="B21" s="370" t="s">
        <v>191</v>
      </c>
      <c r="C21" s="370" t="s">
        <v>981</v>
      </c>
      <c r="F21" s="381">
        <v>37925</v>
      </c>
      <c r="G21" s="369">
        <v>1</v>
      </c>
      <c r="H21" s="370" t="s">
        <v>934</v>
      </c>
      <c r="I21" s="380" t="s">
        <v>980</v>
      </c>
      <c r="J21" s="252">
        <v>2</v>
      </c>
      <c r="K21" s="369">
        <v>1</v>
      </c>
      <c r="L21" s="370" t="s">
        <v>932</v>
      </c>
      <c r="M21" s="380" t="s">
        <v>979</v>
      </c>
      <c r="N21" s="369">
        <v>1</v>
      </c>
      <c r="O21" s="368">
        <v>87.73</v>
      </c>
    </row>
    <row r="22" spans="1:15" hidden="1" x14ac:dyDescent="0.3">
      <c r="A22" s="370" t="s">
        <v>266</v>
      </c>
      <c r="B22" s="370" t="s">
        <v>191</v>
      </c>
      <c r="C22" s="370" t="s">
        <v>265</v>
      </c>
      <c r="F22" s="381">
        <v>44585</v>
      </c>
      <c r="G22" s="369">
        <v>1</v>
      </c>
      <c r="H22" s="370" t="s">
        <v>934</v>
      </c>
      <c r="I22" s="380" t="s">
        <v>978</v>
      </c>
      <c r="J22" s="252">
        <v>2</v>
      </c>
      <c r="K22" s="369">
        <v>2</v>
      </c>
      <c r="L22" s="370" t="s">
        <v>932</v>
      </c>
      <c r="M22" s="380" t="s">
        <v>977</v>
      </c>
      <c r="N22" s="369">
        <v>2</v>
      </c>
      <c r="O22" s="368">
        <v>911030.12</v>
      </c>
    </row>
    <row r="23" spans="1:15" hidden="1" x14ac:dyDescent="0.3">
      <c r="A23" s="370" t="s">
        <v>976</v>
      </c>
      <c r="B23" s="370" t="s">
        <v>191</v>
      </c>
      <c r="C23" s="370" t="s">
        <v>975</v>
      </c>
      <c r="F23" s="381">
        <v>38895</v>
      </c>
      <c r="G23" s="369">
        <v>1</v>
      </c>
      <c r="H23" s="370" t="s">
        <v>934</v>
      </c>
      <c r="I23" s="380" t="s">
        <v>974</v>
      </c>
      <c r="J23" s="252">
        <v>2</v>
      </c>
      <c r="K23" s="369">
        <v>2</v>
      </c>
      <c r="L23" s="370" t="s">
        <v>932</v>
      </c>
      <c r="M23" s="380" t="s">
        <v>973</v>
      </c>
      <c r="N23" s="369">
        <v>2</v>
      </c>
      <c r="O23" s="368">
        <v>224.3</v>
      </c>
    </row>
    <row r="24" spans="1:15" x14ac:dyDescent="0.3">
      <c r="A24" s="370" t="s">
        <v>407</v>
      </c>
      <c r="B24" s="370" t="s">
        <v>191</v>
      </c>
      <c r="C24" s="370" t="s">
        <v>408</v>
      </c>
      <c r="F24" s="381">
        <v>45688</v>
      </c>
      <c r="G24" s="369">
        <v>10001</v>
      </c>
      <c r="H24" s="370" t="s">
        <v>934</v>
      </c>
      <c r="I24" s="380" t="s">
        <v>8343</v>
      </c>
      <c r="J24" s="252">
        <v>2</v>
      </c>
      <c r="K24" s="369">
        <v>10</v>
      </c>
      <c r="L24" s="370" t="s">
        <v>932</v>
      </c>
      <c r="N24" s="369">
        <v>10</v>
      </c>
      <c r="O24" s="368">
        <v>236203.80000000002</v>
      </c>
    </row>
    <row r="25" spans="1:15" hidden="1" x14ac:dyDescent="0.3">
      <c r="A25" s="370" t="s">
        <v>970</v>
      </c>
      <c r="B25" s="370" t="s">
        <v>191</v>
      </c>
      <c r="C25" s="370" t="s">
        <v>597</v>
      </c>
      <c r="F25" s="381">
        <v>37817</v>
      </c>
      <c r="G25" s="369">
        <v>1</v>
      </c>
      <c r="H25" s="370" t="s">
        <v>934</v>
      </c>
      <c r="I25" s="380" t="s">
        <v>969</v>
      </c>
      <c r="J25" s="252">
        <v>2</v>
      </c>
      <c r="K25" s="369">
        <v>1</v>
      </c>
      <c r="L25" s="370" t="s">
        <v>932</v>
      </c>
      <c r="M25" s="380" t="s">
        <v>968</v>
      </c>
      <c r="N25" s="369">
        <v>1</v>
      </c>
      <c r="O25" s="368">
        <v>80.59</v>
      </c>
    </row>
    <row r="26" spans="1:15" hidden="1" x14ac:dyDescent="0.3">
      <c r="A26" s="370" t="s">
        <v>967</v>
      </c>
      <c r="B26" s="370" t="s">
        <v>191</v>
      </c>
      <c r="C26" s="370" t="s">
        <v>622</v>
      </c>
      <c r="F26" s="381">
        <v>37741</v>
      </c>
      <c r="G26" s="369">
        <v>1</v>
      </c>
      <c r="H26" s="370" t="s">
        <v>934</v>
      </c>
      <c r="I26" s="380" t="s">
        <v>966</v>
      </c>
      <c r="J26" s="252">
        <v>2</v>
      </c>
      <c r="K26" s="369">
        <v>1</v>
      </c>
      <c r="L26" s="370" t="s">
        <v>932</v>
      </c>
      <c r="M26" s="380" t="s">
        <v>965</v>
      </c>
      <c r="N26" s="369">
        <v>1</v>
      </c>
      <c r="O26" s="368">
        <v>40.47</v>
      </c>
    </row>
    <row r="27" spans="1:15" hidden="1" x14ac:dyDescent="0.3">
      <c r="A27" s="370" t="s">
        <v>623</v>
      </c>
      <c r="B27" s="370" t="s">
        <v>191</v>
      </c>
      <c r="C27" s="370" t="s">
        <v>624</v>
      </c>
      <c r="F27" s="381">
        <v>44240</v>
      </c>
      <c r="G27" s="369">
        <v>1</v>
      </c>
      <c r="H27" s="370" t="s">
        <v>934</v>
      </c>
      <c r="I27" s="380" t="s">
        <v>964</v>
      </c>
      <c r="J27" s="252">
        <v>2</v>
      </c>
      <c r="K27" s="369">
        <v>2</v>
      </c>
      <c r="L27" s="370" t="s">
        <v>932</v>
      </c>
      <c r="M27" s="380" t="s">
        <v>963</v>
      </c>
      <c r="N27" s="369">
        <v>2</v>
      </c>
      <c r="O27" s="368">
        <v>2202.38</v>
      </c>
    </row>
    <row r="28" spans="1:15" x14ac:dyDescent="0.3">
      <c r="A28" s="370" t="s">
        <v>445</v>
      </c>
      <c r="B28" s="370" t="s">
        <v>191</v>
      </c>
      <c r="C28" s="370" t="s">
        <v>442</v>
      </c>
      <c r="F28" s="381">
        <v>45688</v>
      </c>
      <c r="G28" s="369">
        <v>10001</v>
      </c>
      <c r="H28" s="370" t="s">
        <v>934</v>
      </c>
      <c r="I28" s="380" t="s">
        <v>8343</v>
      </c>
      <c r="J28" s="252">
        <v>2</v>
      </c>
      <c r="K28" s="369">
        <v>10</v>
      </c>
      <c r="L28" s="370" t="s">
        <v>932</v>
      </c>
      <c r="N28" s="369">
        <v>10</v>
      </c>
      <c r="O28" s="368">
        <v>392026.7</v>
      </c>
    </row>
    <row r="29" spans="1:15" hidden="1" x14ac:dyDescent="0.3">
      <c r="A29" s="370" t="s">
        <v>680</v>
      </c>
      <c r="B29" s="370" t="s">
        <v>191</v>
      </c>
      <c r="C29" s="370" t="s">
        <v>676</v>
      </c>
      <c r="F29" s="381">
        <v>41333</v>
      </c>
      <c r="G29" s="369">
        <v>1</v>
      </c>
      <c r="H29" s="370" t="s">
        <v>934</v>
      </c>
      <c r="I29" s="380" t="s">
        <v>962</v>
      </c>
      <c r="J29" s="252">
        <v>2</v>
      </c>
      <c r="K29" s="369">
        <v>1</v>
      </c>
      <c r="L29" s="370" t="s">
        <v>932</v>
      </c>
      <c r="M29" s="380" t="s">
        <v>961</v>
      </c>
      <c r="N29" s="369">
        <v>1</v>
      </c>
      <c r="O29" s="368">
        <v>2.99</v>
      </c>
    </row>
    <row r="30" spans="1:15" hidden="1" x14ac:dyDescent="0.3">
      <c r="A30" s="370" t="s">
        <v>960</v>
      </c>
      <c r="B30" s="370" t="s">
        <v>191</v>
      </c>
      <c r="C30" s="370" t="s">
        <v>959</v>
      </c>
      <c r="F30" s="381">
        <v>37705</v>
      </c>
      <c r="G30" s="369">
        <v>1</v>
      </c>
      <c r="H30" s="370" t="s">
        <v>934</v>
      </c>
      <c r="I30" s="380" t="s">
        <v>955</v>
      </c>
      <c r="J30" s="252">
        <v>2</v>
      </c>
      <c r="K30" s="369">
        <v>5</v>
      </c>
      <c r="L30" s="370" t="s">
        <v>932</v>
      </c>
      <c r="M30" s="380" t="s">
        <v>958</v>
      </c>
      <c r="N30" s="369">
        <v>5</v>
      </c>
      <c r="O30" s="368">
        <v>10.8</v>
      </c>
    </row>
    <row r="31" spans="1:15" hidden="1" x14ac:dyDescent="0.3">
      <c r="A31" s="370" t="s">
        <v>957</v>
      </c>
      <c r="B31" s="370" t="s">
        <v>191</v>
      </c>
      <c r="C31" s="370" t="s">
        <v>956</v>
      </c>
      <c r="F31" s="381">
        <v>37705</v>
      </c>
      <c r="G31" s="369">
        <v>1</v>
      </c>
      <c r="H31" s="370" t="s">
        <v>934</v>
      </c>
      <c r="I31" s="380" t="s">
        <v>955</v>
      </c>
      <c r="J31" s="252">
        <v>2</v>
      </c>
      <c r="K31" s="369">
        <v>1</v>
      </c>
      <c r="L31" s="370" t="s">
        <v>932</v>
      </c>
      <c r="M31" s="380" t="s">
        <v>954</v>
      </c>
      <c r="N31" s="369">
        <v>1</v>
      </c>
      <c r="O31" s="368">
        <v>30.75</v>
      </c>
    </row>
    <row r="32" spans="1:15" x14ac:dyDescent="0.3">
      <c r="A32" s="370" t="s">
        <v>1546</v>
      </c>
      <c r="B32" s="370" t="s">
        <v>191</v>
      </c>
      <c r="C32" s="370" t="s">
        <v>1545</v>
      </c>
      <c r="F32" s="381">
        <v>45688</v>
      </c>
      <c r="G32" s="369">
        <v>10001</v>
      </c>
      <c r="H32" s="370" t="s">
        <v>934</v>
      </c>
      <c r="I32" s="380" t="s">
        <v>8343</v>
      </c>
      <c r="J32" s="252">
        <v>2</v>
      </c>
      <c r="K32" s="369">
        <v>2</v>
      </c>
      <c r="L32" s="370" t="s">
        <v>932</v>
      </c>
      <c r="N32" s="369">
        <v>2</v>
      </c>
      <c r="O32" s="368">
        <v>721097.56</v>
      </c>
    </row>
    <row r="33" spans="1:17" hidden="1" x14ac:dyDescent="0.3">
      <c r="A33" s="370" t="s">
        <v>950</v>
      </c>
      <c r="B33" s="370" t="s">
        <v>191</v>
      </c>
      <c r="C33" s="370" t="s">
        <v>629</v>
      </c>
      <c r="F33" s="381">
        <v>41333</v>
      </c>
      <c r="G33" s="369">
        <v>1</v>
      </c>
      <c r="H33" s="370" t="s">
        <v>934</v>
      </c>
      <c r="I33" s="380" t="s">
        <v>949</v>
      </c>
      <c r="J33" s="252">
        <v>2</v>
      </c>
      <c r="K33" s="369">
        <v>10</v>
      </c>
      <c r="L33" s="370" t="s">
        <v>932</v>
      </c>
      <c r="M33" s="380" t="s">
        <v>948</v>
      </c>
      <c r="N33" s="369">
        <v>10</v>
      </c>
      <c r="O33" s="368">
        <v>3506.5</v>
      </c>
    </row>
    <row r="34" spans="1:17" x14ac:dyDescent="0.3">
      <c r="A34" s="370" t="s">
        <v>276</v>
      </c>
      <c r="B34" s="370" t="s">
        <v>191</v>
      </c>
      <c r="C34" s="370" t="s">
        <v>275</v>
      </c>
      <c r="F34" s="381">
        <v>45688</v>
      </c>
      <c r="G34" s="369">
        <v>10001</v>
      </c>
      <c r="H34" s="370" t="s">
        <v>934</v>
      </c>
      <c r="I34" s="380" t="s">
        <v>8343</v>
      </c>
      <c r="J34" s="252">
        <v>2</v>
      </c>
      <c r="K34" s="369">
        <v>1</v>
      </c>
      <c r="L34" s="370" t="s">
        <v>932</v>
      </c>
      <c r="N34" s="369">
        <v>1</v>
      </c>
      <c r="O34" s="368">
        <v>167954.58000000002</v>
      </c>
    </row>
    <row r="35" spans="1:17" x14ac:dyDescent="0.3">
      <c r="A35" s="370" t="s">
        <v>1460</v>
      </c>
      <c r="B35" s="370" t="s">
        <v>191</v>
      </c>
      <c r="C35" s="370" t="s">
        <v>1459</v>
      </c>
      <c r="F35" s="381">
        <v>45688</v>
      </c>
      <c r="G35" s="369">
        <v>10001</v>
      </c>
      <c r="H35" s="370" t="s">
        <v>934</v>
      </c>
      <c r="I35" s="380" t="s">
        <v>8343</v>
      </c>
      <c r="J35" s="252">
        <v>2</v>
      </c>
      <c r="K35" s="369">
        <v>1</v>
      </c>
      <c r="L35" s="370" t="s">
        <v>932</v>
      </c>
      <c r="N35" s="369">
        <v>1</v>
      </c>
      <c r="O35" s="368">
        <v>239039.89</v>
      </c>
      <c r="Q35" s="246" t="s">
        <v>40</v>
      </c>
    </row>
    <row r="36" spans="1:17" x14ac:dyDescent="0.3">
      <c r="A36" s="370" t="s">
        <v>1905</v>
      </c>
      <c r="B36" s="370" t="s">
        <v>191</v>
      </c>
      <c r="C36" s="370" t="s">
        <v>1904</v>
      </c>
      <c r="F36" s="381">
        <v>45733</v>
      </c>
      <c r="G36" s="369">
        <v>1</v>
      </c>
      <c r="H36" s="370" t="s">
        <v>934</v>
      </c>
      <c r="I36" s="380" t="s">
        <v>8342</v>
      </c>
      <c r="J36" s="252">
        <v>2</v>
      </c>
      <c r="K36" s="369">
        <v>2</v>
      </c>
      <c r="L36" s="370" t="s">
        <v>932</v>
      </c>
      <c r="M36" s="380" t="s">
        <v>8341</v>
      </c>
      <c r="N36" s="369">
        <v>2</v>
      </c>
      <c r="O36" s="368">
        <v>130619.84</v>
      </c>
      <c r="P36" s="246" t="s">
        <v>8369</v>
      </c>
      <c r="Q36" s="246" t="s">
        <v>41</v>
      </c>
    </row>
    <row r="37" spans="1:17" x14ac:dyDescent="0.3">
      <c r="A37" s="370" t="s">
        <v>7730</v>
      </c>
      <c r="B37" s="370" t="s">
        <v>191</v>
      </c>
      <c r="C37" s="370" t="s">
        <v>428</v>
      </c>
      <c r="F37" s="381">
        <v>45771</v>
      </c>
      <c r="G37" s="369">
        <v>1</v>
      </c>
      <c r="H37" s="370" t="s">
        <v>934</v>
      </c>
      <c r="I37" s="380" t="s">
        <v>8340</v>
      </c>
      <c r="J37" s="252">
        <v>2</v>
      </c>
      <c r="K37" s="369">
        <v>1</v>
      </c>
      <c r="L37" s="370" t="s">
        <v>932</v>
      </c>
      <c r="M37" s="380" t="s">
        <v>8339</v>
      </c>
      <c r="N37" s="369">
        <v>1</v>
      </c>
      <c r="O37" s="368">
        <v>44419.13</v>
      </c>
      <c r="P37" s="246" t="s">
        <v>8370</v>
      </c>
      <c r="Q37" s="246" t="s">
        <v>41</v>
      </c>
    </row>
    <row r="38" spans="1:17" x14ac:dyDescent="0.3">
      <c r="A38" s="370" t="s">
        <v>3476</v>
      </c>
      <c r="B38" s="370" t="s">
        <v>191</v>
      </c>
      <c r="C38" s="370" t="s">
        <v>3475</v>
      </c>
      <c r="F38" s="381">
        <v>45803</v>
      </c>
      <c r="G38" s="369">
        <v>1</v>
      </c>
      <c r="H38" s="370" t="s">
        <v>934</v>
      </c>
      <c r="I38" s="380" t="s">
        <v>8338</v>
      </c>
      <c r="J38" s="252">
        <v>2</v>
      </c>
      <c r="K38" s="369">
        <v>1</v>
      </c>
      <c r="L38" s="370" t="s">
        <v>932</v>
      </c>
      <c r="M38" s="380" t="s">
        <v>8337</v>
      </c>
      <c r="N38" s="369">
        <v>1</v>
      </c>
      <c r="O38" s="368">
        <v>11089.51</v>
      </c>
      <c r="P38" s="246" t="s">
        <v>8370</v>
      </c>
      <c r="Q38" s="246" t="s">
        <v>41</v>
      </c>
    </row>
    <row r="39" spans="1:17" x14ac:dyDescent="0.3">
      <c r="A39" s="370" t="s">
        <v>508</v>
      </c>
      <c r="B39" s="370" t="s">
        <v>191</v>
      </c>
      <c r="C39" s="370" t="s">
        <v>509</v>
      </c>
      <c r="F39" s="381">
        <v>45814</v>
      </c>
      <c r="G39" s="369">
        <v>1</v>
      </c>
      <c r="H39" s="370" t="s">
        <v>934</v>
      </c>
      <c r="I39" s="380" t="s">
        <v>8336</v>
      </c>
      <c r="J39" s="252">
        <v>2</v>
      </c>
      <c r="K39" s="369">
        <v>1</v>
      </c>
      <c r="L39" s="370" t="s">
        <v>932</v>
      </c>
      <c r="M39" s="380" t="s">
        <v>8335</v>
      </c>
      <c r="N39" s="369">
        <v>2</v>
      </c>
      <c r="O39" s="368">
        <v>247070.57</v>
      </c>
      <c r="P39" s="246" t="s">
        <v>8370</v>
      </c>
      <c r="Q39" s="246" t="s">
        <v>41</v>
      </c>
    </row>
    <row r="40" spans="1:17" hidden="1" x14ac:dyDescent="0.3">
      <c r="A40" s="370" t="s">
        <v>943</v>
      </c>
      <c r="B40" s="370" t="s">
        <v>191</v>
      </c>
      <c r="C40" s="370" t="s">
        <v>942</v>
      </c>
      <c r="F40" s="381">
        <v>40998</v>
      </c>
      <c r="G40" s="369">
        <v>1</v>
      </c>
      <c r="H40" s="370" t="s">
        <v>934</v>
      </c>
      <c r="I40" s="380" t="s">
        <v>941</v>
      </c>
      <c r="J40" s="252">
        <v>2</v>
      </c>
      <c r="K40" s="369">
        <v>1</v>
      </c>
      <c r="L40" s="370" t="s">
        <v>932</v>
      </c>
      <c r="M40" s="380" t="s">
        <v>940</v>
      </c>
      <c r="N40" s="369">
        <v>1</v>
      </c>
      <c r="O40" s="368">
        <v>120.28</v>
      </c>
    </row>
    <row r="41" spans="1:17" hidden="1" x14ac:dyDescent="0.3">
      <c r="A41" s="370" t="s">
        <v>939</v>
      </c>
      <c r="B41" s="370" t="s">
        <v>416</v>
      </c>
      <c r="C41" s="370" t="s">
        <v>938</v>
      </c>
      <c r="F41" s="381">
        <v>37987</v>
      </c>
      <c r="G41" s="369">
        <v>844</v>
      </c>
      <c r="H41" s="370" t="s">
        <v>934</v>
      </c>
      <c r="I41" s="380" t="s">
        <v>937</v>
      </c>
      <c r="J41" s="252">
        <v>2</v>
      </c>
      <c r="K41" s="369">
        <v>1</v>
      </c>
      <c r="L41" s="370" t="s">
        <v>932</v>
      </c>
      <c r="N41" s="369">
        <v>1</v>
      </c>
      <c r="O41" s="368">
        <v>161.97999999999999</v>
      </c>
    </row>
    <row r="42" spans="1:17" hidden="1" x14ac:dyDescent="0.3">
      <c r="A42" s="370" t="s">
        <v>936</v>
      </c>
      <c r="B42" s="370" t="s">
        <v>416</v>
      </c>
      <c r="C42" s="370" t="s">
        <v>935</v>
      </c>
      <c r="F42" s="381">
        <v>37768</v>
      </c>
      <c r="G42" s="369">
        <v>12</v>
      </c>
      <c r="H42" s="370" t="s">
        <v>934</v>
      </c>
      <c r="I42" s="380" t="s">
        <v>933</v>
      </c>
      <c r="J42" s="252">
        <v>2</v>
      </c>
      <c r="K42" s="369">
        <v>30</v>
      </c>
      <c r="L42" s="370" t="s">
        <v>932</v>
      </c>
      <c r="M42" s="380" t="s">
        <v>931</v>
      </c>
      <c r="N42" s="369">
        <v>30</v>
      </c>
      <c r="O42" s="368">
        <v>2221.5</v>
      </c>
    </row>
    <row r="43" spans="1:17" x14ac:dyDescent="0.3">
      <c r="M43" s="372" t="s">
        <v>199</v>
      </c>
      <c r="N43" s="368">
        <v>5391912.0099999998</v>
      </c>
    </row>
    <row r="44" spans="1:17" ht="15" x14ac:dyDescent="0.3">
      <c r="F44" s="377" t="s">
        <v>930</v>
      </c>
    </row>
    <row r="46" spans="1:17" x14ac:dyDescent="0.3">
      <c r="I46" s="382"/>
      <c r="M46" s="371" t="s">
        <v>202</v>
      </c>
      <c r="N46" s="371" t="s">
        <v>207</v>
      </c>
    </row>
    <row r="47" spans="1:17" x14ac:dyDescent="0.3">
      <c r="A47" s="376" t="s">
        <v>206</v>
      </c>
      <c r="B47" s="372" t="s">
        <v>39</v>
      </c>
      <c r="E47" s="376" t="s">
        <v>2</v>
      </c>
      <c r="F47" s="371" t="s">
        <v>205</v>
      </c>
      <c r="G47" s="372" t="s">
        <v>204</v>
      </c>
      <c r="I47" s="382"/>
      <c r="J47" s="371" t="s">
        <v>202</v>
      </c>
      <c r="K47" s="372" t="s">
        <v>201</v>
      </c>
      <c r="M47" s="371" t="s">
        <v>199</v>
      </c>
      <c r="N47" s="371" t="s">
        <v>199</v>
      </c>
    </row>
    <row r="48" spans="1:17" x14ac:dyDescent="0.3">
      <c r="I48" s="382"/>
    </row>
    <row r="49" spans="9:15" x14ac:dyDescent="0.3">
      <c r="I49" s="382"/>
      <c r="O49" s="360" t="s">
        <v>8334</v>
      </c>
    </row>
  </sheetData>
  <autoFilter ref="A6:O42" xr:uid="{5DCA1922-94BC-4A19-BF5F-FA9F1042800B}">
    <filterColumn colId="5">
      <filters>
        <dateGroupItem year="2025" dateTimeGrouping="year"/>
      </filters>
    </filterColumn>
    <sortState xmlns:xlrd2="http://schemas.microsoft.com/office/spreadsheetml/2017/richdata2" ref="A7:O39">
      <sortCondition ref="F6:F42"/>
    </sortState>
  </autoFilter>
  <conditionalFormatting sqref="I1:I1048576">
    <cfRule type="duplicateValues" dxfId="1" priority="1"/>
  </conditionalFormatting>
  <pageMargins left="0.24996875390576173" right="0.24996875390576173" top="0.24996875390576173" bottom="0.24996875390576173" header="1.1126244600256519E-308" footer="0.24996875390576173"/>
  <pageSetup paperSize="0" scal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5185-7680-4465-9107-50BC3936299A}">
  <sheetPr>
    <tabColor rgb="FFFF0000"/>
  </sheetPr>
  <dimension ref="A1:H12"/>
  <sheetViews>
    <sheetView workbookViewId="0">
      <selection activeCell="B8" sqref="B8"/>
    </sheetView>
  </sheetViews>
  <sheetFormatPr baseColWidth="10" defaultRowHeight="14.5" x14ac:dyDescent="0.35"/>
  <cols>
    <col min="3" max="3" width="16.36328125" bestFit="1" customWidth="1"/>
    <col min="4" max="4" width="13.453125" customWidth="1"/>
    <col min="5" max="5" width="13.26953125" customWidth="1"/>
  </cols>
  <sheetData>
    <row r="1" spans="1:8" x14ac:dyDescent="0.35">
      <c r="A1" s="176" t="s">
        <v>296</v>
      </c>
      <c r="B1" s="30"/>
      <c r="C1" s="30"/>
      <c r="D1" s="30"/>
      <c r="E1" s="30"/>
      <c r="F1" s="30"/>
      <c r="G1" s="30"/>
      <c r="H1" s="30"/>
    </row>
    <row r="2" spans="1:8" x14ac:dyDescent="0.35">
      <c r="A2" s="175" t="s">
        <v>61</v>
      </c>
      <c r="B2" s="30"/>
      <c r="C2" s="30"/>
      <c r="D2" s="30"/>
      <c r="E2" s="30"/>
      <c r="F2" s="30"/>
      <c r="G2" s="30"/>
      <c r="H2" s="30"/>
    </row>
    <row r="3" spans="1:8" x14ac:dyDescent="0.35">
      <c r="A3" s="30" t="s">
        <v>295</v>
      </c>
      <c r="B3" s="174"/>
      <c r="C3" s="174"/>
      <c r="D3" s="30"/>
      <c r="E3" s="30"/>
      <c r="F3" s="30"/>
      <c r="G3" s="30"/>
      <c r="H3" s="30"/>
    </row>
    <row r="4" spans="1:8" x14ac:dyDescent="0.35">
      <c r="A4" s="139" t="s">
        <v>219</v>
      </c>
      <c r="B4" s="30"/>
      <c r="C4" s="30"/>
      <c r="D4" s="30"/>
      <c r="E4" s="30"/>
      <c r="F4" s="30"/>
      <c r="G4" s="30"/>
      <c r="H4" s="30"/>
    </row>
    <row r="5" spans="1:8" ht="15.5" x14ac:dyDescent="0.35">
      <c r="A5" s="139"/>
      <c r="B5" s="30"/>
      <c r="C5" s="30"/>
      <c r="D5" s="30"/>
      <c r="E5" s="30"/>
      <c r="F5" s="30"/>
      <c r="G5" s="257">
        <v>1</v>
      </c>
      <c r="H5" s="30"/>
    </row>
    <row r="6" spans="1:8" ht="15.5" x14ac:dyDescent="0.35">
      <c r="A6" s="254" t="s">
        <v>218</v>
      </c>
      <c r="B6" s="254" t="s">
        <v>217</v>
      </c>
      <c r="C6" s="254" t="s">
        <v>8365</v>
      </c>
      <c r="D6" s="254" t="s">
        <v>216</v>
      </c>
      <c r="E6" s="254" t="s">
        <v>215</v>
      </c>
      <c r="F6" s="254" t="s">
        <v>1006</v>
      </c>
      <c r="G6" s="254" t="s">
        <v>184</v>
      </c>
      <c r="H6" s="30"/>
    </row>
    <row r="7" spans="1:8" x14ac:dyDescent="0.35">
      <c r="A7" s="137">
        <v>46050</v>
      </c>
      <c r="B7" s="136" t="s">
        <v>8363</v>
      </c>
      <c r="C7" s="415">
        <v>46050</v>
      </c>
      <c r="D7" s="137">
        <v>46056</v>
      </c>
      <c r="E7" s="138">
        <f>+C7-A7</f>
        <v>0</v>
      </c>
      <c r="F7" s="138"/>
      <c r="G7" s="135" t="s">
        <v>41</v>
      </c>
      <c r="H7" s="30"/>
    </row>
    <row r="8" spans="1:8" x14ac:dyDescent="0.35">
      <c r="A8" s="137">
        <v>46055</v>
      </c>
      <c r="B8" s="136" t="s">
        <v>8364</v>
      </c>
      <c r="C8" s="415">
        <v>46055</v>
      </c>
      <c r="D8" s="137">
        <f>+D7</f>
        <v>46056</v>
      </c>
      <c r="E8" s="138">
        <f t="shared" ref="E8:E10" si="0">+C8-A8</f>
        <v>0</v>
      </c>
      <c r="F8" s="138"/>
      <c r="G8" s="135" t="s">
        <v>41</v>
      </c>
      <c r="H8" s="30"/>
    </row>
    <row r="9" spans="1:8" x14ac:dyDescent="0.35">
      <c r="A9" s="137">
        <v>46051</v>
      </c>
      <c r="B9" s="136" t="s">
        <v>8366</v>
      </c>
      <c r="C9" s="415">
        <v>46051</v>
      </c>
      <c r="D9" s="137">
        <f>+D8</f>
        <v>46056</v>
      </c>
      <c r="E9" s="138">
        <f t="shared" si="0"/>
        <v>0</v>
      </c>
      <c r="F9" s="138"/>
      <c r="G9" s="135" t="s">
        <v>41</v>
      </c>
      <c r="H9" s="30"/>
    </row>
    <row r="10" spans="1:8" x14ac:dyDescent="0.35">
      <c r="A10" s="137">
        <v>46051</v>
      </c>
      <c r="B10" s="136" t="s">
        <v>8367</v>
      </c>
      <c r="C10" s="415">
        <v>46051</v>
      </c>
      <c r="D10" s="137">
        <f>+D9</f>
        <v>46056</v>
      </c>
      <c r="E10" s="138">
        <f t="shared" si="0"/>
        <v>0</v>
      </c>
      <c r="F10" s="138"/>
      <c r="G10" s="135" t="s">
        <v>41</v>
      </c>
      <c r="H10" s="30"/>
    </row>
    <row r="11" spans="1:8" x14ac:dyDescent="0.35">
      <c r="A11" s="30"/>
      <c r="B11" s="30"/>
      <c r="C11" s="30"/>
      <c r="D11" s="30"/>
      <c r="E11" s="30"/>
      <c r="F11" s="30"/>
      <c r="G11" s="30"/>
      <c r="H11" s="30"/>
    </row>
    <row r="12" spans="1:8" x14ac:dyDescent="0.35">
      <c r="A12" s="223" t="s">
        <v>739</v>
      </c>
      <c r="B12" s="30"/>
      <c r="C12" s="30"/>
      <c r="D12" s="30"/>
      <c r="E12" s="30"/>
      <c r="F12" s="30"/>
      <c r="G12" s="30"/>
      <c r="H12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D159-0A37-4584-83E8-DEE43FC15D4F}">
  <sheetPr>
    <tabColor rgb="FFFF0000"/>
  </sheetPr>
  <dimension ref="A1:R66"/>
  <sheetViews>
    <sheetView topLeftCell="B37" workbookViewId="0">
      <selection activeCell="L7" sqref="L7:L57"/>
    </sheetView>
  </sheetViews>
  <sheetFormatPr baseColWidth="10" defaultRowHeight="14.5" x14ac:dyDescent="0.35"/>
  <cols>
    <col min="1" max="3" width="10.90625" style="414"/>
    <col min="4" max="4" width="12.81640625" style="414" bestFit="1" customWidth="1"/>
    <col min="5" max="5" width="37.26953125" style="414" bestFit="1" customWidth="1"/>
    <col min="6" max="6" width="12.1796875" style="414" bestFit="1" customWidth="1"/>
    <col min="7" max="12" width="10.90625" style="414"/>
    <col min="13" max="13" width="12.36328125" style="414" customWidth="1"/>
    <col min="14" max="14" width="19.1796875" style="414" bestFit="1" customWidth="1"/>
    <col min="15" max="15" width="15.453125" style="414" customWidth="1"/>
    <col min="16" max="16" width="13" style="414" customWidth="1"/>
    <col min="17" max="16384" width="10.90625" style="414"/>
  </cols>
  <sheetData>
    <row r="1" spans="1:18" s="246" customFormat="1" ht="13.5" x14ac:dyDescent="0.3">
      <c r="A1" s="249" t="s">
        <v>190</v>
      </c>
      <c r="G1" s="255"/>
      <c r="H1" s="255"/>
      <c r="I1" s="255"/>
      <c r="J1" s="255"/>
      <c r="K1" s="255"/>
      <c r="L1" s="255"/>
    </row>
    <row r="2" spans="1:18" s="246" customFormat="1" ht="13" x14ac:dyDescent="0.3">
      <c r="A2" s="405" t="s">
        <v>189</v>
      </c>
      <c r="G2" s="255"/>
      <c r="H2" s="255"/>
      <c r="I2" s="255"/>
      <c r="J2" s="255"/>
      <c r="K2" s="255"/>
      <c r="L2" s="255"/>
    </row>
    <row r="3" spans="1:18" s="246" customFormat="1" ht="16" x14ac:dyDescent="0.3">
      <c r="F3" s="251" t="s">
        <v>8317</v>
      </c>
      <c r="G3" s="255"/>
      <c r="H3" s="255"/>
      <c r="I3" s="255"/>
      <c r="J3" s="255"/>
      <c r="K3" s="255"/>
      <c r="L3" s="255"/>
    </row>
    <row r="4" spans="1:18" s="246" customFormat="1" ht="13" x14ac:dyDescent="0.3">
      <c r="G4" s="255"/>
      <c r="H4" s="255"/>
      <c r="I4" s="255"/>
      <c r="J4" s="255"/>
      <c r="K4" s="255"/>
      <c r="L4" s="255"/>
    </row>
    <row r="5" spans="1:18" s="246" customFormat="1" ht="13" x14ac:dyDescent="0.3">
      <c r="F5" s="248" t="s">
        <v>8316</v>
      </c>
      <c r="G5" s="255"/>
      <c r="H5" s="255"/>
      <c r="I5" s="255"/>
      <c r="J5" s="255"/>
      <c r="K5" s="379">
        <v>1</v>
      </c>
      <c r="L5" s="379">
        <f>+COUNTIF(L7:L57,"sc")/(COUNTIF(L7:L57,"sc")+COUNTIF(L7:L57,"nc"))</f>
        <v>0.94117647058823528</v>
      </c>
    </row>
    <row r="6" spans="1:18" s="409" customFormat="1" ht="13" x14ac:dyDescent="0.3">
      <c r="A6" s="406" t="s">
        <v>120</v>
      </c>
      <c r="B6" s="406" t="s">
        <v>8315</v>
      </c>
      <c r="C6" s="406" t="s">
        <v>8314</v>
      </c>
      <c r="D6" s="406" t="s">
        <v>206</v>
      </c>
      <c r="E6" s="406" t="s">
        <v>39</v>
      </c>
      <c r="F6" s="406" t="s">
        <v>326</v>
      </c>
      <c r="G6" s="407" t="s">
        <v>63</v>
      </c>
      <c r="H6" s="407" t="s">
        <v>291</v>
      </c>
      <c r="I6" s="407" t="s">
        <v>776</v>
      </c>
      <c r="J6" s="407" t="s">
        <v>777</v>
      </c>
      <c r="K6" s="407" t="s">
        <v>8371</v>
      </c>
      <c r="L6" s="407" t="s">
        <v>778</v>
      </c>
      <c r="M6" s="408" t="s">
        <v>292</v>
      </c>
      <c r="N6" s="410" t="s">
        <v>280</v>
      </c>
      <c r="O6" s="408" t="s">
        <v>8313</v>
      </c>
      <c r="P6" s="408" t="s">
        <v>8312</v>
      </c>
      <c r="Q6" s="406" t="s">
        <v>8311</v>
      </c>
      <c r="R6" s="408" t="s">
        <v>8310</v>
      </c>
    </row>
    <row r="7" spans="1:18" s="409" customFormat="1" ht="13" x14ac:dyDescent="0.3">
      <c r="A7" s="410" t="s">
        <v>7406</v>
      </c>
      <c r="C7" s="410" t="s">
        <v>1053</v>
      </c>
      <c r="D7" s="410" t="s">
        <v>7405</v>
      </c>
      <c r="E7" s="410" t="s">
        <v>442</v>
      </c>
      <c r="F7" s="410" t="s">
        <v>191</v>
      </c>
      <c r="G7" s="411">
        <v>1</v>
      </c>
      <c r="H7" s="411">
        <v>1</v>
      </c>
      <c r="I7" s="411">
        <f>+H7-G7</f>
        <v>0</v>
      </c>
      <c r="J7" s="411"/>
      <c r="K7" s="411" t="s">
        <v>41</v>
      </c>
      <c r="L7" s="411" t="s">
        <v>41</v>
      </c>
      <c r="M7" s="412">
        <v>53836.594000000005</v>
      </c>
      <c r="N7" s="412">
        <f>+M7*G7</f>
        <v>53836.594000000005</v>
      </c>
      <c r="O7" s="413">
        <v>52853.71</v>
      </c>
      <c r="P7" s="413">
        <v>76909.42</v>
      </c>
      <c r="Q7" s="406" t="s">
        <v>1033</v>
      </c>
    </row>
    <row r="8" spans="1:18" s="409" customFormat="1" ht="13" x14ac:dyDescent="0.3">
      <c r="A8" s="410" t="s">
        <v>7412</v>
      </c>
      <c r="C8" s="410" t="s">
        <v>1053</v>
      </c>
      <c r="D8" s="410" t="s">
        <v>7411</v>
      </c>
      <c r="E8" s="410" t="s">
        <v>442</v>
      </c>
      <c r="F8" s="410" t="s">
        <v>191</v>
      </c>
      <c r="G8" s="411">
        <v>3</v>
      </c>
      <c r="H8" s="411">
        <v>3</v>
      </c>
      <c r="I8" s="411">
        <f t="shared" ref="I8:I57" si="0">+H8-G8</f>
        <v>0</v>
      </c>
      <c r="J8" s="411"/>
      <c r="K8" s="411" t="s">
        <v>41</v>
      </c>
      <c r="L8" s="411" t="s">
        <v>41</v>
      </c>
      <c r="M8" s="412">
        <v>45200.042999999998</v>
      </c>
      <c r="N8" s="412">
        <f>+M8*G8</f>
        <v>135600.12899999999</v>
      </c>
      <c r="O8" s="413">
        <v>24837.31</v>
      </c>
      <c r="P8" s="413">
        <v>64571.49</v>
      </c>
      <c r="Q8" s="406" t="s">
        <v>1033</v>
      </c>
    </row>
    <row r="9" spans="1:18" s="409" customFormat="1" ht="13" x14ac:dyDescent="0.3">
      <c r="A9" s="410" t="s">
        <v>7423</v>
      </c>
      <c r="C9" s="410" t="s">
        <v>1053</v>
      </c>
      <c r="D9" s="410" t="s">
        <v>7422</v>
      </c>
      <c r="E9" s="410" t="s">
        <v>442</v>
      </c>
      <c r="F9" s="410" t="s">
        <v>191</v>
      </c>
      <c r="G9" s="411">
        <v>2</v>
      </c>
      <c r="H9" s="411">
        <v>2</v>
      </c>
      <c r="I9" s="411">
        <f t="shared" si="0"/>
        <v>0</v>
      </c>
      <c r="J9" s="411"/>
      <c r="K9" s="411" t="s">
        <v>41</v>
      </c>
      <c r="L9" s="411" t="s">
        <v>41</v>
      </c>
      <c r="M9" s="412">
        <v>38517.752</v>
      </c>
      <c r="N9" s="412">
        <f>+M9*G9</f>
        <v>77035.504000000001</v>
      </c>
      <c r="O9" s="413">
        <v>563.01</v>
      </c>
      <c r="P9" s="413">
        <v>55025.36</v>
      </c>
      <c r="Q9" s="406" t="s">
        <v>1033</v>
      </c>
    </row>
    <row r="10" spans="1:18" s="409" customFormat="1" ht="13" x14ac:dyDescent="0.3">
      <c r="A10" s="410" t="s">
        <v>7401</v>
      </c>
      <c r="C10" s="410" t="s">
        <v>1053</v>
      </c>
      <c r="D10" s="410" t="s">
        <v>7400</v>
      </c>
      <c r="E10" s="410" t="s">
        <v>442</v>
      </c>
      <c r="F10" s="410" t="s">
        <v>191</v>
      </c>
      <c r="G10" s="411">
        <v>1</v>
      </c>
      <c r="H10" s="411">
        <v>1</v>
      </c>
      <c r="I10" s="411">
        <f t="shared" si="0"/>
        <v>0</v>
      </c>
      <c r="J10" s="411"/>
      <c r="K10" s="411" t="s">
        <v>41</v>
      </c>
      <c r="L10" s="411" t="s">
        <v>41</v>
      </c>
      <c r="M10" s="412">
        <v>44790.284000000007</v>
      </c>
      <c r="N10" s="412">
        <f>+M10*G10</f>
        <v>44790.284000000007</v>
      </c>
      <c r="O10" s="413">
        <v>42077.35</v>
      </c>
      <c r="P10" s="413">
        <v>63986.12</v>
      </c>
      <c r="Q10" s="406" t="s">
        <v>1033</v>
      </c>
    </row>
    <row r="11" spans="1:18" s="409" customFormat="1" ht="13" x14ac:dyDescent="0.3">
      <c r="A11" s="410" t="s">
        <v>7410</v>
      </c>
      <c r="C11" s="410" t="s">
        <v>1053</v>
      </c>
      <c r="D11" s="410" t="s">
        <v>7409</v>
      </c>
      <c r="E11" s="410" t="s">
        <v>442</v>
      </c>
      <c r="F11" s="410" t="s">
        <v>191</v>
      </c>
      <c r="G11" s="411">
        <v>1</v>
      </c>
      <c r="H11" s="411">
        <v>1</v>
      </c>
      <c r="I11" s="411">
        <f t="shared" si="0"/>
        <v>0</v>
      </c>
      <c r="J11" s="411"/>
      <c r="K11" s="411" t="s">
        <v>41</v>
      </c>
      <c r="L11" s="411" t="s">
        <v>41</v>
      </c>
      <c r="M11" s="412">
        <v>38328.633000000002</v>
      </c>
      <c r="N11" s="412">
        <f>+M11*G11</f>
        <v>38328.633000000002</v>
      </c>
      <c r="O11" s="413">
        <v>30803.45</v>
      </c>
      <c r="P11" s="413">
        <v>54755.19</v>
      </c>
      <c r="Q11" s="406" t="s">
        <v>1033</v>
      </c>
    </row>
    <row r="12" spans="1:18" s="409" customFormat="1" ht="13" x14ac:dyDescent="0.3">
      <c r="A12" s="410" t="s">
        <v>7408</v>
      </c>
      <c r="C12" s="410" t="s">
        <v>1053</v>
      </c>
      <c r="D12" s="410" t="s">
        <v>7407</v>
      </c>
      <c r="E12" s="410" t="s">
        <v>442</v>
      </c>
      <c r="F12" s="410" t="s">
        <v>191</v>
      </c>
      <c r="G12" s="411">
        <v>4</v>
      </c>
      <c r="H12" s="411">
        <v>4</v>
      </c>
      <c r="I12" s="411">
        <f t="shared" si="0"/>
        <v>0</v>
      </c>
      <c r="J12" s="411"/>
      <c r="K12" s="411" t="s">
        <v>41</v>
      </c>
      <c r="L12" s="411" t="s">
        <v>41</v>
      </c>
      <c r="M12" s="412">
        <v>52102.981</v>
      </c>
      <c r="N12" s="412">
        <f>+M12*G12</f>
        <v>208411.924</v>
      </c>
      <c r="O12" s="413">
        <v>51181.71</v>
      </c>
      <c r="P12" s="413">
        <v>74432.83</v>
      </c>
      <c r="Q12" s="406" t="s">
        <v>1033</v>
      </c>
    </row>
    <row r="13" spans="1:18" s="409" customFormat="1" ht="13" x14ac:dyDescent="0.3">
      <c r="A13" s="410" t="s">
        <v>7389</v>
      </c>
      <c r="C13" s="410" t="s">
        <v>1053</v>
      </c>
      <c r="D13" s="410" t="s">
        <v>7388</v>
      </c>
      <c r="E13" s="410" t="s">
        <v>442</v>
      </c>
      <c r="F13" s="410" t="s">
        <v>191</v>
      </c>
      <c r="G13" s="411">
        <v>2</v>
      </c>
      <c r="H13" s="411">
        <v>2</v>
      </c>
      <c r="I13" s="411">
        <f t="shared" si="0"/>
        <v>0</v>
      </c>
      <c r="J13" s="411"/>
      <c r="K13" s="411" t="s">
        <v>41</v>
      </c>
      <c r="L13" s="411" t="s">
        <v>41</v>
      </c>
      <c r="M13" s="412">
        <v>35271.166000000005</v>
      </c>
      <c r="N13" s="412">
        <f>+M13*G13</f>
        <v>70542.332000000009</v>
      </c>
      <c r="O13" s="413">
        <v>33827.699999999997</v>
      </c>
      <c r="P13" s="413">
        <v>50387.380000000005</v>
      </c>
      <c r="Q13" s="406" t="s">
        <v>1033</v>
      </c>
    </row>
    <row r="14" spans="1:18" s="409" customFormat="1" ht="13" x14ac:dyDescent="0.3">
      <c r="A14" s="410" t="s">
        <v>874</v>
      </c>
      <c r="C14" s="410" t="s">
        <v>1053</v>
      </c>
      <c r="D14" s="410" t="s">
        <v>7402</v>
      </c>
      <c r="E14" s="410" t="s">
        <v>442</v>
      </c>
      <c r="F14" s="410" t="s">
        <v>191</v>
      </c>
      <c r="G14" s="411">
        <v>1</v>
      </c>
      <c r="H14" s="411">
        <v>1</v>
      </c>
      <c r="I14" s="411">
        <f t="shared" si="0"/>
        <v>0</v>
      </c>
      <c r="J14" s="411"/>
      <c r="K14" s="411" t="s">
        <v>41</v>
      </c>
      <c r="L14" s="411" t="s">
        <v>41</v>
      </c>
      <c r="M14" s="412">
        <v>52292.1</v>
      </c>
      <c r="N14" s="412">
        <f>+M14*G14</f>
        <v>52292.1</v>
      </c>
      <c r="O14" s="413">
        <v>41177.629999999997</v>
      </c>
      <c r="P14" s="413">
        <v>74703</v>
      </c>
      <c r="Q14" s="406" t="s">
        <v>1033</v>
      </c>
    </row>
    <row r="15" spans="1:18" s="409" customFormat="1" ht="13" x14ac:dyDescent="0.3">
      <c r="A15" s="410" t="s">
        <v>3776</v>
      </c>
      <c r="C15" s="410" t="s">
        <v>1053</v>
      </c>
      <c r="D15" s="410" t="s">
        <v>3775</v>
      </c>
      <c r="E15" s="410" t="s">
        <v>667</v>
      </c>
      <c r="F15" s="410" t="s">
        <v>191</v>
      </c>
      <c r="G15" s="411">
        <v>3</v>
      </c>
      <c r="H15" s="411">
        <v>3</v>
      </c>
      <c r="I15" s="411">
        <f t="shared" si="0"/>
        <v>0</v>
      </c>
      <c r="J15" s="411"/>
      <c r="K15" s="411" t="s">
        <v>41</v>
      </c>
      <c r="L15" s="411" t="s">
        <v>41</v>
      </c>
      <c r="M15" s="412">
        <v>33190.828999999998</v>
      </c>
      <c r="N15" s="412">
        <f>+M15*G15</f>
        <v>99572.486999999994</v>
      </c>
      <c r="O15" s="413">
        <v>31781.43</v>
      </c>
      <c r="P15" s="413">
        <v>47415.47</v>
      </c>
      <c r="Q15" s="406" t="s">
        <v>1033</v>
      </c>
    </row>
    <row r="16" spans="1:18" s="409" customFormat="1" ht="13" x14ac:dyDescent="0.3">
      <c r="A16" s="410" t="s">
        <v>7415</v>
      </c>
      <c r="C16" s="410" t="s">
        <v>1053</v>
      </c>
      <c r="D16" s="410" t="s">
        <v>7414</v>
      </c>
      <c r="E16" s="410" t="s">
        <v>7413</v>
      </c>
      <c r="F16" s="410" t="s">
        <v>191</v>
      </c>
      <c r="G16" s="411">
        <v>8</v>
      </c>
      <c r="H16" s="411">
        <v>8</v>
      </c>
      <c r="I16" s="411">
        <f t="shared" si="0"/>
        <v>0</v>
      </c>
      <c r="J16" s="411" t="s">
        <v>8362</v>
      </c>
      <c r="K16" s="411" t="s">
        <v>41</v>
      </c>
      <c r="L16" s="411" t="s">
        <v>40</v>
      </c>
      <c r="M16" s="412">
        <v>52292.1</v>
      </c>
      <c r="N16" s="412">
        <f>+M16*G16</f>
        <v>418336.8</v>
      </c>
      <c r="O16" s="413">
        <v>51367.49</v>
      </c>
      <c r="P16" s="413">
        <v>74703</v>
      </c>
      <c r="Q16" s="406" t="s">
        <v>1033</v>
      </c>
    </row>
    <row r="17" spans="1:18" s="409" customFormat="1" ht="13" x14ac:dyDescent="0.3">
      <c r="A17" s="410" t="s">
        <v>7421</v>
      </c>
      <c r="C17" s="410" t="s">
        <v>1053</v>
      </c>
      <c r="D17" s="410" t="s">
        <v>7420</v>
      </c>
      <c r="E17" s="410" t="s">
        <v>442</v>
      </c>
      <c r="F17" s="410" t="s">
        <v>191</v>
      </c>
      <c r="G17" s="411">
        <v>1</v>
      </c>
      <c r="H17" s="411">
        <v>1</v>
      </c>
      <c r="I17" s="411">
        <f t="shared" si="0"/>
        <v>0</v>
      </c>
      <c r="J17" s="411"/>
      <c r="K17" s="411" t="s">
        <v>41</v>
      </c>
      <c r="L17" s="411" t="s">
        <v>41</v>
      </c>
      <c r="M17" s="412">
        <v>44790.284000000007</v>
      </c>
      <c r="N17" s="412">
        <f>+M17*G17</f>
        <v>44790.284000000007</v>
      </c>
      <c r="O17" s="413">
        <v>1631.13</v>
      </c>
      <c r="P17" s="413">
        <v>63986.12</v>
      </c>
      <c r="Q17" s="406" t="s">
        <v>1033</v>
      </c>
    </row>
    <row r="18" spans="1:18" s="409" customFormat="1" ht="13" x14ac:dyDescent="0.3">
      <c r="A18" s="410" t="s">
        <v>7425</v>
      </c>
      <c r="C18" s="410" t="s">
        <v>1053</v>
      </c>
      <c r="D18" s="410" t="s">
        <v>7424</v>
      </c>
      <c r="E18" s="410" t="s">
        <v>442</v>
      </c>
      <c r="F18" s="410" t="s">
        <v>191</v>
      </c>
      <c r="G18" s="411">
        <v>7</v>
      </c>
      <c r="H18" s="411">
        <v>7</v>
      </c>
      <c r="I18" s="411">
        <f t="shared" si="0"/>
        <v>0</v>
      </c>
      <c r="J18" s="411"/>
      <c r="K18" s="411" t="s">
        <v>41</v>
      </c>
      <c r="L18" s="411" t="s">
        <v>41</v>
      </c>
      <c r="M18" s="412">
        <v>27436.492999999999</v>
      </c>
      <c r="N18" s="412">
        <f>+M18*G18</f>
        <v>192055.451</v>
      </c>
      <c r="O18" s="413">
        <v>26951.360000000001</v>
      </c>
      <c r="P18" s="413">
        <v>39194.99</v>
      </c>
      <c r="Q18" s="406" t="s">
        <v>1033</v>
      </c>
    </row>
    <row r="19" spans="1:18" s="409" customFormat="1" ht="13" x14ac:dyDescent="0.3">
      <c r="A19" s="410" t="s">
        <v>3595</v>
      </c>
      <c r="C19" s="410" t="s">
        <v>1053</v>
      </c>
      <c r="D19" s="410" t="s">
        <v>3594</v>
      </c>
      <c r="E19" s="410" t="s">
        <v>3593</v>
      </c>
      <c r="F19" s="410" t="s">
        <v>191</v>
      </c>
      <c r="G19" s="411">
        <v>2</v>
      </c>
      <c r="H19" s="411">
        <v>2</v>
      </c>
      <c r="I19" s="411">
        <f t="shared" si="0"/>
        <v>0</v>
      </c>
      <c r="J19" s="411"/>
      <c r="K19" s="411" t="s">
        <v>41</v>
      </c>
      <c r="L19" s="411" t="s">
        <v>41</v>
      </c>
      <c r="M19" s="412">
        <v>33285.392</v>
      </c>
      <c r="N19" s="412">
        <f>+M19*G19</f>
        <v>66570.784</v>
      </c>
      <c r="O19" s="413">
        <v>1848.74</v>
      </c>
      <c r="P19" s="413">
        <v>47550.559999999998</v>
      </c>
      <c r="Q19" s="406" t="s">
        <v>1033</v>
      </c>
    </row>
    <row r="20" spans="1:18" s="409" customFormat="1" ht="13" x14ac:dyDescent="0.3">
      <c r="A20" s="410" t="s">
        <v>3572</v>
      </c>
      <c r="C20" s="410" t="s">
        <v>1053</v>
      </c>
      <c r="D20" s="410" t="s">
        <v>3571</v>
      </c>
      <c r="E20" s="410" t="s">
        <v>3570</v>
      </c>
      <c r="F20" s="410" t="s">
        <v>191</v>
      </c>
      <c r="G20" s="411">
        <v>1</v>
      </c>
      <c r="H20" s="411">
        <v>1</v>
      </c>
      <c r="I20" s="411">
        <f t="shared" si="0"/>
        <v>0</v>
      </c>
      <c r="J20" s="411"/>
      <c r="K20" s="411" t="s">
        <v>41</v>
      </c>
      <c r="L20" s="411" t="s">
        <v>41</v>
      </c>
      <c r="M20" s="412">
        <v>1474.1229999999998</v>
      </c>
      <c r="N20" s="412">
        <f>+M20*G20</f>
        <v>1474.1229999999998</v>
      </c>
      <c r="O20" s="413">
        <v>141.07</v>
      </c>
      <c r="P20" s="413">
        <v>2105.89</v>
      </c>
      <c r="Q20" s="406" t="s">
        <v>1033</v>
      </c>
    </row>
    <row r="21" spans="1:18" s="409" customFormat="1" ht="13" x14ac:dyDescent="0.3">
      <c r="A21" s="410" t="s">
        <v>3774</v>
      </c>
      <c r="C21" s="410" t="s">
        <v>1053</v>
      </c>
      <c r="D21" s="410" t="s">
        <v>3773</v>
      </c>
      <c r="E21" s="410" t="s">
        <v>3593</v>
      </c>
      <c r="F21" s="410" t="s">
        <v>191</v>
      </c>
      <c r="G21" s="411">
        <v>1</v>
      </c>
      <c r="H21" s="411">
        <v>1</v>
      </c>
      <c r="I21" s="411">
        <f t="shared" si="0"/>
        <v>0</v>
      </c>
      <c r="J21" s="411"/>
      <c r="K21" s="411" t="s">
        <v>41</v>
      </c>
      <c r="L21" s="411" t="s">
        <v>41</v>
      </c>
      <c r="M21" s="412">
        <v>68485.634000000005</v>
      </c>
      <c r="N21" s="412">
        <f>+M21*G21</f>
        <v>68485.634000000005</v>
      </c>
      <c r="O21" s="413">
        <v>42675.270000000004</v>
      </c>
      <c r="P21" s="413">
        <v>97836.62</v>
      </c>
      <c r="Q21" s="406" t="s">
        <v>1033</v>
      </c>
    </row>
    <row r="22" spans="1:18" s="409" customFormat="1" ht="13" x14ac:dyDescent="0.3">
      <c r="A22" s="410" t="s">
        <v>3778</v>
      </c>
      <c r="C22" s="410" t="s">
        <v>1053</v>
      </c>
      <c r="D22" s="410" t="s">
        <v>3777</v>
      </c>
      <c r="E22" s="410" t="s">
        <v>667</v>
      </c>
      <c r="F22" s="410" t="s">
        <v>191</v>
      </c>
      <c r="G22" s="411">
        <v>4</v>
      </c>
      <c r="H22" s="411">
        <v>4</v>
      </c>
      <c r="I22" s="411">
        <f t="shared" si="0"/>
        <v>0</v>
      </c>
      <c r="J22" s="411"/>
      <c r="K22" s="411" t="s">
        <v>41</v>
      </c>
      <c r="L22" s="411" t="s">
        <v>41</v>
      </c>
      <c r="M22" s="412">
        <v>33285.392</v>
      </c>
      <c r="N22" s="412">
        <f>+M22*G22</f>
        <v>133141.568</v>
      </c>
      <c r="O22" s="413">
        <v>32673.62</v>
      </c>
      <c r="P22" s="413">
        <v>47550.559999999998</v>
      </c>
      <c r="Q22" s="406" t="s">
        <v>1033</v>
      </c>
    </row>
    <row r="23" spans="1:18" s="409" customFormat="1" ht="13" x14ac:dyDescent="0.3">
      <c r="A23" s="410" t="s">
        <v>3782</v>
      </c>
      <c r="C23" s="410" t="s">
        <v>1053</v>
      </c>
      <c r="D23" s="410" t="s">
        <v>3781</v>
      </c>
      <c r="E23" s="410" t="s">
        <v>667</v>
      </c>
      <c r="F23" s="410" t="s">
        <v>191</v>
      </c>
      <c r="G23" s="411">
        <v>1</v>
      </c>
      <c r="H23" s="411">
        <v>1</v>
      </c>
      <c r="I23" s="411">
        <f t="shared" si="0"/>
        <v>0</v>
      </c>
      <c r="J23" s="411"/>
      <c r="K23" s="411" t="s">
        <v>41</v>
      </c>
      <c r="L23" s="411" t="s">
        <v>41</v>
      </c>
      <c r="M23" s="412">
        <v>21890.82</v>
      </c>
      <c r="N23" s="412">
        <f>+M23*G23</f>
        <v>21890.82</v>
      </c>
      <c r="O23" s="413">
        <v>20953.54</v>
      </c>
      <c r="P23" s="413">
        <v>31272.600000000002</v>
      </c>
      <c r="Q23" s="406" t="s">
        <v>1033</v>
      </c>
    </row>
    <row r="24" spans="1:18" s="409" customFormat="1" ht="13" x14ac:dyDescent="0.3">
      <c r="A24" s="410" t="s">
        <v>706</v>
      </c>
      <c r="C24" s="410" t="s">
        <v>1053</v>
      </c>
      <c r="D24" s="410">
        <v>41523701000</v>
      </c>
      <c r="E24" s="410" t="s">
        <v>362</v>
      </c>
      <c r="F24" s="410" t="s">
        <v>191</v>
      </c>
      <c r="G24" s="411">
        <v>25</v>
      </c>
      <c r="H24" s="411">
        <v>25</v>
      </c>
      <c r="I24" s="411">
        <f t="shared" si="0"/>
        <v>0</v>
      </c>
      <c r="J24" s="431" t="s">
        <v>8373</v>
      </c>
      <c r="K24" s="411" t="s">
        <v>41</v>
      </c>
      <c r="L24" s="411" t="s">
        <v>41</v>
      </c>
      <c r="M24" s="412">
        <v>17820.383000000002</v>
      </c>
      <c r="N24" s="412">
        <f>+M24*G24</f>
        <v>445509.57500000007</v>
      </c>
      <c r="O24" s="413">
        <v>17505.27</v>
      </c>
      <c r="P24" s="413">
        <v>25457.690000000002</v>
      </c>
      <c r="Q24" s="406" t="s">
        <v>1033</v>
      </c>
      <c r="R24" s="412">
        <v>9</v>
      </c>
    </row>
    <row r="25" spans="1:18" s="409" customFormat="1" ht="13" x14ac:dyDescent="0.3">
      <c r="A25" s="410" t="s">
        <v>4439</v>
      </c>
      <c r="C25" s="410" t="s">
        <v>1053</v>
      </c>
      <c r="D25" s="410" t="s">
        <v>4438</v>
      </c>
      <c r="E25" s="410" t="s">
        <v>4437</v>
      </c>
      <c r="F25" s="410" t="s">
        <v>191</v>
      </c>
      <c r="G25" s="411">
        <v>4</v>
      </c>
      <c r="H25" s="411">
        <v>4</v>
      </c>
      <c r="I25" s="411">
        <f t="shared" si="0"/>
        <v>0</v>
      </c>
      <c r="J25" s="411"/>
      <c r="K25" s="411" t="s">
        <v>41</v>
      </c>
      <c r="L25" s="411" t="s">
        <v>41</v>
      </c>
      <c r="M25" s="412">
        <v>74895.527000000002</v>
      </c>
      <c r="N25" s="412">
        <f>+M25*G25</f>
        <v>299582.10800000001</v>
      </c>
      <c r="O25" s="413">
        <v>70685.14</v>
      </c>
      <c r="P25" s="413">
        <v>106993.61</v>
      </c>
      <c r="Q25" s="406" t="s">
        <v>1033</v>
      </c>
    </row>
    <row r="26" spans="1:18" s="409" customFormat="1" ht="13" x14ac:dyDescent="0.3">
      <c r="A26" s="410" t="s">
        <v>447</v>
      </c>
      <c r="C26" s="410" t="s">
        <v>1053</v>
      </c>
      <c r="D26" s="410" t="s">
        <v>4448</v>
      </c>
      <c r="E26" s="410" t="s">
        <v>4447</v>
      </c>
      <c r="F26" s="410" t="s">
        <v>191</v>
      </c>
      <c r="G26" s="411">
        <v>1</v>
      </c>
      <c r="H26" s="411">
        <v>1</v>
      </c>
      <c r="I26" s="411">
        <f t="shared" si="0"/>
        <v>0</v>
      </c>
      <c r="J26" s="411"/>
      <c r="K26" s="411" t="s">
        <v>41</v>
      </c>
      <c r="L26" s="411" t="s">
        <v>41</v>
      </c>
      <c r="M26" s="412">
        <v>111168.84800000001</v>
      </c>
      <c r="N26" s="412">
        <f>+M26*G26</f>
        <v>111168.84800000001</v>
      </c>
      <c r="O26" s="413">
        <v>5723.25</v>
      </c>
      <c r="P26" s="413">
        <v>158812.64000000001</v>
      </c>
      <c r="Q26" s="406" t="s">
        <v>1033</v>
      </c>
    </row>
    <row r="27" spans="1:18" s="409" customFormat="1" ht="13" x14ac:dyDescent="0.3">
      <c r="A27" s="410" t="s">
        <v>4446</v>
      </c>
      <c r="C27" s="410" t="s">
        <v>1053</v>
      </c>
      <c r="D27" s="410" t="s">
        <v>4445</v>
      </c>
      <c r="E27" s="410" t="s">
        <v>4437</v>
      </c>
      <c r="F27" s="410" t="s">
        <v>191</v>
      </c>
      <c r="G27" s="411">
        <v>2</v>
      </c>
      <c r="H27" s="411">
        <v>2</v>
      </c>
      <c r="I27" s="411">
        <f t="shared" si="0"/>
        <v>0</v>
      </c>
      <c r="J27" s="411"/>
      <c r="K27" s="411" t="s">
        <v>41</v>
      </c>
      <c r="L27" s="411" t="s">
        <v>41</v>
      </c>
      <c r="M27" s="412">
        <v>124881.96</v>
      </c>
      <c r="N27" s="412">
        <f>+M27*G27</f>
        <v>249763.92</v>
      </c>
      <c r="O27" s="413">
        <v>122623</v>
      </c>
      <c r="P27" s="413">
        <v>178402.80000000002</v>
      </c>
      <c r="Q27" s="406" t="s">
        <v>1033</v>
      </c>
      <c r="R27" s="412">
        <v>1</v>
      </c>
    </row>
    <row r="28" spans="1:18" s="409" customFormat="1" ht="13" x14ac:dyDescent="0.3">
      <c r="A28" s="410" t="s">
        <v>4433</v>
      </c>
      <c r="C28" s="410" t="s">
        <v>1053</v>
      </c>
      <c r="D28" s="410" t="s">
        <v>4432</v>
      </c>
      <c r="E28" s="410" t="s">
        <v>4431</v>
      </c>
      <c r="F28" s="410" t="s">
        <v>191</v>
      </c>
      <c r="G28" s="411">
        <v>1</v>
      </c>
      <c r="H28" s="411">
        <v>1</v>
      </c>
      <c r="I28" s="411">
        <f t="shared" si="0"/>
        <v>0</v>
      </c>
      <c r="J28" s="411"/>
      <c r="K28" s="411" t="s">
        <v>41</v>
      </c>
      <c r="L28" s="411" t="s">
        <v>41</v>
      </c>
      <c r="M28" s="412">
        <v>125922.74099999999</v>
      </c>
      <c r="N28" s="412">
        <f>+M28*G28</f>
        <v>125922.74099999999</v>
      </c>
      <c r="O28" s="413">
        <v>109859.02</v>
      </c>
      <c r="P28" s="413">
        <v>179889.63</v>
      </c>
      <c r="Q28" s="406" t="s">
        <v>1033</v>
      </c>
    </row>
    <row r="29" spans="1:18" s="409" customFormat="1" ht="13" x14ac:dyDescent="0.3">
      <c r="A29" s="410" t="s">
        <v>4444</v>
      </c>
      <c r="C29" s="410" t="s">
        <v>1053</v>
      </c>
      <c r="D29" s="410" t="s">
        <v>4443</v>
      </c>
      <c r="E29" s="410" t="s">
        <v>4442</v>
      </c>
      <c r="F29" s="410" t="s">
        <v>191</v>
      </c>
      <c r="G29" s="411">
        <v>4</v>
      </c>
      <c r="H29" s="411">
        <v>4</v>
      </c>
      <c r="I29" s="411">
        <f t="shared" si="0"/>
        <v>0</v>
      </c>
      <c r="J29" s="411"/>
      <c r="K29" s="411" t="s">
        <v>41</v>
      </c>
      <c r="L29" s="411" t="s">
        <v>41</v>
      </c>
      <c r="M29" s="412">
        <v>171821.258</v>
      </c>
      <c r="N29" s="412">
        <f>+M29*G29</f>
        <v>687285.03200000001</v>
      </c>
      <c r="O29" s="413">
        <v>16630.28</v>
      </c>
      <c r="P29" s="413">
        <v>245458.94</v>
      </c>
      <c r="Q29" s="406" t="s">
        <v>1033</v>
      </c>
    </row>
    <row r="30" spans="1:18" s="409" customFormat="1" ht="13" x14ac:dyDescent="0.3">
      <c r="A30" s="410" t="s">
        <v>7301</v>
      </c>
      <c r="C30" s="410" t="s">
        <v>1053</v>
      </c>
      <c r="D30" s="410" t="s">
        <v>7300</v>
      </c>
      <c r="E30" s="410" t="s">
        <v>456</v>
      </c>
      <c r="F30" s="410" t="s">
        <v>191</v>
      </c>
      <c r="G30" s="411">
        <v>10</v>
      </c>
      <c r="H30" s="411">
        <v>10</v>
      </c>
      <c r="I30" s="411">
        <f t="shared" si="0"/>
        <v>0</v>
      </c>
      <c r="J30" s="411"/>
      <c r="K30" s="411" t="s">
        <v>41</v>
      </c>
      <c r="L30" s="411" t="s">
        <v>41</v>
      </c>
      <c r="M30" s="412">
        <v>138153.274</v>
      </c>
      <c r="N30" s="412">
        <f>+M30*G30</f>
        <v>1381532.74</v>
      </c>
      <c r="O30" s="413">
        <v>133674.4</v>
      </c>
      <c r="P30" s="413">
        <v>197361.82</v>
      </c>
      <c r="Q30" s="406" t="s">
        <v>1033</v>
      </c>
    </row>
    <row r="31" spans="1:18" s="409" customFormat="1" ht="13" x14ac:dyDescent="0.3">
      <c r="A31" s="410" t="s">
        <v>2409</v>
      </c>
      <c r="C31" s="410" t="s">
        <v>1053</v>
      </c>
      <c r="D31" s="410" t="s">
        <v>2408</v>
      </c>
      <c r="E31" s="410" t="s">
        <v>705</v>
      </c>
      <c r="F31" s="410" t="s">
        <v>191</v>
      </c>
      <c r="G31" s="411">
        <v>3</v>
      </c>
      <c r="H31" s="411">
        <v>3</v>
      </c>
      <c r="I31" s="411">
        <f t="shared" si="0"/>
        <v>0</v>
      </c>
      <c r="J31" s="411"/>
      <c r="K31" s="411" t="s">
        <v>41</v>
      </c>
      <c r="L31" s="411" t="s">
        <v>41</v>
      </c>
      <c r="M31" s="412">
        <v>45614.849000000002</v>
      </c>
      <c r="N31" s="412">
        <f>+M31*G31</f>
        <v>136844.54700000002</v>
      </c>
      <c r="O31" s="413">
        <v>42879.22</v>
      </c>
      <c r="P31" s="413">
        <v>65164.07</v>
      </c>
      <c r="Q31" s="406" t="s">
        <v>1033</v>
      </c>
    </row>
    <row r="32" spans="1:18" s="409" customFormat="1" ht="13" x14ac:dyDescent="0.3">
      <c r="A32" s="410" t="s">
        <v>7673</v>
      </c>
      <c r="C32" s="410" t="s">
        <v>1053</v>
      </c>
      <c r="D32" s="410" t="s">
        <v>7672</v>
      </c>
      <c r="E32" s="410" t="s">
        <v>705</v>
      </c>
      <c r="F32" s="410" t="s">
        <v>191</v>
      </c>
      <c r="G32" s="411">
        <v>1</v>
      </c>
      <c r="H32" s="411">
        <v>1</v>
      </c>
      <c r="I32" s="411">
        <f t="shared" si="0"/>
        <v>0</v>
      </c>
      <c r="J32" s="411"/>
      <c r="K32" s="411" t="s">
        <v>41</v>
      </c>
      <c r="L32" s="411" t="s">
        <v>41</v>
      </c>
      <c r="M32" s="412">
        <v>16094.239</v>
      </c>
      <c r="N32" s="412">
        <f>+M32*G32</f>
        <v>16094.239</v>
      </c>
      <c r="P32" s="413">
        <v>22991.77</v>
      </c>
      <c r="Q32" s="406" t="s">
        <v>1033</v>
      </c>
    </row>
    <row r="33" spans="1:17" s="409" customFormat="1" ht="13" x14ac:dyDescent="0.3">
      <c r="A33" s="410" t="s">
        <v>2415</v>
      </c>
      <c r="C33" s="410" t="s">
        <v>1053</v>
      </c>
      <c r="D33" s="410" t="s">
        <v>2414</v>
      </c>
      <c r="E33" s="410" t="s">
        <v>705</v>
      </c>
      <c r="F33" s="410" t="s">
        <v>191</v>
      </c>
      <c r="G33" s="411">
        <v>1</v>
      </c>
      <c r="H33" s="411">
        <v>1</v>
      </c>
      <c r="I33" s="411">
        <f t="shared" si="0"/>
        <v>0</v>
      </c>
      <c r="J33" s="411"/>
      <c r="K33" s="411" t="s">
        <v>41</v>
      </c>
      <c r="L33" s="411" t="s">
        <v>41</v>
      </c>
      <c r="M33" s="412">
        <v>22473.941000000003</v>
      </c>
      <c r="N33" s="412">
        <f>+M33*G33</f>
        <v>22473.941000000003</v>
      </c>
      <c r="O33" s="413">
        <v>20497.77</v>
      </c>
      <c r="P33" s="413">
        <v>32105.63</v>
      </c>
      <c r="Q33" s="406" t="s">
        <v>1033</v>
      </c>
    </row>
    <row r="34" spans="1:17" s="409" customFormat="1" ht="13" x14ac:dyDescent="0.3">
      <c r="A34" s="410" t="s">
        <v>909</v>
      </c>
      <c r="C34" s="410" t="s">
        <v>1053</v>
      </c>
      <c r="D34" s="410" t="s">
        <v>357</v>
      </c>
      <c r="E34" s="410" t="s">
        <v>358</v>
      </c>
      <c r="F34" s="410" t="s">
        <v>191</v>
      </c>
      <c r="G34" s="411">
        <v>2</v>
      </c>
      <c r="H34" s="411">
        <v>2</v>
      </c>
      <c r="I34" s="411">
        <f t="shared" si="0"/>
        <v>0</v>
      </c>
      <c r="J34" s="411"/>
      <c r="K34" s="411" t="s">
        <v>41</v>
      </c>
      <c r="L34" s="411" t="s">
        <v>41</v>
      </c>
      <c r="M34" s="412">
        <v>18994.261999999999</v>
      </c>
      <c r="N34" s="412">
        <f>+M34*G34</f>
        <v>37988.523999999998</v>
      </c>
      <c r="O34" s="413">
        <v>13633.09</v>
      </c>
      <c r="P34" s="413">
        <v>27134.66</v>
      </c>
      <c r="Q34" s="406" t="s">
        <v>1033</v>
      </c>
    </row>
    <row r="35" spans="1:17" s="409" customFormat="1" ht="13" x14ac:dyDescent="0.3">
      <c r="A35" s="410" t="s">
        <v>6679</v>
      </c>
      <c r="C35" s="410" t="s">
        <v>1053</v>
      </c>
      <c r="D35" s="410" t="s">
        <v>539</v>
      </c>
      <c r="E35" s="410" t="s">
        <v>537</v>
      </c>
      <c r="F35" s="410" t="s">
        <v>191</v>
      </c>
      <c r="G35" s="411">
        <v>6</v>
      </c>
      <c r="H35" s="411">
        <v>6</v>
      </c>
      <c r="I35" s="411">
        <f t="shared" si="0"/>
        <v>0</v>
      </c>
      <c r="J35" s="411" t="s">
        <v>8362</v>
      </c>
      <c r="K35" s="411" t="s">
        <v>41</v>
      </c>
      <c r="L35" s="411" t="s">
        <v>40</v>
      </c>
      <c r="M35" s="412">
        <v>177088.359</v>
      </c>
      <c r="N35" s="412">
        <f>+M35*G35</f>
        <v>1062530.1540000001</v>
      </c>
      <c r="O35" s="413">
        <v>173927.09</v>
      </c>
      <c r="P35" s="413">
        <v>252983.37</v>
      </c>
      <c r="Q35" s="406" t="s">
        <v>1033</v>
      </c>
    </row>
    <row r="36" spans="1:17" s="409" customFormat="1" ht="13" x14ac:dyDescent="0.3">
      <c r="A36" s="410" t="s">
        <v>855</v>
      </c>
      <c r="C36" s="410" t="s">
        <v>1053</v>
      </c>
      <c r="D36" s="410" t="s">
        <v>529</v>
      </c>
      <c r="E36" s="410" t="s">
        <v>525</v>
      </c>
      <c r="F36" s="410" t="s">
        <v>191</v>
      </c>
      <c r="G36" s="411">
        <v>2</v>
      </c>
      <c r="H36" s="411">
        <v>2</v>
      </c>
      <c r="I36" s="411">
        <f t="shared" si="0"/>
        <v>0</v>
      </c>
      <c r="J36" s="411" t="s">
        <v>8362</v>
      </c>
      <c r="K36" s="411" t="s">
        <v>41</v>
      </c>
      <c r="L36" s="411" t="s">
        <v>40</v>
      </c>
      <c r="M36" s="412">
        <v>158682.41899999999</v>
      </c>
      <c r="N36" s="412">
        <f>+M36*G36</f>
        <v>317364.83799999999</v>
      </c>
      <c r="O36" s="413">
        <v>155846.6</v>
      </c>
      <c r="P36" s="413">
        <v>226689.17</v>
      </c>
      <c r="Q36" s="406" t="s">
        <v>1033</v>
      </c>
    </row>
    <row r="37" spans="1:17" s="409" customFormat="1" ht="13" x14ac:dyDescent="0.3">
      <c r="A37" s="410" t="s">
        <v>8166</v>
      </c>
      <c r="C37" s="410" t="s">
        <v>1053</v>
      </c>
      <c r="D37" s="410" t="s">
        <v>8165</v>
      </c>
      <c r="E37" s="410" t="s">
        <v>8164</v>
      </c>
      <c r="F37" s="410" t="s">
        <v>191</v>
      </c>
      <c r="G37" s="411">
        <v>2</v>
      </c>
      <c r="H37" s="411">
        <v>2</v>
      </c>
      <c r="I37" s="411">
        <f t="shared" si="0"/>
        <v>0</v>
      </c>
      <c r="J37" s="411"/>
      <c r="K37" s="411" t="s">
        <v>41</v>
      </c>
      <c r="L37" s="411" t="s">
        <v>41</v>
      </c>
      <c r="M37" s="412">
        <v>218024.02300000002</v>
      </c>
      <c r="N37" s="412">
        <f>+M37*G37</f>
        <v>436048.04600000003</v>
      </c>
      <c r="O37" s="413">
        <v>167133.91</v>
      </c>
      <c r="P37" s="413">
        <v>311462.89</v>
      </c>
      <c r="Q37" s="406" t="s">
        <v>1033</v>
      </c>
    </row>
    <row r="38" spans="1:17" s="409" customFormat="1" ht="13" x14ac:dyDescent="0.3">
      <c r="A38" s="410" t="s">
        <v>8136</v>
      </c>
      <c r="C38" s="410" t="s">
        <v>1053</v>
      </c>
      <c r="D38" s="410" t="s">
        <v>8135</v>
      </c>
      <c r="E38" s="410" t="s">
        <v>1175</v>
      </c>
      <c r="F38" s="410" t="s">
        <v>191</v>
      </c>
      <c r="G38" s="411">
        <v>1</v>
      </c>
      <c r="H38" s="411">
        <v>1</v>
      </c>
      <c r="I38" s="411">
        <f t="shared" si="0"/>
        <v>0</v>
      </c>
      <c r="J38" s="411"/>
      <c r="K38" s="411" t="s">
        <v>41</v>
      </c>
      <c r="L38" s="411" t="s">
        <v>41</v>
      </c>
      <c r="M38" s="412">
        <v>10466.953000000001</v>
      </c>
      <c r="N38" s="412">
        <f>+M38*G38</f>
        <v>10466.953000000001</v>
      </c>
      <c r="O38" s="413">
        <v>326.77999999999997</v>
      </c>
      <c r="P38" s="413">
        <v>14952.79</v>
      </c>
      <c r="Q38" s="406" t="s">
        <v>1033</v>
      </c>
    </row>
    <row r="39" spans="1:17" s="409" customFormat="1" ht="13" x14ac:dyDescent="0.3">
      <c r="A39" s="410" t="s">
        <v>8126</v>
      </c>
      <c r="C39" s="410" t="s">
        <v>1053</v>
      </c>
      <c r="D39" s="410" t="s">
        <v>8125</v>
      </c>
      <c r="E39" s="410" t="s">
        <v>1175</v>
      </c>
      <c r="F39" s="410" t="s">
        <v>191</v>
      </c>
      <c r="G39" s="411">
        <v>5</v>
      </c>
      <c r="H39" s="411">
        <v>5</v>
      </c>
      <c r="I39" s="411">
        <f t="shared" si="0"/>
        <v>0</v>
      </c>
      <c r="J39" s="411"/>
      <c r="K39" s="411" t="s">
        <v>41</v>
      </c>
      <c r="L39" s="411" t="s">
        <v>41</v>
      </c>
      <c r="M39" s="412">
        <v>103307.63800000001</v>
      </c>
      <c r="N39" s="412">
        <f>+M39*G39</f>
        <v>516538.19000000006</v>
      </c>
      <c r="O39" s="413">
        <v>3587.58</v>
      </c>
      <c r="P39" s="413">
        <v>147582.34</v>
      </c>
      <c r="Q39" s="406" t="s">
        <v>1033</v>
      </c>
    </row>
    <row r="40" spans="1:17" s="409" customFormat="1" ht="13" x14ac:dyDescent="0.3">
      <c r="A40" s="410" t="s">
        <v>8140</v>
      </c>
      <c r="C40" s="410" t="s">
        <v>1053</v>
      </c>
      <c r="D40" s="410" t="s">
        <v>8139</v>
      </c>
      <c r="E40" s="410" t="s">
        <v>1175</v>
      </c>
      <c r="F40" s="410" t="s">
        <v>191</v>
      </c>
      <c r="G40" s="411">
        <v>1</v>
      </c>
      <c r="H40" s="411">
        <v>1</v>
      </c>
      <c r="I40" s="411">
        <f t="shared" si="0"/>
        <v>0</v>
      </c>
      <c r="J40" s="411"/>
      <c r="K40" s="411" t="s">
        <v>41</v>
      </c>
      <c r="L40" s="411" t="s">
        <v>41</v>
      </c>
      <c r="M40" s="412">
        <v>122621.674</v>
      </c>
      <c r="N40" s="412">
        <f>+M40*G40</f>
        <v>122621.674</v>
      </c>
      <c r="O40" s="413">
        <v>5327.79</v>
      </c>
      <c r="P40" s="413">
        <v>175173.82</v>
      </c>
      <c r="Q40" s="406" t="s">
        <v>1033</v>
      </c>
    </row>
    <row r="41" spans="1:17" s="409" customFormat="1" ht="13" x14ac:dyDescent="0.3">
      <c r="A41" s="410" t="s">
        <v>8118</v>
      </c>
      <c r="C41" s="410" t="s">
        <v>1053</v>
      </c>
      <c r="D41" s="410" t="s">
        <v>8117</v>
      </c>
      <c r="E41" s="410" t="s">
        <v>1175</v>
      </c>
      <c r="F41" s="410" t="s">
        <v>191</v>
      </c>
      <c r="G41" s="411">
        <v>2</v>
      </c>
      <c r="H41" s="411">
        <v>2</v>
      </c>
      <c r="I41" s="411">
        <f t="shared" si="0"/>
        <v>0</v>
      </c>
      <c r="J41" s="411"/>
      <c r="K41" s="411" t="s">
        <v>41</v>
      </c>
      <c r="L41" s="411" t="s">
        <v>41</v>
      </c>
      <c r="M41" s="412">
        <v>147086.114</v>
      </c>
      <c r="N41" s="412">
        <f>+M41*G41</f>
        <v>294172.228</v>
      </c>
      <c r="O41" s="413">
        <v>5664.51</v>
      </c>
      <c r="P41" s="413">
        <v>210123.02000000002</v>
      </c>
      <c r="Q41" s="406" t="s">
        <v>1033</v>
      </c>
    </row>
    <row r="42" spans="1:17" s="409" customFormat="1" ht="13" x14ac:dyDescent="0.3">
      <c r="A42" s="410" t="s">
        <v>8122</v>
      </c>
      <c r="C42" s="410" t="s">
        <v>1053</v>
      </c>
      <c r="D42" s="410" t="s">
        <v>8121</v>
      </c>
      <c r="E42" s="410" t="s">
        <v>1175</v>
      </c>
      <c r="F42" s="410" t="s">
        <v>191</v>
      </c>
      <c r="G42" s="411">
        <v>1</v>
      </c>
      <c r="H42" s="411">
        <v>1</v>
      </c>
      <c r="I42" s="411">
        <f t="shared" si="0"/>
        <v>0</v>
      </c>
      <c r="J42" s="411"/>
      <c r="K42" s="411" t="s">
        <v>41</v>
      </c>
      <c r="L42" s="411" t="s">
        <v>41</v>
      </c>
      <c r="M42" s="412">
        <v>77848.217999999993</v>
      </c>
      <c r="N42" s="412">
        <f>+M42*G42</f>
        <v>77848.217999999993</v>
      </c>
      <c r="O42" s="413">
        <v>871.88</v>
      </c>
      <c r="P42" s="413">
        <v>111211.74</v>
      </c>
      <c r="Q42" s="406" t="s">
        <v>1033</v>
      </c>
    </row>
    <row r="43" spans="1:17" s="409" customFormat="1" ht="13" x14ac:dyDescent="0.3">
      <c r="A43" s="410" t="s">
        <v>8186</v>
      </c>
      <c r="C43" s="410" t="s">
        <v>1053</v>
      </c>
      <c r="D43" s="410" t="s">
        <v>386</v>
      </c>
      <c r="E43" s="410" t="s">
        <v>387</v>
      </c>
      <c r="F43" s="410" t="s">
        <v>191</v>
      </c>
      <c r="G43" s="411">
        <v>4</v>
      </c>
      <c r="H43" s="411">
        <v>4</v>
      </c>
      <c r="I43" s="411">
        <f t="shared" si="0"/>
        <v>0</v>
      </c>
      <c r="J43" s="411"/>
      <c r="K43" s="411" t="s">
        <v>41</v>
      </c>
      <c r="L43" s="411" t="s">
        <v>41</v>
      </c>
      <c r="M43" s="412">
        <v>177100.364</v>
      </c>
      <c r="N43" s="412">
        <f>+M43*G43</f>
        <v>708401.45600000001</v>
      </c>
      <c r="O43" s="413">
        <v>171372.85</v>
      </c>
      <c r="P43" s="413">
        <v>253000.52000000002</v>
      </c>
      <c r="Q43" s="406" t="s">
        <v>1033</v>
      </c>
    </row>
    <row r="44" spans="1:17" s="409" customFormat="1" ht="13" x14ac:dyDescent="0.3">
      <c r="A44" s="410" t="s">
        <v>8120</v>
      </c>
      <c r="C44" s="410" t="s">
        <v>1053</v>
      </c>
      <c r="D44" s="410" t="s">
        <v>8119</v>
      </c>
      <c r="E44" s="410" t="s">
        <v>1175</v>
      </c>
      <c r="F44" s="410" t="s">
        <v>191</v>
      </c>
      <c r="G44" s="411">
        <v>1</v>
      </c>
      <c r="H44" s="411">
        <v>1</v>
      </c>
      <c r="I44" s="411">
        <f t="shared" si="0"/>
        <v>0</v>
      </c>
      <c r="J44" s="411"/>
      <c r="K44" s="411" t="s">
        <v>41</v>
      </c>
      <c r="L44" s="411" t="s">
        <v>41</v>
      </c>
      <c r="M44" s="412">
        <v>105763.06300000001</v>
      </c>
      <c r="N44" s="412">
        <f>+M44*G44</f>
        <v>105763.06300000001</v>
      </c>
      <c r="O44" s="413">
        <v>9233.67</v>
      </c>
      <c r="P44" s="413">
        <v>151090.09</v>
      </c>
      <c r="Q44" s="406" t="s">
        <v>1033</v>
      </c>
    </row>
    <row r="45" spans="1:17" s="409" customFormat="1" ht="13" x14ac:dyDescent="0.3">
      <c r="A45" s="410" t="s">
        <v>8195</v>
      </c>
      <c r="C45" s="410" t="s">
        <v>1053</v>
      </c>
      <c r="D45" s="410" t="s">
        <v>8194</v>
      </c>
      <c r="E45" s="410" t="s">
        <v>8145</v>
      </c>
      <c r="F45" s="410" t="s">
        <v>191</v>
      </c>
      <c r="G45" s="411">
        <v>1</v>
      </c>
      <c r="H45" s="411">
        <v>1</v>
      </c>
      <c r="I45" s="411">
        <f t="shared" si="0"/>
        <v>0</v>
      </c>
      <c r="J45" s="411"/>
      <c r="K45" s="411" t="s">
        <v>41</v>
      </c>
      <c r="L45" s="411" t="s">
        <v>41</v>
      </c>
      <c r="M45" s="412">
        <v>189307.49600000001</v>
      </c>
      <c r="N45" s="412">
        <f>+M45*G45</f>
        <v>189307.49600000001</v>
      </c>
      <c r="O45" s="413">
        <v>45965.68</v>
      </c>
      <c r="P45" s="413">
        <v>270439.28000000003</v>
      </c>
      <c r="Q45" s="406" t="s">
        <v>1033</v>
      </c>
    </row>
    <row r="46" spans="1:17" s="409" customFormat="1" ht="13" x14ac:dyDescent="0.3">
      <c r="A46" s="410" t="s">
        <v>8131</v>
      </c>
      <c r="C46" s="410" t="s">
        <v>1053</v>
      </c>
      <c r="D46" s="410" t="s">
        <v>8130</v>
      </c>
      <c r="E46" s="410" t="s">
        <v>8129</v>
      </c>
      <c r="F46" s="410" t="s">
        <v>191</v>
      </c>
      <c r="G46" s="411">
        <v>2</v>
      </c>
      <c r="H46" s="411">
        <v>2</v>
      </c>
      <c r="I46" s="411">
        <f t="shared" si="0"/>
        <v>0</v>
      </c>
      <c r="J46" s="411"/>
      <c r="K46" s="411" t="s">
        <v>41</v>
      </c>
      <c r="L46" s="411" t="s">
        <v>41</v>
      </c>
      <c r="M46" s="412">
        <v>108907.211</v>
      </c>
      <c r="N46" s="412">
        <f>+M46*G46</f>
        <v>217814.42199999999</v>
      </c>
      <c r="O46" s="413">
        <v>991.14</v>
      </c>
      <c r="P46" s="413">
        <v>155581.73000000001</v>
      </c>
      <c r="Q46" s="406" t="s">
        <v>1033</v>
      </c>
    </row>
    <row r="47" spans="1:17" s="409" customFormat="1" ht="13" x14ac:dyDescent="0.3">
      <c r="A47" s="410" t="s">
        <v>8182</v>
      </c>
      <c r="C47" s="410" t="s">
        <v>1053</v>
      </c>
      <c r="D47" s="410" t="s">
        <v>8181</v>
      </c>
      <c r="E47" s="410" t="s">
        <v>1175</v>
      </c>
      <c r="F47" s="410" t="s">
        <v>191</v>
      </c>
      <c r="G47" s="411">
        <v>9</v>
      </c>
      <c r="H47" s="411">
        <v>9</v>
      </c>
      <c r="I47" s="411">
        <f t="shared" si="0"/>
        <v>0</v>
      </c>
      <c r="J47" s="411"/>
      <c r="K47" s="411" t="s">
        <v>41</v>
      </c>
      <c r="L47" s="411" t="s">
        <v>41</v>
      </c>
      <c r="M47" s="412">
        <v>226473.03</v>
      </c>
      <c r="N47" s="412">
        <f>+M47*G47</f>
        <v>2038257.27</v>
      </c>
      <c r="O47" s="413">
        <v>222437.63</v>
      </c>
      <c r="P47" s="413">
        <v>323532.90000000002</v>
      </c>
      <c r="Q47" s="406" t="s">
        <v>1033</v>
      </c>
    </row>
    <row r="48" spans="1:17" s="409" customFormat="1" ht="13" x14ac:dyDescent="0.3">
      <c r="A48" s="410" t="s">
        <v>8161</v>
      </c>
      <c r="C48" s="410" t="s">
        <v>1053</v>
      </c>
      <c r="D48" s="410" t="s">
        <v>8160</v>
      </c>
      <c r="E48" s="410" t="s">
        <v>1175</v>
      </c>
      <c r="F48" s="410" t="s">
        <v>191</v>
      </c>
      <c r="G48" s="411">
        <v>1</v>
      </c>
      <c r="H48" s="411">
        <v>1</v>
      </c>
      <c r="I48" s="411">
        <f t="shared" si="0"/>
        <v>0</v>
      </c>
      <c r="J48" s="411"/>
      <c r="K48" s="411" t="s">
        <v>41</v>
      </c>
      <c r="L48" s="411" t="s">
        <v>41</v>
      </c>
      <c r="M48" s="412">
        <v>157349.43</v>
      </c>
      <c r="N48" s="412">
        <f>+M48*G48</f>
        <v>157349.43</v>
      </c>
      <c r="O48" s="413">
        <v>130090.59</v>
      </c>
      <c r="P48" s="413">
        <v>224784.9</v>
      </c>
      <c r="Q48" s="406" t="s">
        <v>1033</v>
      </c>
    </row>
    <row r="49" spans="1:18" s="409" customFormat="1" ht="13" x14ac:dyDescent="0.3">
      <c r="A49" s="410" t="s">
        <v>892</v>
      </c>
      <c r="C49" s="410" t="s">
        <v>1053</v>
      </c>
      <c r="D49" s="410" t="s">
        <v>400</v>
      </c>
      <c r="E49" s="410" t="s">
        <v>401</v>
      </c>
      <c r="F49" s="410" t="s">
        <v>191</v>
      </c>
      <c r="G49" s="411">
        <v>15</v>
      </c>
      <c r="H49" s="411">
        <v>15</v>
      </c>
      <c r="I49" s="411">
        <f t="shared" si="0"/>
        <v>0</v>
      </c>
      <c r="J49" s="411"/>
      <c r="K49" s="411" t="s">
        <v>41</v>
      </c>
      <c r="L49" s="411" t="s">
        <v>41</v>
      </c>
      <c r="M49" s="412">
        <v>313115.65600000002</v>
      </c>
      <c r="N49" s="412">
        <f>+M49*G49</f>
        <v>4696734.84</v>
      </c>
      <c r="O49" s="413">
        <v>309823.56</v>
      </c>
      <c r="P49" s="413">
        <v>447308.08</v>
      </c>
      <c r="Q49" s="406" t="s">
        <v>1033</v>
      </c>
      <c r="R49" s="412">
        <v>7</v>
      </c>
    </row>
    <row r="50" spans="1:18" s="409" customFormat="1" ht="13" x14ac:dyDescent="0.3">
      <c r="A50" s="410" t="s">
        <v>6243</v>
      </c>
      <c r="C50" s="410" t="s">
        <v>1053</v>
      </c>
      <c r="D50" s="410" t="s">
        <v>6242</v>
      </c>
      <c r="E50" s="410" t="s">
        <v>566</v>
      </c>
      <c r="F50" s="410" t="s">
        <v>191</v>
      </c>
      <c r="G50" s="411">
        <v>14</v>
      </c>
      <c r="H50" s="411">
        <v>14</v>
      </c>
      <c r="I50" s="411">
        <f t="shared" si="0"/>
        <v>0</v>
      </c>
      <c r="J50" s="411"/>
      <c r="K50" s="411" t="s">
        <v>41</v>
      </c>
      <c r="L50" s="411" t="s">
        <v>41</v>
      </c>
      <c r="M50" s="412">
        <v>84663.40400000001</v>
      </c>
      <c r="N50" s="412">
        <f>+M50*G50</f>
        <v>1185287.6560000002</v>
      </c>
      <c r="O50" s="413">
        <v>83192.72</v>
      </c>
      <c r="P50" s="413">
        <v>120947.72</v>
      </c>
      <c r="Q50" s="406" t="s">
        <v>1033</v>
      </c>
    </row>
    <row r="51" spans="1:18" s="409" customFormat="1" ht="13" x14ac:dyDescent="0.3">
      <c r="A51" s="410" t="s">
        <v>6229</v>
      </c>
      <c r="C51" s="410" t="s">
        <v>1053</v>
      </c>
      <c r="D51" s="410" t="s">
        <v>6228</v>
      </c>
      <c r="E51" s="410" t="s">
        <v>567</v>
      </c>
      <c r="F51" s="410" t="s">
        <v>191</v>
      </c>
      <c r="G51" s="411">
        <v>12</v>
      </c>
      <c r="H51" s="411">
        <v>12</v>
      </c>
      <c r="I51" s="411">
        <f t="shared" si="0"/>
        <v>0</v>
      </c>
      <c r="J51" s="411"/>
      <c r="K51" s="411" t="s">
        <v>41</v>
      </c>
      <c r="L51" s="411" t="s">
        <v>41</v>
      </c>
      <c r="M51" s="412">
        <v>83279.035000000003</v>
      </c>
      <c r="N51" s="412">
        <f>+M51*G51</f>
        <v>999348.42</v>
      </c>
      <c r="O51" s="413">
        <v>80627.44</v>
      </c>
      <c r="P51" s="413">
        <v>118970.05</v>
      </c>
      <c r="Q51" s="406" t="s">
        <v>1033</v>
      </c>
      <c r="R51" s="412">
        <v>1</v>
      </c>
    </row>
    <row r="52" spans="1:18" s="409" customFormat="1" ht="13" x14ac:dyDescent="0.3">
      <c r="A52" s="410" t="s">
        <v>6268</v>
      </c>
      <c r="C52" s="410" t="s">
        <v>1053</v>
      </c>
      <c r="D52" s="410" t="s">
        <v>6267</v>
      </c>
      <c r="E52" s="410" t="s">
        <v>6194</v>
      </c>
      <c r="F52" s="410" t="s">
        <v>191</v>
      </c>
      <c r="G52" s="411">
        <v>1</v>
      </c>
      <c r="H52" s="411">
        <v>1</v>
      </c>
      <c r="I52" s="411">
        <f t="shared" si="0"/>
        <v>0</v>
      </c>
      <c r="J52" s="411"/>
      <c r="K52" s="411" t="s">
        <v>41</v>
      </c>
      <c r="L52" s="411" t="s">
        <v>41</v>
      </c>
      <c r="M52" s="412">
        <v>184670.87100000001</v>
      </c>
      <c r="N52" s="412">
        <f>+M52*G52</f>
        <v>184670.87100000001</v>
      </c>
      <c r="O52" s="413">
        <v>7686.63</v>
      </c>
      <c r="P52" s="413">
        <v>263815.53000000003</v>
      </c>
      <c r="Q52" s="406" t="s">
        <v>1033</v>
      </c>
    </row>
    <row r="53" spans="1:18" s="409" customFormat="1" ht="13" x14ac:dyDescent="0.3">
      <c r="A53" s="410" t="s">
        <v>6212</v>
      </c>
      <c r="C53" s="410" t="s">
        <v>1053</v>
      </c>
      <c r="D53" s="410" t="s">
        <v>6211</v>
      </c>
      <c r="E53" s="410" t="s">
        <v>570</v>
      </c>
      <c r="F53" s="410" t="s">
        <v>191</v>
      </c>
      <c r="G53" s="411">
        <v>15</v>
      </c>
      <c r="H53" s="411">
        <v>15</v>
      </c>
      <c r="I53" s="411">
        <f t="shared" si="0"/>
        <v>0</v>
      </c>
      <c r="J53" s="411"/>
      <c r="K53" s="411" t="s">
        <v>41</v>
      </c>
      <c r="L53" s="411" t="s">
        <v>41</v>
      </c>
      <c r="M53" s="412">
        <v>79030.104999999996</v>
      </c>
      <c r="N53" s="412">
        <f>+M53*G53</f>
        <v>1185451.575</v>
      </c>
      <c r="O53" s="413">
        <v>77661.509999999995</v>
      </c>
      <c r="P53" s="413">
        <v>112900.15000000001</v>
      </c>
      <c r="Q53" s="406" t="s">
        <v>1033</v>
      </c>
    </row>
    <row r="54" spans="1:18" s="409" customFormat="1" ht="13" x14ac:dyDescent="0.3">
      <c r="A54" s="410" t="s">
        <v>2772</v>
      </c>
      <c r="C54" s="410" t="s">
        <v>1053</v>
      </c>
      <c r="D54" s="410" t="s">
        <v>695</v>
      </c>
      <c r="E54" s="410" t="s">
        <v>677</v>
      </c>
      <c r="F54" s="410" t="s">
        <v>191</v>
      </c>
      <c r="G54" s="411">
        <v>6</v>
      </c>
      <c r="H54" s="411">
        <v>6</v>
      </c>
      <c r="I54" s="411">
        <f t="shared" si="0"/>
        <v>0</v>
      </c>
      <c r="J54" s="411"/>
      <c r="K54" s="411" t="s">
        <v>41</v>
      </c>
      <c r="L54" s="411" t="s">
        <v>41</v>
      </c>
      <c r="M54" s="412">
        <v>112529.2</v>
      </c>
      <c r="N54" s="412">
        <f>+M54*G54</f>
        <v>675175.2</v>
      </c>
      <c r="O54" s="413">
        <v>107767.52</v>
      </c>
      <c r="P54" s="413">
        <v>160756</v>
      </c>
      <c r="Q54" s="406" t="s">
        <v>1033</v>
      </c>
      <c r="R54" s="412">
        <v>4</v>
      </c>
    </row>
    <row r="55" spans="1:18" s="409" customFormat="1" ht="13" x14ac:dyDescent="0.3">
      <c r="A55" s="410" t="s">
        <v>7164</v>
      </c>
      <c r="C55" s="410" t="s">
        <v>1053</v>
      </c>
      <c r="D55" s="410" t="s">
        <v>7163</v>
      </c>
      <c r="E55" s="410" t="s">
        <v>7162</v>
      </c>
      <c r="F55" s="410" t="s">
        <v>191</v>
      </c>
      <c r="G55" s="411">
        <v>1</v>
      </c>
      <c r="H55" s="411">
        <v>1</v>
      </c>
      <c r="I55" s="411">
        <f t="shared" si="0"/>
        <v>0</v>
      </c>
      <c r="J55" s="411"/>
      <c r="K55" s="411" t="s">
        <v>41</v>
      </c>
      <c r="L55" s="411" t="s">
        <v>41</v>
      </c>
      <c r="M55" s="412">
        <v>1300706.638</v>
      </c>
      <c r="N55" s="412">
        <f>+M55*G55</f>
        <v>1300706.638</v>
      </c>
      <c r="O55" s="413">
        <v>1274563.92</v>
      </c>
      <c r="P55" s="413">
        <v>1858152.34</v>
      </c>
      <c r="Q55" s="406" t="s">
        <v>1033</v>
      </c>
    </row>
    <row r="56" spans="1:18" s="409" customFormat="1" ht="13" x14ac:dyDescent="0.3">
      <c r="A56" s="410" t="s">
        <v>3806</v>
      </c>
      <c r="C56" s="410" t="s">
        <v>1053</v>
      </c>
      <c r="D56" s="410" t="s">
        <v>3805</v>
      </c>
      <c r="E56" s="410" t="s">
        <v>3804</v>
      </c>
      <c r="F56" s="410" t="s">
        <v>191</v>
      </c>
      <c r="G56" s="411">
        <v>1</v>
      </c>
      <c r="H56" s="411">
        <v>1</v>
      </c>
      <c r="I56" s="411">
        <f t="shared" si="0"/>
        <v>0</v>
      </c>
      <c r="J56" s="411"/>
      <c r="K56" s="411" t="s">
        <v>41</v>
      </c>
      <c r="L56" s="411" t="s">
        <v>41</v>
      </c>
      <c r="M56" s="412">
        <v>472728.17200000002</v>
      </c>
      <c r="N56" s="412">
        <f>+M56*G56</f>
        <v>472728.17200000002</v>
      </c>
      <c r="O56" s="413">
        <v>134.74</v>
      </c>
      <c r="P56" s="413">
        <v>675325.96</v>
      </c>
      <c r="Q56" s="406" t="s">
        <v>1033</v>
      </c>
    </row>
    <row r="57" spans="1:18" s="409" customFormat="1" ht="13" x14ac:dyDescent="0.3">
      <c r="A57" s="410" t="s">
        <v>7528</v>
      </c>
      <c r="C57" s="410" t="s">
        <v>1053</v>
      </c>
      <c r="D57" s="410" t="s">
        <v>7527</v>
      </c>
      <c r="E57" s="410" t="s">
        <v>7524</v>
      </c>
      <c r="F57" s="410" t="s">
        <v>191</v>
      </c>
      <c r="G57" s="411">
        <v>13</v>
      </c>
      <c r="H57" s="411">
        <v>13</v>
      </c>
      <c r="I57" s="411">
        <f t="shared" si="0"/>
        <v>0</v>
      </c>
      <c r="J57" s="411"/>
      <c r="K57" s="411" t="s">
        <v>41</v>
      </c>
      <c r="L57" s="411" t="s">
        <v>41</v>
      </c>
      <c r="M57" s="412">
        <v>214082.42100000003</v>
      </c>
      <c r="N57" s="412">
        <f>+M57*G57</f>
        <v>2783071.4730000002</v>
      </c>
      <c r="O57" s="413">
        <v>9971.4699999999993</v>
      </c>
      <c r="P57" s="413">
        <v>305832.03000000003</v>
      </c>
      <c r="Q57" s="406" t="s">
        <v>1033</v>
      </c>
    </row>
    <row r="61" spans="1:18" x14ac:dyDescent="0.35">
      <c r="D61" s="246"/>
      <c r="E61" s="255" t="s">
        <v>298</v>
      </c>
      <c r="F61" s="255" t="s">
        <v>236</v>
      </c>
      <c r="G61" s="255" t="s">
        <v>235</v>
      </c>
    </row>
    <row r="62" spans="1:18" x14ac:dyDescent="0.35">
      <c r="D62" s="246" t="s">
        <v>234</v>
      </c>
      <c r="E62" s="258">
        <f>+SUM(G7:G57)</f>
        <v>213</v>
      </c>
      <c r="F62" s="259">
        <f>+SUM(N7:N57)</f>
        <v>24978979.948999997</v>
      </c>
      <c r="G62" s="256">
        <v>1</v>
      </c>
    </row>
    <row r="63" spans="1:18" x14ac:dyDescent="0.35">
      <c r="D63" s="246" t="s">
        <v>243</v>
      </c>
      <c r="E63" s="258">
        <f>+SUMIF(I7:I57,"&lt;0")</f>
        <v>0</v>
      </c>
      <c r="F63" s="258">
        <f>+I24*M24</f>
        <v>0</v>
      </c>
      <c r="G63" s="424">
        <f>+F63*G$62/F$62</f>
        <v>0</v>
      </c>
    </row>
    <row r="64" spans="1:18" x14ac:dyDescent="0.35">
      <c r="D64" s="246" t="s">
        <v>244</v>
      </c>
      <c r="E64" s="246">
        <f>+SUMIF(I7:I57,"&gt;0")</f>
        <v>0</v>
      </c>
      <c r="F64" s="258">
        <v>0</v>
      </c>
      <c r="G64" s="424">
        <f>+F64*G$62/F$62</f>
        <v>0</v>
      </c>
    </row>
    <row r="65" spans="4:7" x14ac:dyDescent="0.35">
      <c r="D65" s="246" t="s">
        <v>1031</v>
      </c>
      <c r="E65" s="258">
        <f>+E64+E63</f>
        <v>0</v>
      </c>
      <c r="F65" s="258">
        <f>+F63</f>
        <v>0</v>
      </c>
      <c r="G65" s="424">
        <f>+F65*G$62/F$62</f>
        <v>0</v>
      </c>
    </row>
    <row r="66" spans="4:7" x14ac:dyDescent="0.35">
      <c r="D66" s="246" t="s">
        <v>1032</v>
      </c>
      <c r="E66" s="258">
        <f>+E64-E63</f>
        <v>0</v>
      </c>
      <c r="F66" s="258">
        <f>+F65</f>
        <v>0</v>
      </c>
      <c r="G66" s="424">
        <f>+F66*G$62/F$62</f>
        <v>0</v>
      </c>
    </row>
  </sheetData>
  <autoFilter ref="A6:R57" xr:uid="{D807D159-0A37-4584-83E8-DEE43FC15D4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41CE-E474-4B46-B9FC-619221FCF31B}">
  <sheetPr>
    <tabColor rgb="FFFF0000"/>
  </sheetPr>
  <dimension ref="A1:M41"/>
  <sheetViews>
    <sheetView topLeftCell="B8" workbookViewId="0">
      <selection activeCell="C11" sqref="C11"/>
    </sheetView>
  </sheetViews>
  <sheetFormatPr baseColWidth="10" defaultRowHeight="13" x14ac:dyDescent="0.3"/>
  <cols>
    <col min="1" max="3" width="10.6328125" style="246" customWidth="1"/>
    <col min="4" max="4" width="10.6328125" style="255" customWidth="1"/>
    <col min="5" max="5" width="11.7265625" style="246" bestFit="1" customWidth="1"/>
    <col min="6" max="6" width="10.6328125" style="246" customWidth="1"/>
    <col min="7" max="7" width="31.7265625" style="246" customWidth="1"/>
    <col min="8" max="9" width="10.6328125" style="255" customWidth="1"/>
    <col min="10" max="10" width="20.453125" style="246" customWidth="1"/>
    <col min="11" max="11" width="11.7265625" style="246" bestFit="1" customWidth="1"/>
    <col min="12" max="12" width="10.6328125" style="246" customWidth="1"/>
    <col min="13" max="13" width="11.6328125" style="246" bestFit="1" customWidth="1"/>
    <col min="14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3" ht="13.5" x14ac:dyDescent="0.3">
      <c r="A1" s="378" t="s">
        <v>190</v>
      </c>
    </row>
    <row r="2" spans="1:13" x14ac:dyDescent="0.3">
      <c r="A2" s="363" t="s">
        <v>307</v>
      </c>
    </row>
    <row r="4" spans="1:13" ht="16" x14ac:dyDescent="0.3">
      <c r="F4" s="362" t="s">
        <v>1015</v>
      </c>
    </row>
    <row r="6" spans="1:13" x14ac:dyDescent="0.3">
      <c r="A6" s="373" t="s">
        <v>1012</v>
      </c>
      <c r="F6" s="361" t="s">
        <v>1014</v>
      </c>
    </row>
    <row r="7" spans="1:13" x14ac:dyDescent="0.3">
      <c r="A7" s="250" t="s">
        <v>1027</v>
      </c>
      <c r="B7" s="373"/>
      <c r="F7" s="373" t="s">
        <v>1012</v>
      </c>
      <c r="M7" s="425">
        <v>0.5</v>
      </c>
    </row>
    <row r="8" spans="1:13" x14ac:dyDescent="0.3">
      <c r="A8" s="376" t="s">
        <v>2</v>
      </c>
      <c r="C8" s="371" t="s">
        <v>47</v>
      </c>
      <c r="D8" s="376" t="s">
        <v>206</v>
      </c>
      <c r="E8" s="372" t="s">
        <v>39</v>
      </c>
      <c r="H8" s="376" t="s">
        <v>203</v>
      </c>
      <c r="I8" s="376" t="s">
        <v>202</v>
      </c>
      <c r="J8" s="371" t="s">
        <v>1013</v>
      </c>
      <c r="K8" s="371" t="s">
        <v>199</v>
      </c>
      <c r="L8" s="246" t="s">
        <v>8356</v>
      </c>
      <c r="M8" s="246" t="s">
        <v>1026</v>
      </c>
    </row>
    <row r="9" spans="1:13" x14ac:dyDescent="0.3">
      <c r="A9" s="381">
        <v>45485</v>
      </c>
      <c r="C9" s="380" t="s">
        <v>1011</v>
      </c>
      <c r="D9" s="390">
        <v>1</v>
      </c>
      <c r="E9" s="370" t="s">
        <v>694</v>
      </c>
      <c r="F9" s="370" t="s">
        <v>191</v>
      </c>
      <c r="G9" s="370" t="s">
        <v>677</v>
      </c>
      <c r="H9" s="390">
        <v>2</v>
      </c>
      <c r="I9" s="391">
        <v>2</v>
      </c>
      <c r="J9" s="368">
        <v>137030.66999999998</v>
      </c>
      <c r="K9" s="368">
        <v>274061.33999999997</v>
      </c>
      <c r="L9" s="253" t="s">
        <v>1029</v>
      </c>
      <c r="M9" s="246" t="s">
        <v>41</v>
      </c>
    </row>
    <row r="10" spans="1:13" x14ac:dyDescent="0.3">
      <c r="A10" s="381">
        <v>45485</v>
      </c>
      <c r="C10" s="380" t="s">
        <v>1011</v>
      </c>
      <c r="D10" s="390">
        <v>1</v>
      </c>
      <c r="E10" s="370" t="s">
        <v>709</v>
      </c>
      <c r="F10" s="370" t="s">
        <v>191</v>
      </c>
      <c r="G10" s="370" t="s">
        <v>708</v>
      </c>
      <c r="H10" s="390">
        <v>2</v>
      </c>
      <c r="I10" s="391">
        <v>4</v>
      </c>
      <c r="J10" s="368">
        <v>53655.18</v>
      </c>
      <c r="K10" s="368">
        <v>214620.72</v>
      </c>
      <c r="L10" s="253" t="s">
        <v>1030</v>
      </c>
      <c r="M10" s="246" t="s">
        <v>41</v>
      </c>
    </row>
    <row r="11" spans="1:13" x14ac:dyDescent="0.3">
      <c r="A11" s="381">
        <v>45987</v>
      </c>
      <c r="C11" s="380" t="s">
        <v>8354</v>
      </c>
      <c r="D11" s="390">
        <v>1</v>
      </c>
      <c r="E11" s="370" t="s">
        <v>8353</v>
      </c>
      <c r="F11" s="370" t="s">
        <v>191</v>
      </c>
      <c r="G11" s="370" t="s">
        <v>8352</v>
      </c>
      <c r="H11" s="390">
        <v>2</v>
      </c>
      <c r="I11" s="391">
        <v>1</v>
      </c>
      <c r="J11" s="368">
        <v>26908.78</v>
      </c>
      <c r="K11" s="368">
        <v>26908.78</v>
      </c>
      <c r="L11" s="246" t="s">
        <v>8368</v>
      </c>
      <c r="M11" s="246" t="s">
        <v>40</v>
      </c>
    </row>
    <row r="12" spans="1:13" x14ac:dyDescent="0.3">
      <c r="A12" s="381"/>
      <c r="C12" s="380"/>
      <c r="D12" s="390"/>
      <c r="E12" s="370"/>
      <c r="F12" s="370"/>
      <c r="G12" s="370"/>
      <c r="H12" s="390"/>
      <c r="I12" s="391"/>
      <c r="J12" s="368"/>
      <c r="K12" s="368"/>
    </row>
    <row r="13" spans="1:13" x14ac:dyDescent="0.3">
      <c r="A13" s="373" t="s">
        <v>8350</v>
      </c>
    </row>
    <row r="14" spans="1:13" hidden="1" x14ac:dyDescent="0.3">
      <c r="F14" s="383" t="s">
        <v>930</v>
      </c>
    </row>
    <row r="15" spans="1:13" hidden="1" x14ac:dyDescent="0.3"/>
    <row r="16" spans="1:13" hidden="1" x14ac:dyDescent="0.3"/>
    <row r="17" spans="1:13" hidden="1" x14ac:dyDescent="0.3">
      <c r="G17" s="372" t="s">
        <v>1007</v>
      </c>
    </row>
    <row r="18" spans="1:13" hidden="1" x14ac:dyDescent="0.3">
      <c r="G18" s="372" t="s">
        <v>1008</v>
      </c>
      <c r="H18" s="391">
        <f>SUBTOTAL(9,I9:I13)</f>
        <v>7</v>
      </c>
      <c r="I18" s="392">
        <v>515590.84</v>
      </c>
    </row>
    <row r="19" spans="1:13" hidden="1" x14ac:dyDescent="0.3"/>
    <row r="20" spans="1:13" x14ac:dyDescent="0.3">
      <c r="A20" s="250" t="s">
        <v>8360</v>
      </c>
      <c r="B20" s="373"/>
    </row>
    <row r="21" spans="1:13" x14ac:dyDescent="0.3">
      <c r="A21" s="381">
        <v>46050</v>
      </c>
      <c r="C21" s="380" t="s">
        <v>8345</v>
      </c>
      <c r="D21" s="390">
        <v>1</v>
      </c>
      <c r="E21" s="370" t="s">
        <v>684</v>
      </c>
      <c r="F21" s="370" t="s">
        <v>191</v>
      </c>
      <c r="G21" s="370" t="s">
        <v>8349</v>
      </c>
      <c r="H21" s="390">
        <v>2</v>
      </c>
      <c r="I21" s="391">
        <v>1</v>
      </c>
      <c r="J21" s="368">
        <v>53047.040000000001</v>
      </c>
      <c r="K21" s="368">
        <v>53047.040000000001</v>
      </c>
      <c r="L21" s="246" t="s">
        <v>8368</v>
      </c>
      <c r="M21" s="246" t="s">
        <v>40</v>
      </c>
    </row>
    <row r="22" spans="1:13" x14ac:dyDescent="0.3">
      <c r="A22" s="381">
        <v>46050</v>
      </c>
      <c r="C22" s="380" t="s">
        <v>8345</v>
      </c>
      <c r="D22" s="390">
        <v>1</v>
      </c>
      <c r="E22" s="370" t="s">
        <v>8348</v>
      </c>
      <c r="F22" s="370" t="s">
        <v>191</v>
      </c>
      <c r="G22" s="370" t="s">
        <v>7695</v>
      </c>
      <c r="H22" s="390">
        <v>2</v>
      </c>
      <c r="I22" s="391">
        <v>16</v>
      </c>
      <c r="J22" s="368">
        <v>53914.46</v>
      </c>
      <c r="K22" s="368">
        <v>862631.36</v>
      </c>
      <c r="L22" s="246" t="s">
        <v>8368</v>
      </c>
    </row>
    <row r="23" spans="1:13" x14ac:dyDescent="0.3">
      <c r="A23" s="381">
        <v>46050</v>
      </c>
      <c r="C23" s="380" t="s">
        <v>8345</v>
      </c>
      <c r="D23" s="390">
        <v>1</v>
      </c>
      <c r="E23" s="370" t="s">
        <v>8347</v>
      </c>
      <c r="F23" s="370" t="s">
        <v>191</v>
      </c>
      <c r="G23" s="370" t="s">
        <v>8346</v>
      </c>
      <c r="H23" s="390">
        <v>2</v>
      </c>
      <c r="I23" s="391">
        <v>1</v>
      </c>
      <c r="J23" s="368">
        <v>1264462.81</v>
      </c>
      <c r="K23" s="368">
        <v>1264462.81</v>
      </c>
      <c r="L23" s="246" t="s">
        <v>8368</v>
      </c>
    </row>
    <row r="24" spans="1:13" x14ac:dyDescent="0.3">
      <c r="A24" s="381">
        <v>46050</v>
      </c>
      <c r="C24" s="380" t="s">
        <v>8345</v>
      </c>
      <c r="D24" s="390">
        <v>1</v>
      </c>
      <c r="E24" s="370" t="s">
        <v>8090</v>
      </c>
      <c r="F24" s="370" t="s">
        <v>191</v>
      </c>
      <c r="G24" s="370" t="s">
        <v>8089</v>
      </c>
      <c r="H24" s="390">
        <v>2</v>
      </c>
      <c r="I24" s="391">
        <v>1</v>
      </c>
      <c r="J24" s="368">
        <v>35990.33</v>
      </c>
      <c r="K24" s="368">
        <v>35990.33</v>
      </c>
      <c r="L24" s="246" t="s">
        <v>8368</v>
      </c>
    </row>
    <row r="25" spans="1:13" x14ac:dyDescent="0.3">
      <c r="A25" s="381">
        <v>46050</v>
      </c>
      <c r="C25" s="380" t="s">
        <v>8345</v>
      </c>
      <c r="D25" s="390">
        <v>1</v>
      </c>
      <c r="E25" s="370" t="s">
        <v>6629</v>
      </c>
      <c r="F25" s="370" t="s">
        <v>191</v>
      </c>
      <c r="G25" s="370" t="s">
        <v>6626</v>
      </c>
      <c r="H25" s="390">
        <v>2</v>
      </c>
      <c r="I25" s="391">
        <v>2</v>
      </c>
      <c r="J25" s="368">
        <v>1680247.93</v>
      </c>
      <c r="K25" s="368">
        <v>3360495.86</v>
      </c>
      <c r="L25" s="246" t="s">
        <v>8368</v>
      </c>
    </row>
    <row r="26" spans="1:13" x14ac:dyDescent="0.3">
      <c r="A26" s="381">
        <v>46050</v>
      </c>
      <c r="C26" s="380" t="s">
        <v>8345</v>
      </c>
      <c r="D26" s="390">
        <v>1</v>
      </c>
      <c r="E26" s="370" t="s">
        <v>3498</v>
      </c>
      <c r="F26" s="370" t="s">
        <v>191</v>
      </c>
      <c r="G26" s="370" t="s">
        <v>3497</v>
      </c>
      <c r="H26" s="390">
        <v>2</v>
      </c>
      <c r="I26" s="391">
        <v>1</v>
      </c>
      <c r="J26" s="368">
        <v>430030.41000000003</v>
      </c>
      <c r="K26" s="368">
        <v>430030.41000000003</v>
      </c>
      <c r="L26" s="246" t="s">
        <v>8368</v>
      </c>
    </row>
    <row r="27" spans="1:13" x14ac:dyDescent="0.3">
      <c r="A27" s="381">
        <v>46050</v>
      </c>
      <c r="C27" s="380" t="s">
        <v>8345</v>
      </c>
      <c r="D27" s="390">
        <v>1</v>
      </c>
      <c r="E27" s="370" t="s">
        <v>3525</v>
      </c>
      <c r="F27" s="370" t="s">
        <v>191</v>
      </c>
      <c r="G27" s="370" t="s">
        <v>3519</v>
      </c>
      <c r="H27" s="390">
        <v>2</v>
      </c>
      <c r="I27" s="391">
        <v>2</v>
      </c>
      <c r="J27" s="368">
        <v>723719.01</v>
      </c>
      <c r="K27" s="368">
        <v>1447438.02</v>
      </c>
      <c r="L27" s="246" t="s">
        <v>8368</v>
      </c>
    </row>
    <row r="28" spans="1:13" x14ac:dyDescent="0.3">
      <c r="A28" s="381">
        <v>46050</v>
      </c>
      <c r="C28" s="380" t="s">
        <v>8345</v>
      </c>
      <c r="D28" s="390">
        <v>1</v>
      </c>
      <c r="E28" s="370" t="s">
        <v>7191</v>
      </c>
      <c r="F28" s="370" t="s">
        <v>191</v>
      </c>
      <c r="G28" s="370" t="s">
        <v>7190</v>
      </c>
      <c r="H28" s="390">
        <v>2</v>
      </c>
      <c r="I28" s="391">
        <v>1</v>
      </c>
      <c r="J28" s="368">
        <v>1576859.5</v>
      </c>
      <c r="K28" s="368">
        <v>1576859.5</v>
      </c>
      <c r="L28" s="246" t="s">
        <v>8368</v>
      </c>
    </row>
    <row r="29" spans="1:13" x14ac:dyDescent="0.3">
      <c r="A29" s="381">
        <v>46050</v>
      </c>
      <c r="C29" s="380" t="s">
        <v>8345</v>
      </c>
      <c r="D29" s="390">
        <v>1</v>
      </c>
      <c r="E29" s="370" t="s">
        <v>8061</v>
      </c>
      <c r="F29" s="370" t="s">
        <v>191</v>
      </c>
      <c r="G29" s="370" t="s">
        <v>8060</v>
      </c>
      <c r="H29" s="390">
        <v>2</v>
      </c>
      <c r="I29" s="391">
        <v>1</v>
      </c>
      <c r="J29" s="368">
        <v>12216.94</v>
      </c>
      <c r="K29" s="368">
        <v>12216.94</v>
      </c>
      <c r="L29" s="246" t="s">
        <v>8368</v>
      </c>
    </row>
    <row r="30" spans="1:13" x14ac:dyDescent="0.3">
      <c r="A30" s="381">
        <v>46050</v>
      </c>
      <c r="C30" s="380" t="s">
        <v>8345</v>
      </c>
      <c r="D30" s="390">
        <v>1</v>
      </c>
      <c r="E30" s="370" t="s">
        <v>6377</v>
      </c>
      <c r="F30" s="370" t="s">
        <v>191</v>
      </c>
      <c r="G30" s="370" t="s">
        <v>6167</v>
      </c>
      <c r="H30" s="390">
        <v>2</v>
      </c>
      <c r="I30" s="391">
        <v>2</v>
      </c>
      <c r="J30" s="368">
        <v>389603.31</v>
      </c>
      <c r="K30" s="368">
        <v>779206.62</v>
      </c>
      <c r="L30" s="246" t="s">
        <v>8368</v>
      </c>
    </row>
    <row r="31" spans="1:13" x14ac:dyDescent="0.3">
      <c r="A31" s="381">
        <v>46050</v>
      </c>
      <c r="C31" s="380" t="s">
        <v>8345</v>
      </c>
      <c r="D31" s="390">
        <v>1</v>
      </c>
      <c r="E31" s="370" t="s">
        <v>7719</v>
      </c>
      <c r="F31" s="370" t="s">
        <v>191</v>
      </c>
      <c r="G31" s="370" t="s">
        <v>7718</v>
      </c>
      <c r="H31" s="390">
        <v>2</v>
      </c>
      <c r="I31" s="391">
        <v>17</v>
      </c>
      <c r="J31" s="368">
        <v>1971.0699999999997</v>
      </c>
      <c r="K31" s="368">
        <v>33508.189999999995</v>
      </c>
      <c r="L31" s="246" t="s">
        <v>8368</v>
      </c>
    </row>
    <row r="33" spans="6:10" x14ac:dyDescent="0.3">
      <c r="F33" s="383" t="s">
        <v>930</v>
      </c>
    </row>
    <row r="36" spans="6:10" x14ac:dyDescent="0.3">
      <c r="G36" s="372" t="s">
        <v>1007</v>
      </c>
    </row>
    <row r="37" spans="6:10" x14ac:dyDescent="0.3">
      <c r="G37" s="372" t="s">
        <v>1008</v>
      </c>
      <c r="H37" s="391">
        <f>SUBTOTAL(9,I21:I32)</f>
        <v>45</v>
      </c>
      <c r="I37" s="392">
        <v>9855887.0800000001</v>
      </c>
    </row>
    <row r="39" spans="6:10" x14ac:dyDescent="0.3">
      <c r="G39" s="372" t="s">
        <v>1007</v>
      </c>
      <c r="H39" s="391">
        <f>SUBTOTAL(9,I9:I38)</f>
        <v>10371529.92</v>
      </c>
      <c r="I39" s="392">
        <v>10371477.92</v>
      </c>
    </row>
    <row r="41" spans="6:10" x14ac:dyDescent="0.3">
      <c r="J41" s="360" t="s">
        <v>8344</v>
      </c>
    </row>
  </sheetData>
  <pageMargins left="0.24996875390576173" right="0.24996875390576173" top="0.24996875390576173" bottom="0.24996875390576173" header="1.1126244600256519E-308" footer="0.24996875390576173"/>
  <pageSetup paperSize="0" scale="9" orientation="portrait" errors="NA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B9AB-563E-40DD-BCA1-9462978A1F5D}">
  <sheetPr filterMode="1">
    <tabColor rgb="FFFF0000"/>
  </sheetPr>
  <dimension ref="A1:K92"/>
  <sheetViews>
    <sheetView topLeftCell="A6" workbookViewId="0">
      <selection activeCell="J7" sqref="J7:J83"/>
    </sheetView>
  </sheetViews>
  <sheetFormatPr baseColWidth="10" defaultRowHeight="13" x14ac:dyDescent="0.3"/>
  <cols>
    <col min="1" max="1" width="13.453125" style="255" customWidth="1"/>
    <col min="2" max="2" width="16.1796875" style="246" bestFit="1" customWidth="1"/>
    <col min="3" max="8" width="10.6328125" style="246" customWidth="1"/>
    <col min="9" max="9" width="15" style="246" bestFit="1" customWidth="1"/>
    <col min="10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1" ht="13.5" x14ac:dyDescent="0.3">
      <c r="A1" s="416" t="s">
        <v>190</v>
      </c>
    </row>
    <row r="2" spans="1:11" x14ac:dyDescent="0.3">
      <c r="A2" s="417" t="s">
        <v>307</v>
      </c>
    </row>
    <row r="3" spans="1:11" ht="15" x14ac:dyDescent="0.3">
      <c r="E3" s="377" t="s">
        <v>306</v>
      </c>
    </row>
    <row r="5" spans="1:11" x14ac:dyDescent="0.3">
      <c r="F5" s="361" t="s">
        <v>8359</v>
      </c>
    </row>
    <row r="6" spans="1:11" x14ac:dyDescent="0.3">
      <c r="A6" s="389" t="s">
        <v>2</v>
      </c>
      <c r="B6" s="385" t="s">
        <v>305</v>
      </c>
      <c r="E6" s="374" t="s">
        <v>176</v>
      </c>
      <c r="F6" s="385" t="s">
        <v>304</v>
      </c>
      <c r="I6" s="374" t="s">
        <v>3</v>
      </c>
      <c r="J6" s="256">
        <f>+COUNTIF(J12:J83,"sc")/(COUNTIF(J12:J83,"sc")+COUNTIF(J12:J83,"nc"))</f>
        <v>1</v>
      </c>
    </row>
    <row r="7" spans="1:11" s="364" customFormat="1" x14ac:dyDescent="0.3">
      <c r="A7" s="419">
        <v>46030</v>
      </c>
      <c r="B7" s="420" t="s">
        <v>1021</v>
      </c>
      <c r="C7" s="421">
        <v>2</v>
      </c>
      <c r="D7" s="422">
        <v>15011</v>
      </c>
      <c r="F7" s="420" t="s">
        <v>1022</v>
      </c>
      <c r="I7" s="423">
        <v>1013209.42</v>
      </c>
      <c r="J7" s="364" t="s">
        <v>41</v>
      </c>
      <c r="K7" s="364" t="s">
        <v>8380</v>
      </c>
    </row>
    <row r="8" spans="1:11" hidden="1" x14ac:dyDescent="0.3">
      <c r="A8" s="418">
        <v>46024</v>
      </c>
      <c r="B8" s="387" t="s">
        <v>1018</v>
      </c>
      <c r="C8" s="252">
        <v>2</v>
      </c>
      <c r="D8" s="388">
        <v>239624</v>
      </c>
      <c r="F8" s="387" t="s">
        <v>8358</v>
      </c>
      <c r="I8" s="386">
        <v>27733.24</v>
      </c>
    </row>
    <row r="9" spans="1:11" hidden="1" x14ac:dyDescent="0.3">
      <c r="A9" s="418">
        <v>46024</v>
      </c>
      <c r="B9" s="387" t="s">
        <v>1018</v>
      </c>
      <c r="C9" s="252">
        <v>2</v>
      </c>
      <c r="D9" s="388">
        <v>239628</v>
      </c>
      <c r="F9" s="387" t="s">
        <v>1017</v>
      </c>
      <c r="I9" s="386">
        <v>67262.850000000006</v>
      </c>
    </row>
    <row r="10" spans="1:11" hidden="1" x14ac:dyDescent="0.3">
      <c r="A10" s="418">
        <v>46024</v>
      </c>
      <c r="B10" s="387" t="s">
        <v>1018</v>
      </c>
      <c r="C10" s="252">
        <v>2</v>
      </c>
      <c r="D10" s="388">
        <v>239629</v>
      </c>
      <c r="F10" s="387" t="s">
        <v>8358</v>
      </c>
      <c r="I10" s="386">
        <v>57173.43</v>
      </c>
    </row>
    <row r="11" spans="1:11" hidden="1" x14ac:dyDescent="0.3">
      <c r="A11" s="418">
        <v>46024</v>
      </c>
      <c r="B11" s="387" t="s">
        <v>1016</v>
      </c>
      <c r="C11" s="252">
        <v>2</v>
      </c>
      <c r="D11" s="388">
        <v>194954</v>
      </c>
      <c r="F11" s="387" t="s">
        <v>1017</v>
      </c>
      <c r="I11" s="386">
        <v>-67262.850000000006</v>
      </c>
    </row>
    <row r="12" spans="1:11" s="364" customFormat="1" x14ac:dyDescent="0.3">
      <c r="A12" s="419">
        <v>46027</v>
      </c>
      <c r="B12" s="420" t="s">
        <v>1018</v>
      </c>
      <c r="C12" s="421">
        <v>2</v>
      </c>
      <c r="D12" s="422">
        <v>239638</v>
      </c>
      <c r="F12" s="420" t="s">
        <v>1024</v>
      </c>
      <c r="I12" s="423">
        <v>807220.01</v>
      </c>
      <c r="J12" s="364" t="s">
        <v>41</v>
      </c>
    </row>
    <row r="13" spans="1:11" s="364" customFormat="1" x14ac:dyDescent="0.3">
      <c r="A13" s="419">
        <v>46027</v>
      </c>
      <c r="B13" s="420" t="s">
        <v>1018</v>
      </c>
      <c r="C13" s="421">
        <v>2</v>
      </c>
      <c r="D13" s="422">
        <v>239670</v>
      </c>
      <c r="F13" s="420" t="s">
        <v>1024</v>
      </c>
      <c r="I13" s="423">
        <v>819328.3</v>
      </c>
      <c r="J13" s="364" t="s">
        <v>41</v>
      </c>
    </row>
    <row r="14" spans="1:11" hidden="1" x14ac:dyDescent="0.3">
      <c r="A14" s="418">
        <v>46027</v>
      </c>
      <c r="B14" s="387" t="s">
        <v>1018</v>
      </c>
      <c r="C14" s="252">
        <v>2</v>
      </c>
      <c r="D14" s="388">
        <v>239679</v>
      </c>
      <c r="F14" s="387" t="s">
        <v>1017</v>
      </c>
      <c r="I14" s="386">
        <v>52271.75</v>
      </c>
    </row>
    <row r="15" spans="1:11" hidden="1" x14ac:dyDescent="0.3">
      <c r="A15" s="418">
        <v>46027</v>
      </c>
      <c r="B15" s="387" t="s">
        <v>1016</v>
      </c>
      <c r="C15" s="252">
        <v>2</v>
      </c>
      <c r="D15" s="388">
        <v>194957</v>
      </c>
      <c r="F15" s="387" t="s">
        <v>1024</v>
      </c>
      <c r="I15" s="386">
        <v>-807220.01</v>
      </c>
    </row>
    <row r="16" spans="1:11" x14ac:dyDescent="0.3">
      <c r="A16" s="419">
        <v>46034</v>
      </c>
      <c r="B16" s="420" t="s">
        <v>1021</v>
      </c>
      <c r="C16" s="421">
        <v>2</v>
      </c>
      <c r="D16" s="422">
        <v>15013</v>
      </c>
      <c r="E16" s="364"/>
      <c r="F16" s="420" t="s">
        <v>1024</v>
      </c>
      <c r="G16" s="364"/>
      <c r="H16" s="364"/>
      <c r="I16" s="423">
        <v>451498.45</v>
      </c>
      <c r="J16" s="246" t="s">
        <v>41</v>
      </c>
      <c r="K16" s="246" t="s">
        <v>8381</v>
      </c>
    </row>
    <row r="17" spans="1:11" x14ac:dyDescent="0.3">
      <c r="A17" s="419">
        <v>46045</v>
      </c>
      <c r="B17" s="420" t="s">
        <v>1021</v>
      </c>
      <c r="C17" s="421">
        <v>2</v>
      </c>
      <c r="D17" s="422">
        <v>15019</v>
      </c>
      <c r="E17" s="364"/>
      <c r="F17" s="420" t="s">
        <v>1019</v>
      </c>
      <c r="G17" s="364"/>
      <c r="H17" s="364"/>
      <c r="I17" s="423">
        <v>230804.5</v>
      </c>
      <c r="J17" s="246" t="s">
        <v>41</v>
      </c>
      <c r="K17" s="246" t="s">
        <v>8382</v>
      </c>
    </row>
    <row r="18" spans="1:11" x14ac:dyDescent="0.3">
      <c r="A18" s="419">
        <v>46028</v>
      </c>
      <c r="B18" s="420" t="s">
        <v>1021</v>
      </c>
      <c r="C18" s="421">
        <v>2</v>
      </c>
      <c r="D18" s="422">
        <v>15007</v>
      </c>
      <c r="E18" s="364"/>
      <c r="F18" s="420" t="s">
        <v>1024</v>
      </c>
      <c r="G18" s="364"/>
      <c r="H18" s="364"/>
      <c r="I18" s="423">
        <v>189038.88</v>
      </c>
      <c r="J18" s="246" t="s">
        <v>41</v>
      </c>
      <c r="K18" s="246" t="s">
        <v>8379</v>
      </c>
    </row>
    <row r="19" spans="1:11" x14ac:dyDescent="0.3">
      <c r="A19" s="419">
        <v>46038</v>
      </c>
      <c r="B19" s="420" t="s">
        <v>1021</v>
      </c>
      <c r="C19" s="421">
        <v>2</v>
      </c>
      <c r="D19" s="422">
        <v>15017</v>
      </c>
      <c r="E19" s="364"/>
      <c r="F19" s="420" t="s">
        <v>1019</v>
      </c>
      <c r="G19" s="364"/>
      <c r="H19" s="364"/>
      <c r="I19" s="423">
        <v>186193.82</v>
      </c>
      <c r="J19" s="246" t="s">
        <v>41</v>
      </c>
      <c r="K19" s="246" t="s">
        <v>8382</v>
      </c>
    </row>
    <row r="20" spans="1:11" x14ac:dyDescent="0.3">
      <c r="A20" s="419">
        <v>46045</v>
      </c>
      <c r="B20" s="420" t="s">
        <v>1021</v>
      </c>
      <c r="C20" s="421">
        <v>2</v>
      </c>
      <c r="D20" s="422">
        <v>15020</v>
      </c>
      <c r="E20" s="364"/>
      <c r="F20" s="420" t="s">
        <v>1024</v>
      </c>
      <c r="G20" s="364"/>
      <c r="H20" s="364"/>
      <c r="I20" s="423">
        <v>158751.21</v>
      </c>
      <c r="J20" s="246" t="s">
        <v>41</v>
      </c>
      <c r="K20" s="246" t="s">
        <v>8379</v>
      </c>
    </row>
    <row r="21" spans="1:11" x14ac:dyDescent="0.3">
      <c r="A21" s="419">
        <v>46028</v>
      </c>
      <c r="B21" s="420" t="s">
        <v>1021</v>
      </c>
      <c r="C21" s="421">
        <v>2</v>
      </c>
      <c r="D21" s="422">
        <v>15004</v>
      </c>
      <c r="E21" s="364"/>
      <c r="F21" s="420" t="s">
        <v>1024</v>
      </c>
      <c r="G21" s="364"/>
      <c r="H21" s="364"/>
      <c r="I21" s="423">
        <v>151892.85</v>
      </c>
      <c r="J21" s="246" t="s">
        <v>41</v>
      </c>
      <c r="K21" s="246" t="s">
        <v>8381</v>
      </c>
    </row>
    <row r="22" spans="1:11" hidden="1" x14ac:dyDescent="0.3">
      <c r="A22" s="418">
        <v>46034</v>
      </c>
      <c r="B22" s="387" t="s">
        <v>1021</v>
      </c>
      <c r="C22" s="252">
        <v>2</v>
      </c>
      <c r="D22" s="388">
        <v>15012</v>
      </c>
      <c r="F22" s="387" t="s">
        <v>1020</v>
      </c>
      <c r="I22" s="386">
        <v>91874.82</v>
      </c>
    </row>
    <row r="23" spans="1:11" hidden="1" x14ac:dyDescent="0.3">
      <c r="A23" s="418">
        <v>46028</v>
      </c>
      <c r="B23" s="387" t="s">
        <v>1018</v>
      </c>
      <c r="C23" s="252">
        <v>2</v>
      </c>
      <c r="D23" s="388">
        <v>239717</v>
      </c>
      <c r="F23" s="387" t="s">
        <v>1017</v>
      </c>
      <c r="I23" s="386">
        <v>52271.75</v>
      </c>
    </row>
    <row r="24" spans="1:11" hidden="1" x14ac:dyDescent="0.3">
      <c r="A24" s="418">
        <v>46028</v>
      </c>
      <c r="B24" s="387" t="s">
        <v>1018</v>
      </c>
      <c r="C24" s="252">
        <v>2</v>
      </c>
      <c r="D24" s="388">
        <v>239727</v>
      </c>
      <c r="F24" s="387" t="s">
        <v>8358</v>
      </c>
      <c r="I24" s="386">
        <v>167560.42000000001</v>
      </c>
    </row>
    <row r="25" spans="1:11" hidden="1" x14ac:dyDescent="0.3">
      <c r="A25" s="418">
        <v>46028</v>
      </c>
      <c r="B25" s="387" t="s">
        <v>1018</v>
      </c>
      <c r="C25" s="252">
        <v>2</v>
      </c>
      <c r="D25" s="388">
        <v>239729</v>
      </c>
      <c r="F25" s="387" t="s">
        <v>8358</v>
      </c>
      <c r="I25" s="386">
        <v>24538.510000000002</v>
      </c>
    </row>
    <row r="26" spans="1:11" hidden="1" x14ac:dyDescent="0.3">
      <c r="A26" s="418">
        <v>46028</v>
      </c>
      <c r="B26" s="387" t="s">
        <v>1018</v>
      </c>
      <c r="C26" s="252">
        <v>2</v>
      </c>
      <c r="D26" s="388">
        <v>239732</v>
      </c>
      <c r="F26" s="387" t="s">
        <v>8358</v>
      </c>
      <c r="I26" s="386">
        <v>244038.15</v>
      </c>
    </row>
    <row r="27" spans="1:11" hidden="1" x14ac:dyDescent="0.3">
      <c r="A27" s="418">
        <v>46037</v>
      </c>
      <c r="B27" s="387" t="s">
        <v>1021</v>
      </c>
      <c r="C27" s="252">
        <v>2</v>
      </c>
      <c r="D27" s="388">
        <v>15016</v>
      </c>
      <c r="F27" s="387" t="s">
        <v>1020</v>
      </c>
      <c r="I27" s="386">
        <v>91874.82</v>
      </c>
    </row>
    <row r="28" spans="1:11" hidden="1" x14ac:dyDescent="0.3">
      <c r="A28" s="418">
        <v>46024</v>
      </c>
      <c r="B28" s="387" t="s">
        <v>1021</v>
      </c>
      <c r="C28" s="252">
        <v>2</v>
      </c>
      <c r="D28" s="388">
        <v>15001</v>
      </c>
      <c r="F28" s="387" t="s">
        <v>1025</v>
      </c>
      <c r="I28" s="386">
        <v>45030</v>
      </c>
    </row>
    <row r="29" spans="1:11" hidden="1" x14ac:dyDescent="0.3">
      <c r="A29" s="418">
        <v>46029</v>
      </c>
      <c r="B29" s="387" t="s">
        <v>1018</v>
      </c>
      <c r="C29" s="252">
        <v>2</v>
      </c>
      <c r="D29" s="388">
        <v>239775</v>
      </c>
      <c r="F29" s="387" t="s">
        <v>1017</v>
      </c>
      <c r="I29" s="386">
        <v>27733.24</v>
      </c>
    </row>
    <row r="30" spans="1:11" s="364" customFormat="1" x14ac:dyDescent="0.3">
      <c r="A30" s="419">
        <v>46029</v>
      </c>
      <c r="B30" s="420" t="s">
        <v>1018</v>
      </c>
      <c r="C30" s="421">
        <v>2</v>
      </c>
      <c r="D30" s="422">
        <v>239776</v>
      </c>
      <c r="F30" s="420" t="s">
        <v>303</v>
      </c>
      <c r="I30" s="423">
        <v>276223.02</v>
      </c>
      <c r="J30" s="364" t="s">
        <v>41</v>
      </c>
    </row>
    <row r="31" spans="1:11" hidden="1" x14ac:dyDescent="0.3">
      <c r="A31" s="418">
        <v>46029</v>
      </c>
      <c r="B31" s="387" t="s">
        <v>1018</v>
      </c>
      <c r="C31" s="252">
        <v>2</v>
      </c>
      <c r="D31" s="388">
        <v>239791</v>
      </c>
      <c r="F31" s="387" t="s">
        <v>1017</v>
      </c>
      <c r="I31" s="386">
        <v>474362.73</v>
      </c>
    </row>
    <row r="32" spans="1:11" hidden="1" x14ac:dyDescent="0.3">
      <c r="A32" s="418">
        <v>46029</v>
      </c>
      <c r="B32" s="387" t="s">
        <v>1018</v>
      </c>
      <c r="C32" s="252">
        <v>2</v>
      </c>
      <c r="D32" s="388">
        <v>239801</v>
      </c>
      <c r="F32" s="387" t="s">
        <v>1017</v>
      </c>
      <c r="I32" s="386">
        <v>474362.73</v>
      </c>
    </row>
    <row r="33" spans="1:11" hidden="1" x14ac:dyDescent="0.3">
      <c r="A33" s="418">
        <v>46029</v>
      </c>
      <c r="B33" s="387" t="s">
        <v>1018</v>
      </c>
      <c r="C33" s="252">
        <v>2</v>
      </c>
      <c r="D33" s="388">
        <v>239811</v>
      </c>
      <c r="F33" s="387" t="s">
        <v>1017</v>
      </c>
      <c r="I33" s="386">
        <v>203944.84</v>
      </c>
    </row>
    <row r="34" spans="1:11" hidden="1" x14ac:dyDescent="0.3">
      <c r="A34" s="418">
        <v>46029</v>
      </c>
      <c r="B34" s="387" t="s">
        <v>1018</v>
      </c>
      <c r="C34" s="252">
        <v>2</v>
      </c>
      <c r="D34" s="388">
        <v>239815</v>
      </c>
      <c r="F34" s="387" t="s">
        <v>1017</v>
      </c>
      <c r="I34" s="386">
        <v>265073.02</v>
      </c>
    </row>
    <row r="35" spans="1:11" hidden="1" x14ac:dyDescent="0.3">
      <c r="A35" s="418">
        <v>46029</v>
      </c>
      <c r="B35" s="387" t="s">
        <v>1018</v>
      </c>
      <c r="C35" s="252">
        <v>2</v>
      </c>
      <c r="D35" s="388">
        <v>239817</v>
      </c>
      <c r="F35" s="387" t="s">
        <v>1020</v>
      </c>
      <c r="I35" s="386">
        <v>652555.43000000005</v>
      </c>
    </row>
    <row r="36" spans="1:11" hidden="1" x14ac:dyDescent="0.3">
      <c r="A36" s="418">
        <v>46029</v>
      </c>
      <c r="B36" s="387" t="s">
        <v>1023</v>
      </c>
      <c r="C36" s="252">
        <v>2</v>
      </c>
      <c r="D36" s="388">
        <v>854</v>
      </c>
      <c r="F36" s="387" t="s">
        <v>303</v>
      </c>
      <c r="I36" s="386">
        <v>-20208.18</v>
      </c>
    </row>
    <row r="37" spans="1:11" hidden="1" x14ac:dyDescent="0.3">
      <c r="A37" s="418">
        <v>46029</v>
      </c>
      <c r="B37" s="387" t="s">
        <v>1016</v>
      </c>
      <c r="C37" s="252">
        <v>2</v>
      </c>
      <c r="D37" s="388">
        <v>194963</v>
      </c>
      <c r="F37" s="387" t="s">
        <v>1017</v>
      </c>
      <c r="I37" s="386">
        <v>-203944.84</v>
      </c>
    </row>
    <row r="38" spans="1:11" hidden="1" x14ac:dyDescent="0.3">
      <c r="A38" s="418">
        <v>46028</v>
      </c>
      <c r="B38" s="387" t="s">
        <v>1021</v>
      </c>
      <c r="C38" s="252">
        <v>2</v>
      </c>
      <c r="D38" s="388">
        <v>15003</v>
      </c>
      <c r="F38" s="387" t="s">
        <v>1024</v>
      </c>
      <c r="I38" s="386">
        <v>28605.510000000002</v>
      </c>
    </row>
    <row r="39" spans="1:11" hidden="1" x14ac:dyDescent="0.3">
      <c r="A39" s="418">
        <v>46030</v>
      </c>
      <c r="B39" s="387" t="s">
        <v>1018</v>
      </c>
      <c r="C39" s="252">
        <v>2</v>
      </c>
      <c r="D39" s="388">
        <v>239833</v>
      </c>
      <c r="F39" s="387" t="s">
        <v>1017</v>
      </c>
      <c r="I39" s="386">
        <v>45910.99</v>
      </c>
    </row>
    <row r="40" spans="1:11" hidden="1" x14ac:dyDescent="0.3">
      <c r="A40" s="418">
        <v>46030</v>
      </c>
      <c r="B40" s="387" t="s">
        <v>1018</v>
      </c>
      <c r="C40" s="252">
        <v>2</v>
      </c>
      <c r="D40" s="388">
        <v>239841</v>
      </c>
      <c r="F40" s="387" t="s">
        <v>1020</v>
      </c>
      <c r="I40" s="386">
        <v>295819.65999999997</v>
      </c>
    </row>
    <row r="41" spans="1:11" hidden="1" x14ac:dyDescent="0.3">
      <c r="A41" s="418">
        <v>46030</v>
      </c>
      <c r="B41" s="387" t="s">
        <v>1018</v>
      </c>
      <c r="C41" s="252">
        <v>2</v>
      </c>
      <c r="D41" s="388">
        <v>239871</v>
      </c>
      <c r="F41" s="387" t="s">
        <v>1017</v>
      </c>
      <c r="I41" s="386">
        <v>47638.090000000004</v>
      </c>
    </row>
    <row r="42" spans="1:11" hidden="1" x14ac:dyDescent="0.3">
      <c r="A42" s="418">
        <v>46030</v>
      </c>
      <c r="B42" s="387" t="s">
        <v>1018</v>
      </c>
      <c r="C42" s="252">
        <v>2</v>
      </c>
      <c r="D42" s="388">
        <v>239879</v>
      </c>
      <c r="F42" s="387" t="s">
        <v>1024</v>
      </c>
      <c r="I42" s="386">
        <v>190371.83000000002</v>
      </c>
    </row>
    <row r="43" spans="1:11" hidden="1" x14ac:dyDescent="0.3">
      <c r="A43" s="418">
        <v>46030</v>
      </c>
      <c r="B43" s="387" t="s">
        <v>1018</v>
      </c>
      <c r="C43" s="252">
        <v>2</v>
      </c>
      <c r="D43" s="388">
        <v>239887</v>
      </c>
      <c r="F43" s="387" t="s">
        <v>1024</v>
      </c>
      <c r="I43" s="386">
        <v>23099.58</v>
      </c>
    </row>
    <row r="44" spans="1:11" hidden="1" x14ac:dyDescent="0.3">
      <c r="A44" s="418">
        <v>46030</v>
      </c>
      <c r="B44" s="387" t="s">
        <v>1018</v>
      </c>
      <c r="C44" s="252">
        <v>2</v>
      </c>
      <c r="D44" s="388">
        <v>239888</v>
      </c>
      <c r="F44" s="387" t="s">
        <v>1024</v>
      </c>
      <c r="I44" s="386">
        <v>189038.88</v>
      </c>
    </row>
    <row r="45" spans="1:11" s="364" customFormat="1" x14ac:dyDescent="0.3">
      <c r="A45" s="419">
        <v>46030</v>
      </c>
      <c r="B45" s="420" t="s">
        <v>1018</v>
      </c>
      <c r="C45" s="421">
        <v>2</v>
      </c>
      <c r="D45" s="422">
        <v>239891</v>
      </c>
      <c r="F45" s="420" t="s">
        <v>1020</v>
      </c>
      <c r="I45" s="423">
        <v>873592.96</v>
      </c>
      <c r="J45" s="364" t="s">
        <v>41</v>
      </c>
      <c r="K45" s="364" t="s">
        <v>8372</v>
      </c>
    </row>
    <row r="46" spans="1:11" hidden="1" x14ac:dyDescent="0.3">
      <c r="A46" s="418">
        <v>46031</v>
      </c>
      <c r="B46" s="387" t="s">
        <v>1018</v>
      </c>
      <c r="C46" s="252">
        <v>2</v>
      </c>
      <c r="D46" s="388">
        <v>239924</v>
      </c>
      <c r="F46" s="387" t="s">
        <v>1024</v>
      </c>
      <c r="I46" s="386">
        <v>13465.84</v>
      </c>
    </row>
    <row r="47" spans="1:11" hidden="1" x14ac:dyDescent="0.3">
      <c r="A47" s="418">
        <v>46031</v>
      </c>
      <c r="B47" s="387" t="s">
        <v>1023</v>
      </c>
      <c r="C47" s="252">
        <v>2</v>
      </c>
      <c r="D47" s="388">
        <v>855</v>
      </c>
      <c r="F47" s="387" t="s">
        <v>1022</v>
      </c>
      <c r="I47" s="386">
        <v>-1013209.42</v>
      </c>
    </row>
    <row r="48" spans="1:11" hidden="1" x14ac:dyDescent="0.3">
      <c r="A48" s="418">
        <v>46031</v>
      </c>
      <c r="B48" s="387" t="s">
        <v>1016</v>
      </c>
      <c r="C48" s="252">
        <v>2</v>
      </c>
      <c r="D48" s="388">
        <v>194968</v>
      </c>
      <c r="F48" s="387" t="s">
        <v>303</v>
      </c>
      <c r="I48" s="386">
        <v>-832148.36</v>
      </c>
    </row>
    <row r="49" spans="1:11" hidden="1" x14ac:dyDescent="0.3">
      <c r="A49" s="418">
        <v>46029</v>
      </c>
      <c r="B49" s="387" t="s">
        <v>1021</v>
      </c>
      <c r="C49" s="252">
        <v>2</v>
      </c>
      <c r="D49" s="388">
        <v>15010</v>
      </c>
      <c r="F49" s="387" t="s">
        <v>303</v>
      </c>
      <c r="I49" s="386">
        <v>26951.37</v>
      </c>
    </row>
    <row r="50" spans="1:11" hidden="1" x14ac:dyDescent="0.3">
      <c r="A50" s="418">
        <v>46048</v>
      </c>
      <c r="B50" s="387" t="s">
        <v>1021</v>
      </c>
      <c r="C50" s="252">
        <v>2</v>
      </c>
      <c r="D50" s="388">
        <v>15021</v>
      </c>
      <c r="F50" s="387" t="s">
        <v>1024</v>
      </c>
      <c r="I50" s="386">
        <v>24392.84</v>
      </c>
    </row>
    <row r="51" spans="1:11" hidden="1" x14ac:dyDescent="0.3">
      <c r="A51" s="418">
        <v>46028</v>
      </c>
      <c r="B51" s="387" t="s">
        <v>1021</v>
      </c>
      <c r="C51" s="252">
        <v>2</v>
      </c>
      <c r="D51" s="388">
        <v>15002</v>
      </c>
      <c r="F51" s="387" t="s">
        <v>1024</v>
      </c>
      <c r="I51" s="386">
        <v>20705.53</v>
      </c>
    </row>
    <row r="52" spans="1:11" hidden="1" x14ac:dyDescent="0.3">
      <c r="A52" s="418">
        <v>46034</v>
      </c>
      <c r="B52" s="387" t="s">
        <v>1018</v>
      </c>
      <c r="C52" s="252">
        <v>2</v>
      </c>
      <c r="D52" s="388">
        <v>240005</v>
      </c>
      <c r="F52" s="387" t="s">
        <v>1024</v>
      </c>
      <c r="I52" s="386">
        <v>72590.25</v>
      </c>
    </row>
    <row r="53" spans="1:11" hidden="1" x14ac:dyDescent="0.3">
      <c r="A53" s="418">
        <v>46029</v>
      </c>
      <c r="B53" s="387" t="s">
        <v>1021</v>
      </c>
      <c r="C53" s="252">
        <v>2</v>
      </c>
      <c r="D53" s="388">
        <v>15009</v>
      </c>
      <c r="F53" s="387" t="s">
        <v>303</v>
      </c>
      <c r="I53" s="386">
        <v>20208.18</v>
      </c>
    </row>
    <row r="54" spans="1:11" hidden="1" x14ac:dyDescent="0.3">
      <c r="A54" s="418">
        <v>46035</v>
      </c>
      <c r="B54" s="387" t="s">
        <v>1018</v>
      </c>
      <c r="C54" s="252">
        <v>2</v>
      </c>
      <c r="D54" s="388">
        <v>240017</v>
      </c>
      <c r="F54" s="387" t="s">
        <v>1024</v>
      </c>
      <c r="I54" s="386">
        <v>137267.69</v>
      </c>
    </row>
    <row r="55" spans="1:11" s="364" customFormat="1" x14ac:dyDescent="0.3">
      <c r="A55" s="419">
        <v>46035</v>
      </c>
      <c r="B55" s="420" t="s">
        <v>1018</v>
      </c>
      <c r="C55" s="421">
        <v>2</v>
      </c>
      <c r="D55" s="422">
        <v>240054</v>
      </c>
      <c r="F55" s="420" t="s">
        <v>1020</v>
      </c>
      <c r="I55" s="423">
        <v>873592.96</v>
      </c>
      <c r="J55" s="364" t="s">
        <v>41</v>
      </c>
      <c r="K55" s="364" t="s">
        <v>8372</v>
      </c>
    </row>
    <row r="56" spans="1:11" s="364" customFormat="1" x14ac:dyDescent="0.3">
      <c r="A56" s="419">
        <v>46036</v>
      </c>
      <c r="B56" s="420" t="s">
        <v>1018</v>
      </c>
      <c r="C56" s="421">
        <v>2</v>
      </c>
      <c r="D56" s="422">
        <v>240074</v>
      </c>
      <c r="F56" s="420" t="s">
        <v>303</v>
      </c>
      <c r="I56" s="423">
        <v>48438.5</v>
      </c>
      <c r="J56" s="364" t="s">
        <v>41</v>
      </c>
    </row>
    <row r="57" spans="1:11" hidden="1" x14ac:dyDescent="0.3">
      <c r="A57" s="418">
        <v>46036</v>
      </c>
      <c r="B57" s="387" t="s">
        <v>1018</v>
      </c>
      <c r="C57" s="252">
        <v>2</v>
      </c>
      <c r="D57" s="388">
        <v>240110</v>
      </c>
      <c r="F57" s="387" t="s">
        <v>1017</v>
      </c>
      <c r="I57" s="386">
        <v>47582.020000000004</v>
      </c>
    </row>
    <row r="58" spans="1:11" hidden="1" x14ac:dyDescent="0.3">
      <c r="A58" s="418">
        <v>46036</v>
      </c>
      <c r="B58" s="387" t="s">
        <v>1018</v>
      </c>
      <c r="C58" s="252">
        <v>2</v>
      </c>
      <c r="D58" s="388">
        <v>240125</v>
      </c>
      <c r="F58" s="387" t="s">
        <v>1017</v>
      </c>
      <c r="I58" s="386">
        <v>379385.4</v>
      </c>
    </row>
    <row r="59" spans="1:11" hidden="1" x14ac:dyDescent="0.3">
      <c r="A59" s="418">
        <v>46036</v>
      </c>
      <c r="B59" s="387" t="s">
        <v>1018</v>
      </c>
      <c r="C59" s="252">
        <v>2</v>
      </c>
      <c r="D59" s="388">
        <v>240128</v>
      </c>
      <c r="F59" s="387" t="s">
        <v>1017</v>
      </c>
      <c r="I59" s="386">
        <v>51890.04</v>
      </c>
    </row>
    <row r="60" spans="1:11" hidden="1" x14ac:dyDescent="0.3">
      <c r="A60" s="418">
        <v>46044</v>
      </c>
      <c r="B60" s="387" t="s">
        <v>1021</v>
      </c>
      <c r="C60" s="252">
        <v>2</v>
      </c>
      <c r="D60" s="388">
        <v>15018</v>
      </c>
      <c r="F60" s="387" t="s">
        <v>1020</v>
      </c>
      <c r="I60" s="386">
        <v>14481.39</v>
      </c>
    </row>
    <row r="61" spans="1:11" s="364" customFormat="1" x14ac:dyDescent="0.3">
      <c r="A61" s="419">
        <v>46037</v>
      </c>
      <c r="B61" s="420" t="s">
        <v>1018</v>
      </c>
      <c r="C61" s="421">
        <v>2</v>
      </c>
      <c r="D61" s="422">
        <v>240140</v>
      </c>
      <c r="F61" s="420" t="s">
        <v>1020</v>
      </c>
      <c r="I61" s="423">
        <v>669648.12</v>
      </c>
      <c r="J61" s="364" t="s">
        <v>41</v>
      </c>
      <c r="K61" s="364" t="s">
        <v>8372</v>
      </c>
    </row>
    <row r="62" spans="1:11" hidden="1" x14ac:dyDescent="0.3">
      <c r="A62" s="418">
        <v>46037</v>
      </c>
      <c r="B62" s="387" t="s">
        <v>1018</v>
      </c>
      <c r="C62" s="252">
        <v>2</v>
      </c>
      <c r="D62" s="388">
        <v>240158</v>
      </c>
      <c r="F62" s="387" t="s">
        <v>1020</v>
      </c>
      <c r="I62" s="386">
        <v>7173.66</v>
      </c>
    </row>
    <row r="63" spans="1:11" hidden="1" x14ac:dyDescent="0.3">
      <c r="A63" s="418">
        <v>46037</v>
      </c>
      <c r="B63" s="387" t="s">
        <v>1018</v>
      </c>
      <c r="C63" s="252">
        <v>2</v>
      </c>
      <c r="D63" s="388">
        <v>240172</v>
      </c>
      <c r="F63" s="387" t="s">
        <v>1020</v>
      </c>
      <c r="I63" s="386">
        <v>473399</v>
      </c>
    </row>
    <row r="64" spans="1:11" hidden="1" x14ac:dyDescent="0.3">
      <c r="A64" s="418">
        <v>46037</v>
      </c>
      <c r="B64" s="387" t="s">
        <v>1018</v>
      </c>
      <c r="C64" s="252">
        <v>2</v>
      </c>
      <c r="D64" s="388">
        <v>240184</v>
      </c>
      <c r="F64" s="387" t="s">
        <v>1017</v>
      </c>
      <c r="I64" s="386">
        <v>167504.35</v>
      </c>
    </row>
    <row r="65" spans="1:10" hidden="1" x14ac:dyDescent="0.3">
      <c r="A65" s="418">
        <v>46037</v>
      </c>
      <c r="B65" s="387" t="s">
        <v>1018</v>
      </c>
      <c r="C65" s="252">
        <v>2</v>
      </c>
      <c r="D65" s="388">
        <v>240186</v>
      </c>
      <c r="F65" s="387" t="s">
        <v>1020</v>
      </c>
      <c r="I65" s="386">
        <v>290262.71999999997</v>
      </c>
    </row>
    <row r="66" spans="1:10" hidden="1" x14ac:dyDescent="0.3">
      <c r="A66" s="418">
        <v>46037</v>
      </c>
      <c r="B66" s="387" t="s">
        <v>1018</v>
      </c>
      <c r="C66" s="252">
        <v>2</v>
      </c>
      <c r="D66" s="388">
        <v>240196</v>
      </c>
      <c r="F66" s="387" t="s">
        <v>1024</v>
      </c>
      <c r="I66" s="386">
        <v>23162.16</v>
      </c>
    </row>
    <row r="67" spans="1:10" hidden="1" x14ac:dyDescent="0.3">
      <c r="A67" s="418">
        <v>46037</v>
      </c>
      <c r="B67" s="387" t="s">
        <v>1023</v>
      </c>
      <c r="C67" s="252">
        <v>2</v>
      </c>
      <c r="D67" s="388">
        <v>856</v>
      </c>
      <c r="F67" s="387" t="s">
        <v>1020</v>
      </c>
      <c r="I67" s="386">
        <v>-91874.82</v>
      </c>
    </row>
    <row r="68" spans="1:10" hidden="1" x14ac:dyDescent="0.3">
      <c r="A68" s="418">
        <v>46051</v>
      </c>
      <c r="B68" s="387" t="s">
        <v>1021</v>
      </c>
      <c r="C68" s="252">
        <v>2</v>
      </c>
      <c r="D68" s="388">
        <v>15022</v>
      </c>
      <c r="F68" s="387" t="s">
        <v>1020</v>
      </c>
      <c r="I68" s="386">
        <v>14481.39</v>
      </c>
    </row>
    <row r="69" spans="1:10" hidden="1" x14ac:dyDescent="0.3">
      <c r="A69" s="418">
        <v>46038</v>
      </c>
      <c r="B69" s="387" t="s">
        <v>1018</v>
      </c>
      <c r="C69" s="252">
        <v>2</v>
      </c>
      <c r="D69" s="388">
        <v>240228</v>
      </c>
      <c r="F69" s="387" t="s">
        <v>1024</v>
      </c>
      <c r="I69" s="386">
        <v>284706.12</v>
      </c>
    </row>
    <row r="70" spans="1:10" hidden="1" x14ac:dyDescent="0.3">
      <c r="A70" s="418">
        <v>46041</v>
      </c>
      <c r="B70" s="387" t="s">
        <v>1018</v>
      </c>
      <c r="C70" s="252">
        <v>2</v>
      </c>
      <c r="D70" s="388">
        <v>240259</v>
      </c>
      <c r="F70" s="387" t="s">
        <v>1020</v>
      </c>
      <c r="I70" s="386">
        <v>344594.79</v>
      </c>
    </row>
    <row r="71" spans="1:10" hidden="1" x14ac:dyDescent="0.3">
      <c r="A71" s="418">
        <v>46042</v>
      </c>
      <c r="B71" s="387" t="s">
        <v>1018</v>
      </c>
      <c r="C71" s="252">
        <v>2</v>
      </c>
      <c r="D71" s="388">
        <v>272407</v>
      </c>
      <c r="F71" s="387" t="s">
        <v>1017</v>
      </c>
      <c r="I71" s="386">
        <v>27351.53</v>
      </c>
    </row>
    <row r="72" spans="1:10" hidden="1" x14ac:dyDescent="0.3">
      <c r="A72" s="418">
        <v>46042</v>
      </c>
      <c r="B72" s="387" t="s">
        <v>1018</v>
      </c>
      <c r="C72" s="252">
        <v>2</v>
      </c>
      <c r="D72" s="388">
        <v>272433</v>
      </c>
      <c r="F72" s="387" t="s">
        <v>1017</v>
      </c>
      <c r="I72" s="386">
        <v>21316.41</v>
      </c>
    </row>
    <row r="73" spans="1:10" hidden="1" x14ac:dyDescent="0.3">
      <c r="A73" s="418">
        <v>46042</v>
      </c>
      <c r="B73" s="387" t="s">
        <v>1018</v>
      </c>
      <c r="C73" s="252">
        <v>2</v>
      </c>
      <c r="D73" s="388">
        <v>272434</v>
      </c>
      <c r="F73" s="387" t="s">
        <v>1017</v>
      </c>
      <c r="I73" s="386">
        <v>1727.1000000000001</v>
      </c>
    </row>
    <row r="74" spans="1:10" hidden="1" x14ac:dyDescent="0.3">
      <c r="A74" s="418">
        <v>46042</v>
      </c>
      <c r="B74" s="387" t="s">
        <v>1018</v>
      </c>
      <c r="C74" s="252">
        <v>2</v>
      </c>
      <c r="D74" s="388">
        <v>272440</v>
      </c>
      <c r="F74" s="387" t="s">
        <v>1024</v>
      </c>
      <c r="I74" s="386">
        <v>48712.81</v>
      </c>
    </row>
    <row r="75" spans="1:10" hidden="1" x14ac:dyDescent="0.3">
      <c r="A75" s="418">
        <v>46042</v>
      </c>
      <c r="B75" s="387" t="s">
        <v>1018</v>
      </c>
      <c r="C75" s="252">
        <v>2</v>
      </c>
      <c r="D75" s="388">
        <v>272446</v>
      </c>
      <c r="F75" s="387" t="s">
        <v>1024</v>
      </c>
      <c r="I75" s="386">
        <v>251043.37</v>
      </c>
    </row>
    <row r="76" spans="1:10" s="364" customFormat="1" x14ac:dyDescent="0.3">
      <c r="A76" s="419">
        <v>46042</v>
      </c>
      <c r="B76" s="420" t="s">
        <v>1018</v>
      </c>
      <c r="C76" s="421">
        <v>2</v>
      </c>
      <c r="D76" s="422">
        <v>272448</v>
      </c>
      <c r="F76" s="420" t="s">
        <v>1024</v>
      </c>
      <c r="I76" s="423">
        <v>2191081.48</v>
      </c>
      <c r="J76" s="364" t="s">
        <v>41</v>
      </c>
    </row>
    <row r="77" spans="1:10" hidden="1" x14ac:dyDescent="0.3">
      <c r="A77" s="418">
        <v>46028</v>
      </c>
      <c r="B77" s="387" t="s">
        <v>1021</v>
      </c>
      <c r="C77" s="252">
        <v>2</v>
      </c>
      <c r="D77" s="388">
        <v>15005</v>
      </c>
      <c r="F77" s="387" t="s">
        <v>1024</v>
      </c>
      <c r="I77" s="386">
        <v>13465.84</v>
      </c>
    </row>
    <row r="78" spans="1:10" hidden="1" x14ac:dyDescent="0.3">
      <c r="A78" s="418">
        <v>46044</v>
      </c>
      <c r="B78" s="387" t="s">
        <v>1018</v>
      </c>
      <c r="C78" s="252">
        <v>2</v>
      </c>
      <c r="D78" s="388">
        <v>272561</v>
      </c>
      <c r="F78" s="387" t="s">
        <v>1020</v>
      </c>
      <c r="I78" s="386">
        <v>367768.39</v>
      </c>
    </row>
    <row r="79" spans="1:10" hidden="1" x14ac:dyDescent="0.3">
      <c r="A79" s="418">
        <v>46028</v>
      </c>
      <c r="B79" s="387" t="s">
        <v>1021</v>
      </c>
      <c r="C79" s="252">
        <v>2</v>
      </c>
      <c r="D79" s="388">
        <v>15006</v>
      </c>
      <c r="F79" s="387" t="s">
        <v>1024</v>
      </c>
      <c r="I79" s="386">
        <v>13465.84</v>
      </c>
    </row>
    <row r="80" spans="1:10" hidden="1" x14ac:dyDescent="0.3">
      <c r="A80" s="418">
        <v>46028</v>
      </c>
      <c r="B80" s="387" t="s">
        <v>1021</v>
      </c>
      <c r="C80" s="252">
        <v>2</v>
      </c>
      <c r="D80" s="388">
        <v>15008</v>
      </c>
      <c r="F80" s="387" t="s">
        <v>1024</v>
      </c>
      <c r="I80" s="386">
        <v>12196.42</v>
      </c>
    </row>
    <row r="81" spans="1:11" hidden="1" x14ac:dyDescent="0.3">
      <c r="A81" s="418">
        <v>46045</v>
      </c>
      <c r="B81" s="387" t="s">
        <v>1018</v>
      </c>
      <c r="C81" s="252">
        <v>2</v>
      </c>
      <c r="D81" s="388">
        <v>272582</v>
      </c>
      <c r="F81" s="387" t="s">
        <v>1017</v>
      </c>
      <c r="I81" s="386">
        <v>165777.25</v>
      </c>
    </row>
    <row r="82" spans="1:11" s="364" customFormat="1" x14ac:dyDescent="0.3">
      <c r="A82" s="419">
        <v>46045</v>
      </c>
      <c r="B82" s="420" t="s">
        <v>1018</v>
      </c>
      <c r="C82" s="421">
        <v>2</v>
      </c>
      <c r="D82" s="422">
        <v>272589</v>
      </c>
      <c r="F82" s="420" t="s">
        <v>1017</v>
      </c>
      <c r="I82" s="423">
        <v>474362.73</v>
      </c>
      <c r="J82" s="364" t="s">
        <v>41</v>
      </c>
      <c r="K82" s="364" t="s">
        <v>8372</v>
      </c>
    </row>
    <row r="83" spans="1:11" s="364" customFormat="1" x14ac:dyDescent="0.3">
      <c r="A83" s="419">
        <v>46045</v>
      </c>
      <c r="B83" s="420" t="s">
        <v>1018</v>
      </c>
      <c r="C83" s="421">
        <v>2</v>
      </c>
      <c r="D83" s="422">
        <v>272617</v>
      </c>
      <c r="F83" s="420" t="s">
        <v>1020</v>
      </c>
      <c r="I83" s="423">
        <v>270417.89</v>
      </c>
      <c r="J83" s="364" t="s">
        <v>41</v>
      </c>
      <c r="K83" s="364" t="s">
        <v>8372</v>
      </c>
    </row>
    <row r="84" spans="1:11" hidden="1" x14ac:dyDescent="0.3">
      <c r="A84" s="418">
        <v>46034</v>
      </c>
      <c r="B84" s="387" t="s">
        <v>1021</v>
      </c>
      <c r="C84" s="252">
        <v>2</v>
      </c>
      <c r="D84" s="388">
        <v>15014</v>
      </c>
      <c r="F84" s="387" t="s">
        <v>1024</v>
      </c>
      <c r="I84" s="386">
        <v>11111.92</v>
      </c>
    </row>
    <row r="85" spans="1:11" hidden="1" x14ac:dyDescent="0.3">
      <c r="A85" s="418">
        <v>46048</v>
      </c>
      <c r="B85" s="387" t="s">
        <v>1018</v>
      </c>
      <c r="C85" s="252">
        <v>2</v>
      </c>
      <c r="D85" s="388">
        <v>272658</v>
      </c>
      <c r="F85" s="387" t="s">
        <v>1017</v>
      </c>
      <c r="I85" s="386">
        <v>515964.25</v>
      </c>
    </row>
    <row r="86" spans="1:11" hidden="1" x14ac:dyDescent="0.3">
      <c r="A86" s="418">
        <v>46050</v>
      </c>
      <c r="B86" s="387" t="s">
        <v>1018</v>
      </c>
      <c r="C86" s="252">
        <v>2</v>
      </c>
      <c r="D86" s="388">
        <v>272778</v>
      </c>
      <c r="F86" s="387" t="s">
        <v>1017</v>
      </c>
      <c r="I86" s="386">
        <v>45854.92</v>
      </c>
    </row>
    <row r="87" spans="1:11" hidden="1" x14ac:dyDescent="0.3">
      <c r="A87" s="418">
        <v>46035</v>
      </c>
      <c r="B87" s="387" t="s">
        <v>1021</v>
      </c>
      <c r="C87" s="252">
        <v>2</v>
      </c>
      <c r="D87" s="388">
        <v>15015</v>
      </c>
      <c r="F87" s="387" t="s">
        <v>1025</v>
      </c>
      <c r="I87" s="386">
        <v>8130.99</v>
      </c>
    </row>
    <row r="88" spans="1:11" hidden="1" x14ac:dyDescent="0.3">
      <c r="A88" s="418">
        <v>46051</v>
      </c>
      <c r="B88" s="387" t="s">
        <v>1018</v>
      </c>
      <c r="C88" s="252">
        <v>2</v>
      </c>
      <c r="D88" s="388">
        <v>272812</v>
      </c>
      <c r="F88" s="387" t="s">
        <v>1017</v>
      </c>
      <c r="I88" s="386">
        <v>27351.53</v>
      </c>
    </row>
    <row r="89" spans="1:11" hidden="1" x14ac:dyDescent="0.3">
      <c r="A89" s="418">
        <v>46051</v>
      </c>
      <c r="B89" s="387" t="s">
        <v>1018</v>
      </c>
      <c r="C89" s="252">
        <v>2</v>
      </c>
      <c r="D89" s="388">
        <v>272834</v>
      </c>
      <c r="F89" s="387" t="s">
        <v>1020</v>
      </c>
      <c r="I89" s="386">
        <v>474362.73</v>
      </c>
    </row>
    <row r="90" spans="1:11" hidden="1" x14ac:dyDescent="0.3">
      <c r="A90" s="418">
        <v>46051</v>
      </c>
      <c r="B90" s="387" t="s">
        <v>1016</v>
      </c>
      <c r="C90" s="252">
        <v>2</v>
      </c>
      <c r="D90" s="388">
        <v>195006</v>
      </c>
      <c r="F90" s="387" t="s">
        <v>303</v>
      </c>
      <c r="I90" s="386">
        <v>-1542710.6</v>
      </c>
    </row>
    <row r="91" spans="1:11" ht="13.5" x14ac:dyDescent="0.3">
      <c r="H91" s="385" t="s">
        <v>199</v>
      </c>
      <c r="I91" s="384">
        <v>13366668.33</v>
      </c>
    </row>
    <row r="92" spans="1:11" x14ac:dyDescent="0.3">
      <c r="J92" s="360" t="s">
        <v>8357</v>
      </c>
    </row>
  </sheetData>
  <autoFilter ref="A6:I90" xr:uid="{D451B9AB-563E-40DD-BCA1-9462978A1F5D}">
    <filterColumn colId="1">
      <colorFilter dxfId="2"/>
    </filterColumn>
    <sortState xmlns:xlrd2="http://schemas.microsoft.com/office/spreadsheetml/2017/richdata2" ref="A7:I87">
      <sortCondition descending="1" ref="I6:I90"/>
    </sortState>
  </autoFilter>
  <pageMargins left="0.24996875390576173" right="0.24996875390576173" top="0.24996875390576173" bottom="0.24996875390576173" header="1.1126244600256519E-308" footer="0.24996875390576173"/>
  <pageSetup paperSize="0" scale="9" orientation="portrait" errors="NA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D092-CB14-4B7B-AEFF-0AB9B91B2B46}">
  <sheetPr filterMode="1">
    <tabColor rgb="FFFF0000"/>
  </sheetPr>
  <dimension ref="A1:L14"/>
  <sheetViews>
    <sheetView workbookViewId="0">
      <selection activeCell="F21" sqref="F21"/>
    </sheetView>
  </sheetViews>
  <sheetFormatPr baseColWidth="10" defaultRowHeight="13" x14ac:dyDescent="0.3"/>
  <cols>
    <col min="1" max="4" width="10.6328125" style="246" customWidth="1"/>
    <col min="5" max="5" width="13.90625" style="246" customWidth="1"/>
    <col min="6" max="6" width="10.6328125" style="246" customWidth="1"/>
    <col min="7" max="7" width="13.81640625" style="246" bestFit="1" customWidth="1"/>
    <col min="8" max="9" width="10.6328125" style="246" customWidth="1"/>
    <col min="10" max="10" width="15.36328125" style="246" customWidth="1"/>
    <col min="11" max="11" width="13.90625" style="246" customWidth="1"/>
    <col min="12" max="28" width="10.6328125" style="246" customWidth="1"/>
    <col min="29" max="29" width="159.1796875" style="246" customWidth="1"/>
    <col min="30" max="86" width="10.6328125" style="246" customWidth="1"/>
    <col min="87" max="87" width="159.1796875" style="246" customWidth="1"/>
    <col min="88" max="144" width="10.6328125" style="246" customWidth="1"/>
    <col min="145" max="145" width="159.1796875" style="246" customWidth="1"/>
    <col min="146" max="202" width="10.6328125" style="246" customWidth="1"/>
    <col min="203" max="203" width="159.1796875" style="246" customWidth="1"/>
    <col min="204" max="255" width="10.6328125" style="246" customWidth="1"/>
    <col min="256" max="16384" width="10.90625" style="246"/>
  </cols>
  <sheetData>
    <row r="1" spans="1:12" ht="13.5" x14ac:dyDescent="0.3">
      <c r="A1" s="378" t="s">
        <v>190</v>
      </c>
    </row>
    <row r="2" spans="1:12" x14ac:dyDescent="0.3">
      <c r="A2" s="363" t="s">
        <v>189</v>
      </c>
    </row>
    <row r="3" spans="1:12" ht="15" x14ac:dyDescent="0.3">
      <c r="F3" s="377" t="s">
        <v>188</v>
      </c>
    </row>
    <row r="5" spans="1:12" x14ac:dyDescent="0.3">
      <c r="F5" s="361" t="s">
        <v>929</v>
      </c>
    </row>
    <row r="6" spans="1:12" x14ac:dyDescent="0.3">
      <c r="A6" s="376" t="s">
        <v>2</v>
      </c>
      <c r="C6" s="371" t="s">
        <v>176</v>
      </c>
      <c r="D6" s="372" t="s">
        <v>177</v>
      </c>
      <c r="E6" s="372" t="s">
        <v>187</v>
      </c>
      <c r="G6" s="372" t="s">
        <v>186</v>
      </c>
      <c r="I6" s="371" t="s">
        <v>185</v>
      </c>
      <c r="K6" s="376" t="s">
        <v>1026</v>
      </c>
      <c r="L6" s="246" t="s">
        <v>777</v>
      </c>
    </row>
    <row r="7" spans="1:12" x14ac:dyDescent="0.3">
      <c r="A7" s="375">
        <v>46056</v>
      </c>
      <c r="C7" s="374" t="s">
        <v>8332</v>
      </c>
      <c r="D7" s="373" t="s">
        <v>183</v>
      </c>
      <c r="E7" s="373" t="s">
        <v>927</v>
      </c>
      <c r="G7" s="373" t="s">
        <v>8331</v>
      </c>
      <c r="I7" s="366">
        <f>SUBTOTAL(9,I9:I11)</f>
        <v>0</v>
      </c>
      <c r="J7" s="365">
        <v>1079596.19</v>
      </c>
      <c r="K7" s="255" t="s">
        <v>41</v>
      </c>
      <c r="L7" s="246" t="s">
        <v>8327</v>
      </c>
    </row>
    <row r="8" spans="1:12" hidden="1" x14ac:dyDescent="0.3">
      <c r="C8" s="371" t="s">
        <v>926</v>
      </c>
      <c r="D8" s="372" t="s">
        <v>206</v>
      </c>
      <c r="E8" s="372" t="s">
        <v>326</v>
      </c>
      <c r="F8" s="372" t="s">
        <v>925</v>
      </c>
      <c r="I8" s="371" t="s">
        <v>202</v>
      </c>
      <c r="K8" s="371" t="s">
        <v>924</v>
      </c>
    </row>
    <row r="9" spans="1:12" hidden="1" x14ac:dyDescent="0.3">
      <c r="B9" s="252">
        <v>1</v>
      </c>
      <c r="C9" s="370" t="s">
        <v>7693</v>
      </c>
      <c r="D9" s="370" t="s">
        <v>191</v>
      </c>
      <c r="E9" s="370" t="s">
        <v>7692</v>
      </c>
      <c r="I9" s="369">
        <v>3</v>
      </c>
      <c r="J9" s="368">
        <v>657189.36</v>
      </c>
    </row>
    <row r="10" spans="1:12" hidden="1" x14ac:dyDescent="0.3">
      <c r="B10" s="252">
        <v>1</v>
      </c>
      <c r="C10" s="370" t="s">
        <v>8330</v>
      </c>
      <c r="D10" s="370" t="s">
        <v>191</v>
      </c>
      <c r="E10" s="370" t="s">
        <v>8329</v>
      </c>
      <c r="I10" s="369">
        <v>1</v>
      </c>
      <c r="J10" s="368">
        <v>97537.85</v>
      </c>
    </row>
    <row r="11" spans="1:12" hidden="1" x14ac:dyDescent="0.3">
      <c r="B11" s="252">
        <v>1</v>
      </c>
      <c r="C11" s="370" t="s">
        <v>7371</v>
      </c>
      <c r="D11" s="370" t="s">
        <v>191</v>
      </c>
      <c r="E11" s="370" t="s">
        <v>7370</v>
      </c>
      <c r="I11" s="369">
        <v>2</v>
      </c>
      <c r="J11" s="368">
        <v>324868.98</v>
      </c>
    </row>
    <row r="12" spans="1:12" hidden="1" x14ac:dyDescent="0.3">
      <c r="F12" s="367" t="s">
        <v>182</v>
      </c>
      <c r="H12" s="366">
        <f>SUBTOTAL(9,I7:I11)</f>
        <v>0</v>
      </c>
      <c r="I12" s="365">
        <v>1079596.19</v>
      </c>
    </row>
    <row r="13" spans="1:12" hidden="1" x14ac:dyDescent="0.3">
      <c r="J13" s="360" t="s">
        <v>8328</v>
      </c>
    </row>
    <row r="14" spans="1:12" x14ac:dyDescent="0.3">
      <c r="K14" s="379">
        <v>1</v>
      </c>
    </row>
  </sheetData>
  <autoFilter ref="A6:K13" xr:uid="{D4D21D8F-4E98-4C53-BDB7-464687D8E18D}">
    <filterColumn colId="0">
      <customFilters>
        <customFilter operator="notEqual" val=" "/>
      </customFilters>
    </filterColumn>
  </autoFilter>
  <pageMargins left="0.24996875390576173" right="0.24996875390576173" top="0.24996875390576173" bottom="0.24996875390576173" header="1.1126244600256519E-308" footer="0.24996875390576173"/>
  <pageSetup paperSize="0" scale="9" orientation="portrait" errors="NA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112"/>
  <sheetViews>
    <sheetView zoomScale="90" zoomScaleNormal="90" zoomScaleSheetLayoutView="70" workbookViewId="0">
      <selection activeCell="B37" sqref="B37"/>
    </sheetView>
  </sheetViews>
  <sheetFormatPr baseColWidth="10" defaultRowHeight="14.5" x14ac:dyDescent="0.35"/>
  <cols>
    <col min="1" max="1" width="7.26953125" style="116" customWidth="1"/>
    <col min="2" max="2" width="40.26953125" style="116" customWidth="1"/>
    <col min="3" max="3" width="21.1796875" style="116" customWidth="1"/>
    <col min="4" max="5" width="16.81640625" style="116" customWidth="1"/>
    <col min="6" max="6" width="14.453125" style="116" customWidth="1"/>
    <col min="7" max="8" width="16.81640625" style="116" customWidth="1"/>
    <col min="9" max="9" width="24.453125" style="116" customWidth="1"/>
    <col min="10" max="10" width="16.81640625" style="116" customWidth="1"/>
    <col min="11" max="11" width="2.453125" style="116" customWidth="1"/>
    <col min="12" max="250" width="11.453125" style="116"/>
    <col min="251" max="251" width="9.453125" style="116" customWidth="1"/>
    <col min="252" max="252" width="14.7265625" style="116" customWidth="1"/>
    <col min="253" max="253" width="13.7265625" style="116" customWidth="1"/>
    <col min="254" max="258" width="17.7265625" style="116" customWidth="1"/>
    <col min="259" max="259" width="4" style="116" customWidth="1"/>
    <col min="260" max="260" width="12" style="116" customWidth="1"/>
    <col min="261" max="506" width="11.453125" style="116"/>
    <col min="507" max="507" width="9.453125" style="116" customWidth="1"/>
    <col min="508" max="508" width="14.7265625" style="116" customWidth="1"/>
    <col min="509" max="509" width="13.7265625" style="116" customWidth="1"/>
    <col min="510" max="514" width="17.7265625" style="116" customWidth="1"/>
    <col min="515" max="515" width="4" style="116" customWidth="1"/>
    <col min="516" max="516" width="12" style="116" customWidth="1"/>
    <col min="517" max="762" width="11.453125" style="116"/>
    <col min="763" max="763" width="9.453125" style="116" customWidth="1"/>
    <col min="764" max="764" width="14.7265625" style="116" customWidth="1"/>
    <col min="765" max="765" width="13.7265625" style="116" customWidth="1"/>
    <col min="766" max="770" width="17.7265625" style="116" customWidth="1"/>
    <col min="771" max="771" width="4" style="116" customWidth="1"/>
    <col min="772" max="772" width="12" style="116" customWidth="1"/>
    <col min="773" max="1018" width="11.453125" style="116"/>
    <col min="1019" max="1019" width="9.453125" style="116" customWidth="1"/>
    <col min="1020" max="1020" width="14.7265625" style="116" customWidth="1"/>
    <col min="1021" max="1021" width="13.7265625" style="116" customWidth="1"/>
    <col min="1022" max="1026" width="17.7265625" style="116" customWidth="1"/>
    <col min="1027" max="1027" width="4" style="116" customWidth="1"/>
    <col min="1028" max="1028" width="12" style="116" customWidth="1"/>
    <col min="1029" max="1274" width="11.453125" style="116"/>
    <col min="1275" max="1275" width="9.453125" style="116" customWidth="1"/>
    <col min="1276" max="1276" width="14.7265625" style="116" customWidth="1"/>
    <col min="1277" max="1277" width="13.7265625" style="116" customWidth="1"/>
    <col min="1278" max="1282" width="17.7265625" style="116" customWidth="1"/>
    <col min="1283" max="1283" width="4" style="116" customWidth="1"/>
    <col min="1284" max="1284" width="12" style="116" customWidth="1"/>
    <col min="1285" max="1530" width="11.453125" style="116"/>
    <col min="1531" max="1531" width="9.453125" style="116" customWidth="1"/>
    <col min="1532" max="1532" width="14.7265625" style="116" customWidth="1"/>
    <col min="1533" max="1533" width="13.7265625" style="116" customWidth="1"/>
    <col min="1534" max="1538" width="17.7265625" style="116" customWidth="1"/>
    <col min="1539" max="1539" width="4" style="116" customWidth="1"/>
    <col min="1540" max="1540" width="12" style="116" customWidth="1"/>
    <col min="1541" max="1786" width="11.453125" style="116"/>
    <col min="1787" max="1787" width="9.453125" style="116" customWidth="1"/>
    <col min="1788" max="1788" width="14.7265625" style="116" customWidth="1"/>
    <col min="1789" max="1789" width="13.7265625" style="116" customWidth="1"/>
    <col min="1790" max="1794" width="17.7265625" style="116" customWidth="1"/>
    <col min="1795" max="1795" width="4" style="116" customWidth="1"/>
    <col min="1796" max="1796" width="12" style="116" customWidth="1"/>
    <col min="1797" max="2042" width="11.453125" style="116"/>
    <col min="2043" max="2043" width="9.453125" style="116" customWidth="1"/>
    <col min="2044" max="2044" width="14.7265625" style="116" customWidth="1"/>
    <col min="2045" max="2045" width="13.7265625" style="116" customWidth="1"/>
    <col min="2046" max="2050" width="17.7265625" style="116" customWidth="1"/>
    <col min="2051" max="2051" width="4" style="116" customWidth="1"/>
    <col min="2052" max="2052" width="12" style="116" customWidth="1"/>
    <col min="2053" max="2298" width="11.453125" style="116"/>
    <col min="2299" max="2299" width="9.453125" style="116" customWidth="1"/>
    <col min="2300" max="2300" width="14.7265625" style="116" customWidth="1"/>
    <col min="2301" max="2301" width="13.7265625" style="116" customWidth="1"/>
    <col min="2302" max="2306" width="17.7265625" style="116" customWidth="1"/>
    <col min="2307" max="2307" width="4" style="116" customWidth="1"/>
    <col min="2308" max="2308" width="12" style="116" customWidth="1"/>
    <col min="2309" max="2554" width="11.453125" style="116"/>
    <col min="2555" max="2555" width="9.453125" style="116" customWidth="1"/>
    <col min="2556" max="2556" width="14.7265625" style="116" customWidth="1"/>
    <col min="2557" max="2557" width="13.7265625" style="116" customWidth="1"/>
    <col min="2558" max="2562" width="17.7265625" style="116" customWidth="1"/>
    <col min="2563" max="2563" width="4" style="116" customWidth="1"/>
    <col min="2564" max="2564" width="12" style="116" customWidth="1"/>
    <col min="2565" max="2810" width="11.453125" style="116"/>
    <col min="2811" max="2811" width="9.453125" style="116" customWidth="1"/>
    <col min="2812" max="2812" width="14.7265625" style="116" customWidth="1"/>
    <col min="2813" max="2813" width="13.7265625" style="116" customWidth="1"/>
    <col min="2814" max="2818" width="17.7265625" style="116" customWidth="1"/>
    <col min="2819" max="2819" width="4" style="116" customWidth="1"/>
    <col min="2820" max="2820" width="12" style="116" customWidth="1"/>
    <col min="2821" max="3066" width="11.453125" style="116"/>
    <col min="3067" max="3067" width="9.453125" style="116" customWidth="1"/>
    <col min="3068" max="3068" width="14.7265625" style="116" customWidth="1"/>
    <col min="3069" max="3069" width="13.7265625" style="116" customWidth="1"/>
    <col min="3070" max="3074" width="17.7265625" style="116" customWidth="1"/>
    <col min="3075" max="3075" width="4" style="116" customWidth="1"/>
    <col min="3076" max="3076" width="12" style="116" customWidth="1"/>
    <col min="3077" max="3322" width="11.453125" style="116"/>
    <col min="3323" max="3323" width="9.453125" style="116" customWidth="1"/>
    <col min="3324" max="3324" width="14.7265625" style="116" customWidth="1"/>
    <col min="3325" max="3325" width="13.7265625" style="116" customWidth="1"/>
    <col min="3326" max="3330" width="17.7265625" style="116" customWidth="1"/>
    <col min="3331" max="3331" width="4" style="116" customWidth="1"/>
    <col min="3332" max="3332" width="12" style="116" customWidth="1"/>
    <col min="3333" max="3578" width="11.453125" style="116"/>
    <col min="3579" max="3579" width="9.453125" style="116" customWidth="1"/>
    <col min="3580" max="3580" width="14.7265625" style="116" customWidth="1"/>
    <col min="3581" max="3581" width="13.7265625" style="116" customWidth="1"/>
    <col min="3582" max="3586" width="17.7265625" style="116" customWidth="1"/>
    <col min="3587" max="3587" width="4" style="116" customWidth="1"/>
    <col min="3588" max="3588" width="12" style="116" customWidth="1"/>
    <col min="3589" max="3834" width="11.453125" style="116"/>
    <col min="3835" max="3835" width="9.453125" style="116" customWidth="1"/>
    <col min="3836" max="3836" width="14.7265625" style="116" customWidth="1"/>
    <col min="3837" max="3837" width="13.7265625" style="116" customWidth="1"/>
    <col min="3838" max="3842" width="17.7265625" style="116" customWidth="1"/>
    <col min="3843" max="3843" width="4" style="116" customWidth="1"/>
    <col min="3844" max="3844" width="12" style="116" customWidth="1"/>
    <col min="3845" max="4090" width="11.453125" style="116"/>
    <col min="4091" max="4091" width="9.453125" style="116" customWidth="1"/>
    <col min="4092" max="4092" width="14.7265625" style="116" customWidth="1"/>
    <col min="4093" max="4093" width="13.7265625" style="116" customWidth="1"/>
    <col min="4094" max="4098" width="17.7265625" style="116" customWidth="1"/>
    <col min="4099" max="4099" width="4" style="116" customWidth="1"/>
    <col min="4100" max="4100" width="12" style="116" customWidth="1"/>
    <col min="4101" max="4346" width="11.453125" style="116"/>
    <col min="4347" max="4347" width="9.453125" style="116" customWidth="1"/>
    <col min="4348" max="4348" width="14.7265625" style="116" customWidth="1"/>
    <col min="4349" max="4349" width="13.7265625" style="116" customWidth="1"/>
    <col min="4350" max="4354" width="17.7265625" style="116" customWidth="1"/>
    <col min="4355" max="4355" width="4" style="116" customWidth="1"/>
    <col min="4356" max="4356" width="12" style="116" customWidth="1"/>
    <col min="4357" max="4602" width="11.453125" style="116"/>
    <col min="4603" max="4603" width="9.453125" style="116" customWidth="1"/>
    <col min="4604" max="4604" width="14.7265625" style="116" customWidth="1"/>
    <col min="4605" max="4605" width="13.7265625" style="116" customWidth="1"/>
    <col min="4606" max="4610" width="17.7265625" style="116" customWidth="1"/>
    <col min="4611" max="4611" width="4" style="116" customWidth="1"/>
    <col min="4612" max="4612" width="12" style="116" customWidth="1"/>
    <col min="4613" max="4858" width="11.453125" style="116"/>
    <col min="4859" max="4859" width="9.453125" style="116" customWidth="1"/>
    <col min="4860" max="4860" width="14.7265625" style="116" customWidth="1"/>
    <col min="4861" max="4861" width="13.7265625" style="116" customWidth="1"/>
    <col min="4862" max="4866" width="17.7265625" style="116" customWidth="1"/>
    <col min="4867" max="4867" width="4" style="116" customWidth="1"/>
    <col min="4868" max="4868" width="12" style="116" customWidth="1"/>
    <col min="4869" max="5114" width="11.453125" style="116"/>
    <col min="5115" max="5115" width="9.453125" style="116" customWidth="1"/>
    <col min="5116" max="5116" width="14.7265625" style="116" customWidth="1"/>
    <col min="5117" max="5117" width="13.7265625" style="116" customWidth="1"/>
    <col min="5118" max="5122" width="17.7265625" style="116" customWidth="1"/>
    <col min="5123" max="5123" width="4" style="116" customWidth="1"/>
    <col min="5124" max="5124" width="12" style="116" customWidth="1"/>
    <col min="5125" max="5370" width="11.453125" style="116"/>
    <col min="5371" max="5371" width="9.453125" style="116" customWidth="1"/>
    <col min="5372" max="5372" width="14.7265625" style="116" customWidth="1"/>
    <col min="5373" max="5373" width="13.7265625" style="116" customWidth="1"/>
    <col min="5374" max="5378" width="17.7265625" style="116" customWidth="1"/>
    <col min="5379" max="5379" width="4" style="116" customWidth="1"/>
    <col min="5380" max="5380" width="12" style="116" customWidth="1"/>
    <col min="5381" max="5626" width="11.453125" style="116"/>
    <col min="5627" max="5627" width="9.453125" style="116" customWidth="1"/>
    <col min="5628" max="5628" width="14.7265625" style="116" customWidth="1"/>
    <col min="5629" max="5629" width="13.7265625" style="116" customWidth="1"/>
    <col min="5630" max="5634" width="17.7265625" style="116" customWidth="1"/>
    <col min="5635" max="5635" width="4" style="116" customWidth="1"/>
    <col min="5636" max="5636" width="12" style="116" customWidth="1"/>
    <col min="5637" max="5882" width="11.453125" style="116"/>
    <col min="5883" max="5883" width="9.453125" style="116" customWidth="1"/>
    <col min="5884" max="5884" width="14.7265625" style="116" customWidth="1"/>
    <col min="5885" max="5885" width="13.7265625" style="116" customWidth="1"/>
    <col min="5886" max="5890" width="17.7265625" style="116" customWidth="1"/>
    <col min="5891" max="5891" width="4" style="116" customWidth="1"/>
    <col min="5892" max="5892" width="12" style="116" customWidth="1"/>
    <col min="5893" max="6138" width="11.453125" style="116"/>
    <col min="6139" max="6139" width="9.453125" style="116" customWidth="1"/>
    <col min="6140" max="6140" width="14.7265625" style="116" customWidth="1"/>
    <col min="6141" max="6141" width="13.7265625" style="116" customWidth="1"/>
    <col min="6142" max="6146" width="17.7265625" style="116" customWidth="1"/>
    <col min="6147" max="6147" width="4" style="116" customWidth="1"/>
    <col min="6148" max="6148" width="12" style="116" customWidth="1"/>
    <col min="6149" max="6394" width="11.453125" style="116"/>
    <col min="6395" max="6395" width="9.453125" style="116" customWidth="1"/>
    <col min="6396" max="6396" width="14.7265625" style="116" customWidth="1"/>
    <col min="6397" max="6397" width="13.7265625" style="116" customWidth="1"/>
    <col min="6398" max="6402" width="17.7265625" style="116" customWidth="1"/>
    <col min="6403" max="6403" width="4" style="116" customWidth="1"/>
    <col min="6404" max="6404" width="12" style="116" customWidth="1"/>
    <col min="6405" max="6650" width="11.453125" style="116"/>
    <col min="6651" max="6651" width="9.453125" style="116" customWidth="1"/>
    <col min="6652" max="6652" width="14.7265625" style="116" customWidth="1"/>
    <col min="6653" max="6653" width="13.7265625" style="116" customWidth="1"/>
    <col min="6654" max="6658" width="17.7265625" style="116" customWidth="1"/>
    <col min="6659" max="6659" width="4" style="116" customWidth="1"/>
    <col min="6660" max="6660" width="12" style="116" customWidth="1"/>
    <col min="6661" max="6906" width="11.453125" style="116"/>
    <col min="6907" max="6907" width="9.453125" style="116" customWidth="1"/>
    <col min="6908" max="6908" width="14.7265625" style="116" customWidth="1"/>
    <col min="6909" max="6909" width="13.7265625" style="116" customWidth="1"/>
    <col min="6910" max="6914" width="17.7265625" style="116" customWidth="1"/>
    <col min="6915" max="6915" width="4" style="116" customWidth="1"/>
    <col min="6916" max="6916" width="12" style="116" customWidth="1"/>
    <col min="6917" max="7162" width="11.453125" style="116"/>
    <col min="7163" max="7163" width="9.453125" style="116" customWidth="1"/>
    <col min="7164" max="7164" width="14.7265625" style="116" customWidth="1"/>
    <col min="7165" max="7165" width="13.7265625" style="116" customWidth="1"/>
    <col min="7166" max="7170" width="17.7265625" style="116" customWidth="1"/>
    <col min="7171" max="7171" width="4" style="116" customWidth="1"/>
    <col min="7172" max="7172" width="12" style="116" customWidth="1"/>
    <col min="7173" max="7418" width="11.453125" style="116"/>
    <col min="7419" max="7419" width="9.453125" style="116" customWidth="1"/>
    <col min="7420" max="7420" width="14.7265625" style="116" customWidth="1"/>
    <col min="7421" max="7421" width="13.7265625" style="116" customWidth="1"/>
    <col min="7422" max="7426" width="17.7265625" style="116" customWidth="1"/>
    <col min="7427" max="7427" width="4" style="116" customWidth="1"/>
    <col min="7428" max="7428" width="12" style="116" customWidth="1"/>
    <col min="7429" max="7674" width="11.453125" style="116"/>
    <col min="7675" max="7675" width="9.453125" style="116" customWidth="1"/>
    <col min="7676" max="7676" width="14.7265625" style="116" customWidth="1"/>
    <col min="7677" max="7677" width="13.7265625" style="116" customWidth="1"/>
    <col min="7678" max="7682" width="17.7265625" style="116" customWidth="1"/>
    <col min="7683" max="7683" width="4" style="116" customWidth="1"/>
    <col min="7684" max="7684" width="12" style="116" customWidth="1"/>
    <col min="7685" max="7930" width="11.453125" style="116"/>
    <col min="7931" max="7931" width="9.453125" style="116" customWidth="1"/>
    <col min="7932" max="7932" width="14.7265625" style="116" customWidth="1"/>
    <col min="7933" max="7933" width="13.7265625" style="116" customWidth="1"/>
    <col min="7934" max="7938" width="17.7265625" style="116" customWidth="1"/>
    <col min="7939" max="7939" width="4" style="116" customWidth="1"/>
    <col min="7940" max="7940" width="12" style="116" customWidth="1"/>
    <col min="7941" max="8186" width="11.453125" style="116"/>
    <col min="8187" max="8187" width="9.453125" style="116" customWidth="1"/>
    <col min="8188" max="8188" width="14.7265625" style="116" customWidth="1"/>
    <col min="8189" max="8189" width="13.7265625" style="116" customWidth="1"/>
    <col min="8190" max="8194" width="17.7265625" style="116" customWidth="1"/>
    <col min="8195" max="8195" width="4" style="116" customWidth="1"/>
    <col min="8196" max="8196" width="12" style="116" customWidth="1"/>
    <col min="8197" max="8442" width="11.453125" style="116"/>
    <col min="8443" max="8443" width="9.453125" style="116" customWidth="1"/>
    <col min="8444" max="8444" width="14.7265625" style="116" customWidth="1"/>
    <col min="8445" max="8445" width="13.7265625" style="116" customWidth="1"/>
    <col min="8446" max="8450" width="17.7265625" style="116" customWidth="1"/>
    <col min="8451" max="8451" width="4" style="116" customWidth="1"/>
    <col min="8452" max="8452" width="12" style="116" customWidth="1"/>
    <col min="8453" max="8698" width="11.453125" style="116"/>
    <col min="8699" max="8699" width="9.453125" style="116" customWidth="1"/>
    <col min="8700" max="8700" width="14.7265625" style="116" customWidth="1"/>
    <col min="8701" max="8701" width="13.7265625" style="116" customWidth="1"/>
    <col min="8702" max="8706" width="17.7265625" style="116" customWidth="1"/>
    <col min="8707" max="8707" width="4" style="116" customWidth="1"/>
    <col min="8708" max="8708" width="12" style="116" customWidth="1"/>
    <col min="8709" max="8954" width="11.453125" style="116"/>
    <col min="8955" max="8955" width="9.453125" style="116" customWidth="1"/>
    <col min="8956" max="8956" width="14.7265625" style="116" customWidth="1"/>
    <col min="8957" max="8957" width="13.7265625" style="116" customWidth="1"/>
    <col min="8958" max="8962" width="17.7265625" style="116" customWidth="1"/>
    <col min="8963" max="8963" width="4" style="116" customWidth="1"/>
    <col min="8964" max="8964" width="12" style="116" customWidth="1"/>
    <col min="8965" max="9210" width="11.453125" style="116"/>
    <col min="9211" max="9211" width="9.453125" style="116" customWidth="1"/>
    <col min="9212" max="9212" width="14.7265625" style="116" customWidth="1"/>
    <col min="9213" max="9213" width="13.7265625" style="116" customWidth="1"/>
    <col min="9214" max="9218" width="17.7265625" style="116" customWidth="1"/>
    <col min="9219" max="9219" width="4" style="116" customWidth="1"/>
    <col min="9220" max="9220" width="12" style="116" customWidth="1"/>
    <col min="9221" max="9466" width="11.453125" style="116"/>
    <col min="9467" max="9467" width="9.453125" style="116" customWidth="1"/>
    <col min="9468" max="9468" width="14.7265625" style="116" customWidth="1"/>
    <col min="9469" max="9469" width="13.7265625" style="116" customWidth="1"/>
    <col min="9470" max="9474" width="17.7265625" style="116" customWidth="1"/>
    <col min="9475" max="9475" width="4" style="116" customWidth="1"/>
    <col min="9476" max="9476" width="12" style="116" customWidth="1"/>
    <col min="9477" max="9722" width="11.453125" style="116"/>
    <col min="9723" max="9723" width="9.453125" style="116" customWidth="1"/>
    <col min="9724" max="9724" width="14.7265625" style="116" customWidth="1"/>
    <col min="9725" max="9725" width="13.7265625" style="116" customWidth="1"/>
    <col min="9726" max="9730" width="17.7265625" style="116" customWidth="1"/>
    <col min="9731" max="9731" width="4" style="116" customWidth="1"/>
    <col min="9732" max="9732" width="12" style="116" customWidth="1"/>
    <col min="9733" max="9978" width="11.453125" style="116"/>
    <col min="9979" max="9979" width="9.453125" style="116" customWidth="1"/>
    <col min="9980" max="9980" width="14.7265625" style="116" customWidth="1"/>
    <col min="9981" max="9981" width="13.7265625" style="116" customWidth="1"/>
    <col min="9982" max="9986" width="17.7265625" style="116" customWidth="1"/>
    <col min="9987" max="9987" width="4" style="116" customWidth="1"/>
    <col min="9988" max="9988" width="12" style="116" customWidth="1"/>
    <col min="9989" max="10234" width="11.453125" style="116"/>
    <col min="10235" max="10235" width="9.453125" style="116" customWidth="1"/>
    <col min="10236" max="10236" width="14.7265625" style="116" customWidth="1"/>
    <col min="10237" max="10237" width="13.7265625" style="116" customWidth="1"/>
    <col min="10238" max="10242" width="17.7265625" style="116" customWidth="1"/>
    <col min="10243" max="10243" width="4" style="116" customWidth="1"/>
    <col min="10244" max="10244" width="12" style="116" customWidth="1"/>
    <col min="10245" max="10490" width="11.453125" style="116"/>
    <col min="10491" max="10491" width="9.453125" style="116" customWidth="1"/>
    <col min="10492" max="10492" width="14.7265625" style="116" customWidth="1"/>
    <col min="10493" max="10493" width="13.7265625" style="116" customWidth="1"/>
    <col min="10494" max="10498" width="17.7265625" style="116" customWidth="1"/>
    <col min="10499" max="10499" width="4" style="116" customWidth="1"/>
    <col min="10500" max="10500" width="12" style="116" customWidth="1"/>
    <col min="10501" max="10746" width="11.453125" style="116"/>
    <col min="10747" max="10747" width="9.453125" style="116" customWidth="1"/>
    <col min="10748" max="10748" width="14.7265625" style="116" customWidth="1"/>
    <col min="10749" max="10749" width="13.7265625" style="116" customWidth="1"/>
    <col min="10750" max="10754" width="17.7265625" style="116" customWidth="1"/>
    <col min="10755" max="10755" width="4" style="116" customWidth="1"/>
    <col min="10756" max="10756" width="12" style="116" customWidth="1"/>
    <col min="10757" max="11002" width="11.453125" style="116"/>
    <col min="11003" max="11003" width="9.453125" style="116" customWidth="1"/>
    <col min="11004" max="11004" width="14.7265625" style="116" customWidth="1"/>
    <col min="11005" max="11005" width="13.7265625" style="116" customWidth="1"/>
    <col min="11006" max="11010" width="17.7265625" style="116" customWidth="1"/>
    <col min="11011" max="11011" width="4" style="116" customWidth="1"/>
    <col min="11012" max="11012" width="12" style="116" customWidth="1"/>
    <col min="11013" max="11258" width="11.453125" style="116"/>
    <col min="11259" max="11259" width="9.453125" style="116" customWidth="1"/>
    <col min="11260" max="11260" width="14.7265625" style="116" customWidth="1"/>
    <col min="11261" max="11261" width="13.7265625" style="116" customWidth="1"/>
    <col min="11262" max="11266" width="17.7265625" style="116" customWidth="1"/>
    <col min="11267" max="11267" width="4" style="116" customWidth="1"/>
    <col min="11268" max="11268" width="12" style="116" customWidth="1"/>
    <col min="11269" max="11514" width="11.453125" style="116"/>
    <col min="11515" max="11515" width="9.453125" style="116" customWidth="1"/>
    <col min="11516" max="11516" width="14.7265625" style="116" customWidth="1"/>
    <col min="11517" max="11517" width="13.7265625" style="116" customWidth="1"/>
    <col min="11518" max="11522" width="17.7265625" style="116" customWidth="1"/>
    <col min="11523" max="11523" width="4" style="116" customWidth="1"/>
    <col min="11524" max="11524" width="12" style="116" customWidth="1"/>
    <col min="11525" max="11770" width="11.453125" style="116"/>
    <col min="11771" max="11771" width="9.453125" style="116" customWidth="1"/>
    <col min="11772" max="11772" width="14.7265625" style="116" customWidth="1"/>
    <col min="11773" max="11773" width="13.7265625" style="116" customWidth="1"/>
    <col min="11774" max="11778" width="17.7265625" style="116" customWidth="1"/>
    <col min="11779" max="11779" width="4" style="116" customWidth="1"/>
    <col min="11780" max="11780" width="12" style="116" customWidth="1"/>
    <col min="11781" max="12026" width="11.453125" style="116"/>
    <col min="12027" max="12027" width="9.453125" style="116" customWidth="1"/>
    <col min="12028" max="12028" width="14.7265625" style="116" customWidth="1"/>
    <col min="12029" max="12029" width="13.7265625" style="116" customWidth="1"/>
    <col min="12030" max="12034" width="17.7265625" style="116" customWidth="1"/>
    <col min="12035" max="12035" width="4" style="116" customWidth="1"/>
    <col min="12036" max="12036" width="12" style="116" customWidth="1"/>
    <col min="12037" max="12282" width="11.453125" style="116"/>
    <col min="12283" max="12283" width="9.453125" style="116" customWidth="1"/>
    <col min="12284" max="12284" width="14.7265625" style="116" customWidth="1"/>
    <col min="12285" max="12285" width="13.7265625" style="116" customWidth="1"/>
    <col min="12286" max="12290" width="17.7265625" style="116" customWidth="1"/>
    <col min="12291" max="12291" width="4" style="116" customWidth="1"/>
    <col min="12292" max="12292" width="12" style="116" customWidth="1"/>
    <col min="12293" max="12538" width="11.453125" style="116"/>
    <col min="12539" max="12539" width="9.453125" style="116" customWidth="1"/>
    <col min="12540" max="12540" width="14.7265625" style="116" customWidth="1"/>
    <col min="12541" max="12541" width="13.7265625" style="116" customWidth="1"/>
    <col min="12542" max="12546" width="17.7265625" style="116" customWidth="1"/>
    <col min="12547" max="12547" width="4" style="116" customWidth="1"/>
    <col min="12548" max="12548" width="12" style="116" customWidth="1"/>
    <col min="12549" max="12794" width="11.453125" style="116"/>
    <col min="12795" max="12795" width="9.453125" style="116" customWidth="1"/>
    <col min="12796" max="12796" width="14.7265625" style="116" customWidth="1"/>
    <col min="12797" max="12797" width="13.7265625" style="116" customWidth="1"/>
    <col min="12798" max="12802" width="17.7265625" style="116" customWidth="1"/>
    <col min="12803" max="12803" width="4" style="116" customWidth="1"/>
    <col min="12804" max="12804" width="12" style="116" customWidth="1"/>
    <col min="12805" max="13050" width="11.453125" style="116"/>
    <col min="13051" max="13051" width="9.453125" style="116" customWidth="1"/>
    <col min="13052" max="13052" width="14.7265625" style="116" customWidth="1"/>
    <col min="13053" max="13053" width="13.7265625" style="116" customWidth="1"/>
    <col min="13054" max="13058" width="17.7265625" style="116" customWidth="1"/>
    <col min="13059" max="13059" width="4" style="116" customWidth="1"/>
    <col min="13060" max="13060" width="12" style="116" customWidth="1"/>
    <col min="13061" max="13306" width="11.453125" style="116"/>
    <col min="13307" max="13307" width="9.453125" style="116" customWidth="1"/>
    <col min="13308" max="13308" width="14.7265625" style="116" customWidth="1"/>
    <col min="13309" max="13309" width="13.7265625" style="116" customWidth="1"/>
    <col min="13310" max="13314" width="17.7265625" style="116" customWidth="1"/>
    <col min="13315" max="13315" width="4" style="116" customWidth="1"/>
    <col min="13316" max="13316" width="12" style="116" customWidth="1"/>
    <col min="13317" max="13562" width="11.453125" style="116"/>
    <col min="13563" max="13563" width="9.453125" style="116" customWidth="1"/>
    <col min="13564" max="13564" width="14.7265625" style="116" customWidth="1"/>
    <col min="13565" max="13565" width="13.7265625" style="116" customWidth="1"/>
    <col min="13566" max="13570" width="17.7265625" style="116" customWidth="1"/>
    <col min="13571" max="13571" width="4" style="116" customWidth="1"/>
    <col min="13572" max="13572" width="12" style="116" customWidth="1"/>
    <col min="13573" max="13818" width="11.453125" style="116"/>
    <col min="13819" max="13819" width="9.453125" style="116" customWidth="1"/>
    <col min="13820" max="13820" width="14.7265625" style="116" customWidth="1"/>
    <col min="13821" max="13821" width="13.7265625" style="116" customWidth="1"/>
    <col min="13822" max="13826" width="17.7265625" style="116" customWidth="1"/>
    <col min="13827" max="13827" width="4" style="116" customWidth="1"/>
    <col min="13828" max="13828" width="12" style="116" customWidth="1"/>
    <col min="13829" max="14074" width="11.453125" style="116"/>
    <col min="14075" max="14075" width="9.453125" style="116" customWidth="1"/>
    <col min="14076" max="14076" width="14.7265625" style="116" customWidth="1"/>
    <col min="14077" max="14077" width="13.7265625" style="116" customWidth="1"/>
    <col min="14078" max="14082" width="17.7265625" style="116" customWidth="1"/>
    <col min="14083" max="14083" width="4" style="116" customWidth="1"/>
    <col min="14084" max="14084" width="12" style="116" customWidth="1"/>
    <col min="14085" max="14330" width="11.453125" style="116"/>
    <col min="14331" max="14331" width="9.453125" style="116" customWidth="1"/>
    <col min="14332" max="14332" width="14.7265625" style="116" customWidth="1"/>
    <col min="14333" max="14333" width="13.7265625" style="116" customWidth="1"/>
    <col min="14334" max="14338" width="17.7265625" style="116" customWidth="1"/>
    <col min="14339" max="14339" width="4" style="116" customWidth="1"/>
    <col min="14340" max="14340" width="12" style="116" customWidth="1"/>
    <col min="14341" max="14586" width="11.453125" style="116"/>
    <col min="14587" max="14587" width="9.453125" style="116" customWidth="1"/>
    <col min="14588" max="14588" width="14.7265625" style="116" customWidth="1"/>
    <col min="14589" max="14589" width="13.7265625" style="116" customWidth="1"/>
    <col min="14590" max="14594" width="17.7265625" style="116" customWidth="1"/>
    <col min="14595" max="14595" width="4" style="116" customWidth="1"/>
    <col min="14596" max="14596" width="12" style="116" customWidth="1"/>
    <col min="14597" max="14842" width="11.453125" style="116"/>
    <col min="14843" max="14843" width="9.453125" style="116" customWidth="1"/>
    <col min="14844" max="14844" width="14.7265625" style="116" customWidth="1"/>
    <col min="14845" max="14845" width="13.7265625" style="116" customWidth="1"/>
    <col min="14846" max="14850" width="17.7265625" style="116" customWidth="1"/>
    <col min="14851" max="14851" width="4" style="116" customWidth="1"/>
    <col min="14852" max="14852" width="12" style="116" customWidth="1"/>
    <col min="14853" max="15098" width="11.453125" style="116"/>
    <col min="15099" max="15099" width="9.453125" style="116" customWidth="1"/>
    <col min="15100" max="15100" width="14.7265625" style="116" customWidth="1"/>
    <col min="15101" max="15101" width="13.7265625" style="116" customWidth="1"/>
    <col min="15102" max="15106" width="17.7265625" style="116" customWidth="1"/>
    <col min="15107" max="15107" width="4" style="116" customWidth="1"/>
    <col min="15108" max="15108" width="12" style="116" customWidth="1"/>
    <col min="15109" max="15354" width="11.453125" style="116"/>
    <col min="15355" max="15355" width="9.453125" style="116" customWidth="1"/>
    <col min="15356" max="15356" width="14.7265625" style="116" customWidth="1"/>
    <col min="15357" max="15357" width="13.7265625" style="116" customWidth="1"/>
    <col min="15358" max="15362" width="17.7265625" style="116" customWidth="1"/>
    <col min="15363" max="15363" width="4" style="116" customWidth="1"/>
    <col min="15364" max="15364" width="12" style="116" customWidth="1"/>
    <col min="15365" max="15610" width="11.453125" style="116"/>
    <col min="15611" max="15611" width="9.453125" style="116" customWidth="1"/>
    <col min="15612" max="15612" width="14.7265625" style="116" customWidth="1"/>
    <col min="15613" max="15613" width="13.7265625" style="116" customWidth="1"/>
    <col min="15614" max="15618" width="17.7265625" style="116" customWidth="1"/>
    <col min="15619" max="15619" width="4" style="116" customWidth="1"/>
    <col min="15620" max="15620" width="12" style="116" customWidth="1"/>
    <col min="15621" max="15866" width="11.453125" style="116"/>
    <col min="15867" max="15867" width="9.453125" style="116" customWidth="1"/>
    <col min="15868" max="15868" width="14.7265625" style="116" customWidth="1"/>
    <col min="15869" max="15869" width="13.7265625" style="116" customWidth="1"/>
    <col min="15870" max="15874" width="17.7265625" style="116" customWidth="1"/>
    <col min="15875" max="15875" width="4" style="116" customWidth="1"/>
    <col min="15876" max="15876" width="12" style="116" customWidth="1"/>
    <col min="15877" max="16122" width="11.453125" style="116"/>
    <col min="16123" max="16123" width="9.453125" style="116" customWidth="1"/>
    <col min="16124" max="16124" width="14.7265625" style="116" customWidth="1"/>
    <col min="16125" max="16125" width="13.7265625" style="116" customWidth="1"/>
    <col min="16126" max="16130" width="17.7265625" style="116" customWidth="1"/>
    <col min="16131" max="16131" width="4" style="116" customWidth="1"/>
    <col min="16132" max="16132" width="12" style="116" customWidth="1"/>
    <col min="16133" max="16380" width="11.453125" style="116"/>
    <col min="16381" max="16384" width="10.81640625" style="116" customWidth="1"/>
  </cols>
  <sheetData>
    <row r="2" spans="2:10" ht="18.5" x14ac:dyDescent="0.45">
      <c r="B2" s="270" t="s">
        <v>78</v>
      </c>
      <c r="C2" s="271"/>
      <c r="D2" s="271"/>
      <c r="E2" s="271"/>
      <c r="F2" s="271"/>
      <c r="G2" s="271"/>
      <c r="H2" s="271"/>
      <c r="I2" s="272"/>
      <c r="J2"/>
    </row>
    <row r="4" spans="2:10" ht="15.5" x14ac:dyDescent="0.35">
      <c r="B4" s="273" t="s">
        <v>79</v>
      </c>
      <c r="C4" s="274"/>
      <c r="D4" s="274"/>
      <c r="E4" s="274"/>
      <c r="F4" s="274"/>
      <c r="G4" s="274"/>
      <c r="H4" s="274"/>
      <c r="I4" s="275"/>
    </row>
    <row r="5" spans="2:10" x14ac:dyDescent="0.35">
      <c r="B5" s="117" t="s">
        <v>80</v>
      </c>
      <c r="C5" s="276" t="s">
        <v>81</v>
      </c>
      <c r="D5" s="277"/>
      <c r="E5" s="277"/>
      <c r="F5" s="277"/>
      <c r="G5" s="277"/>
      <c r="H5" s="277"/>
      <c r="I5" s="278"/>
    </row>
    <row r="6" spans="2:10" s="3" customFormat="1" x14ac:dyDescent="0.35">
      <c r="B6" s="118" t="s">
        <v>82</v>
      </c>
      <c r="C6" s="279" t="s">
        <v>83</v>
      </c>
      <c r="D6" s="280"/>
      <c r="E6" s="280"/>
      <c r="F6" s="280"/>
      <c r="G6" s="280"/>
      <c r="H6" s="280"/>
      <c r="I6" s="281"/>
    </row>
    <row r="7" spans="2:10" s="3" customFormat="1" ht="33" customHeight="1" x14ac:dyDescent="0.35">
      <c r="B7" s="119" t="s">
        <v>84</v>
      </c>
      <c r="C7" s="279" t="s">
        <v>85</v>
      </c>
      <c r="D7" s="280"/>
      <c r="E7" s="280"/>
      <c r="F7" s="280"/>
      <c r="G7" s="280"/>
      <c r="H7" s="280"/>
      <c r="I7" s="281"/>
    </row>
    <row r="9" spans="2:10" x14ac:dyDescent="0.35">
      <c r="B9" s="269" t="s">
        <v>86</v>
      </c>
      <c r="C9" s="269"/>
    </row>
    <row r="10" spans="2:10" s="3" customFormat="1" x14ac:dyDescent="0.35">
      <c r="B10" s="118" t="s">
        <v>41</v>
      </c>
      <c r="C10" s="118" t="s">
        <v>87</v>
      </c>
    </row>
    <row r="11" spans="2:10" s="3" customFormat="1" x14ac:dyDescent="0.35">
      <c r="B11" s="118" t="s">
        <v>88</v>
      </c>
      <c r="C11" s="118" t="s">
        <v>89</v>
      </c>
    </row>
    <row r="12" spans="2:10" s="3" customFormat="1" x14ac:dyDescent="0.35">
      <c r="B12" s="118" t="s">
        <v>40</v>
      </c>
      <c r="C12" s="118" t="s">
        <v>90</v>
      </c>
    </row>
    <row r="14" spans="2:10" ht="15.5" x14ac:dyDescent="0.35">
      <c r="B14" s="273" t="s">
        <v>91</v>
      </c>
      <c r="C14" s="274"/>
      <c r="D14" s="274"/>
      <c r="E14" s="274"/>
      <c r="F14" s="274"/>
      <c r="G14" s="274"/>
      <c r="H14" s="274"/>
      <c r="I14" s="275"/>
    </row>
    <row r="17" spans="2:9" ht="15.5" x14ac:dyDescent="0.35">
      <c r="B17" s="283" t="s">
        <v>92</v>
      </c>
      <c r="C17" s="284"/>
      <c r="D17" s="284"/>
      <c r="E17" s="284"/>
      <c r="F17" s="284"/>
      <c r="G17" s="284"/>
      <c r="H17" s="284"/>
      <c r="I17" s="285"/>
    </row>
    <row r="19" spans="2:9" ht="14.5" customHeight="1" x14ac:dyDescent="0.35">
      <c r="B19" s="120" t="s">
        <v>93</v>
      </c>
      <c r="C19" s="286" t="s">
        <v>94</v>
      </c>
      <c r="D19" s="286"/>
      <c r="E19" s="286"/>
      <c r="F19" s="286"/>
      <c r="G19" s="286"/>
      <c r="H19" s="286"/>
      <c r="I19" s="286"/>
    </row>
    <row r="20" spans="2:9" s="3" customFormat="1" ht="14.5" customHeight="1" x14ac:dyDescent="0.35">
      <c r="B20" s="118" t="s">
        <v>41</v>
      </c>
      <c r="C20" s="282" t="s">
        <v>95</v>
      </c>
      <c r="D20" s="282"/>
      <c r="E20" s="282"/>
      <c r="F20" s="282"/>
      <c r="G20" s="282"/>
      <c r="H20" s="282"/>
      <c r="I20" s="282"/>
    </row>
    <row r="21" spans="2:9" s="3" customFormat="1" ht="14.5" customHeight="1" x14ac:dyDescent="0.35">
      <c r="B21" s="118" t="s">
        <v>88</v>
      </c>
      <c r="C21" s="282" t="s">
        <v>96</v>
      </c>
      <c r="D21" s="282"/>
      <c r="E21" s="282"/>
      <c r="F21" s="282"/>
      <c r="G21" s="282"/>
      <c r="H21" s="282"/>
      <c r="I21" s="282"/>
    </row>
    <row r="22" spans="2:9" s="3" customFormat="1" ht="14.5" customHeight="1" x14ac:dyDescent="0.35">
      <c r="B22" s="118" t="s">
        <v>40</v>
      </c>
      <c r="C22" s="282" t="s">
        <v>97</v>
      </c>
      <c r="D22" s="282"/>
      <c r="E22" s="282"/>
      <c r="F22" s="282"/>
      <c r="G22" s="282"/>
      <c r="H22" s="282"/>
      <c r="I22" s="282"/>
    </row>
    <row r="23" spans="2:9" ht="14.5" customHeight="1" x14ac:dyDescent="0.35">
      <c r="C23" s="121"/>
      <c r="D23" s="121"/>
      <c r="E23" s="121"/>
      <c r="F23" s="121"/>
      <c r="G23" s="121"/>
      <c r="H23" s="121"/>
      <c r="I23" s="121"/>
    </row>
    <row r="24" spans="2:9" ht="14.5" customHeight="1" x14ac:dyDescent="0.35">
      <c r="B24" s="122" t="s">
        <v>98</v>
      </c>
      <c r="C24" s="123" t="s">
        <v>99</v>
      </c>
      <c r="D24" s="121"/>
      <c r="E24" s="121"/>
      <c r="F24" s="121"/>
      <c r="G24" s="121"/>
      <c r="H24" s="121"/>
      <c r="I24" s="121"/>
    </row>
    <row r="25" spans="2:9" s="3" customFormat="1" ht="14.5" customHeight="1" x14ac:dyDescent="0.35">
      <c r="B25" s="118" t="s">
        <v>100</v>
      </c>
      <c r="C25" s="124" t="s">
        <v>101</v>
      </c>
      <c r="D25" s="125"/>
      <c r="E25" s="125"/>
      <c r="F25" s="125"/>
      <c r="G25" s="125"/>
      <c r="H25" s="125"/>
      <c r="I25" s="125"/>
    </row>
    <row r="26" spans="2:9" s="3" customFormat="1" ht="14.5" customHeight="1" x14ac:dyDescent="0.35">
      <c r="B26" s="118" t="s">
        <v>102</v>
      </c>
      <c r="C26" s="124" t="s">
        <v>101</v>
      </c>
      <c r="D26" s="125"/>
      <c r="E26" s="125"/>
      <c r="F26" s="125"/>
      <c r="G26" s="125"/>
      <c r="H26" s="125"/>
      <c r="I26" s="125"/>
    </row>
    <row r="27" spans="2:9" s="3" customFormat="1" ht="14.5" customHeight="1" x14ac:dyDescent="0.35">
      <c r="B27" s="118" t="s">
        <v>103</v>
      </c>
      <c r="C27" s="124" t="s">
        <v>104</v>
      </c>
      <c r="D27" s="125"/>
      <c r="E27" s="125"/>
      <c r="F27" s="125"/>
      <c r="G27" s="125"/>
      <c r="H27" s="125"/>
      <c r="I27" s="125"/>
    </row>
    <row r="28" spans="2:9" x14ac:dyDescent="0.35">
      <c r="C28" s="121"/>
      <c r="D28" s="121"/>
      <c r="E28" s="121"/>
      <c r="F28" s="121"/>
      <c r="G28" s="121"/>
      <c r="H28" s="121"/>
      <c r="I28" s="121"/>
    </row>
    <row r="29" spans="2:9" ht="14.5" customHeight="1" x14ac:dyDescent="0.35">
      <c r="B29" s="120" t="s">
        <v>105</v>
      </c>
      <c r="C29" s="286" t="s">
        <v>106</v>
      </c>
      <c r="D29" s="286"/>
      <c r="E29" s="286"/>
      <c r="F29" s="286"/>
      <c r="G29" s="286"/>
      <c r="H29" s="286"/>
      <c r="I29" s="286"/>
    </row>
    <row r="30" spans="2:9" s="3" customFormat="1" ht="14.5" customHeight="1" x14ac:dyDescent="0.35">
      <c r="B30" s="118" t="s">
        <v>41</v>
      </c>
      <c r="C30" s="282" t="s">
        <v>107</v>
      </c>
      <c r="D30" s="282"/>
      <c r="E30" s="282"/>
      <c r="F30" s="282"/>
      <c r="G30" s="282"/>
      <c r="H30" s="282"/>
      <c r="I30" s="282"/>
    </row>
    <row r="31" spans="2:9" s="3" customFormat="1" ht="14.5" customHeight="1" x14ac:dyDescent="0.35">
      <c r="B31" s="118" t="s">
        <v>88</v>
      </c>
      <c r="C31" s="282"/>
      <c r="D31" s="282"/>
      <c r="E31" s="282"/>
      <c r="F31" s="282"/>
      <c r="G31" s="282"/>
      <c r="H31" s="282"/>
      <c r="I31" s="282"/>
    </row>
    <row r="32" spans="2:9" s="3" customFormat="1" ht="14.5" customHeight="1" x14ac:dyDescent="0.35">
      <c r="B32" s="118" t="s">
        <v>40</v>
      </c>
      <c r="C32" s="282" t="s">
        <v>108</v>
      </c>
      <c r="D32" s="282"/>
      <c r="E32" s="282"/>
      <c r="F32" s="282"/>
      <c r="G32" s="282"/>
      <c r="H32" s="282"/>
      <c r="I32" s="282"/>
    </row>
    <row r="33" spans="2:9" x14ac:dyDescent="0.35">
      <c r="C33" s="121"/>
      <c r="D33" s="121"/>
      <c r="E33" s="121"/>
      <c r="F33" s="121"/>
      <c r="G33" s="121"/>
      <c r="H33" s="121"/>
      <c r="I33" s="121"/>
    </row>
    <row r="34" spans="2:9" ht="14.5" customHeight="1" x14ac:dyDescent="0.35">
      <c r="B34" s="120" t="s">
        <v>109</v>
      </c>
      <c r="C34" s="286" t="s">
        <v>110</v>
      </c>
      <c r="D34" s="286"/>
      <c r="E34" s="286"/>
      <c r="F34" s="286"/>
      <c r="G34" s="286"/>
      <c r="H34" s="286"/>
      <c r="I34" s="286"/>
    </row>
    <row r="35" spans="2:9" s="3" customFormat="1" ht="14.5" customHeight="1" x14ac:dyDescent="0.35">
      <c r="B35" s="118" t="s">
        <v>41</v>
      </c>
      <c r="C35" s="282" t="s">
        <v>111</v>
      </c>
      <c r="D35" s="282"/>
      <c r="E35" s="282"/>
      <c r="F35" s="282"/>
      <c r="G35" s="282"/>
      <c r="H35" s="282"/>
      <c r="I35" s="282"/>
    </row>
    <row r="36" spans="2:9" s="3" customFormat="1" ht="14.5" customHeight="1" x14ac:dyDescent="0.35">
      <c r="B36" s="118" t="s">
        <v>88</v>
      </c>
      <c r="C36" s="282" t="s">
        <v>112</v>
      </c>
      <c r="D36" s="282"/>
      <c r="E36" s="282"/>
      <c r="F36" s="282"/>
      <c r="G36" s="282"/>
      <c r="H36" s="282"/>
      <c r="I36" s="282"/>
    </row>
    <row r="37" spans="2:9" s="3" customFormat="1" ht="14.5" customHeight="1" x14ac:dyDescent="0.35">
      <c r="B37" s="118" t="s">
        <v>40</v>
      </c>
      <c r="C37" s="282" t="s">
        <v>113</v>
      </c>
      <c r="D37" s="282"/>
      <c r="E37" s="282"/>
      <c r="F37" s="282"/>
      <c r="G37" s="282"/>
      <c r="H37" s="282"/>
      <c r="I37" s="282"/>
    </row>
    <row r="38" spans="2:9" x14ac:dyDescent="0.35">
      <c r="C38" s="121"/>
      <c r="D38" s="121"/>
      <c r="E38" s="121"/>
      <c r="F38" s="121"/>
      <c r="G38" s="121"/>
      <c r="H38" s="121"/>
      <c r="I38" s="121"/>
    </row>
    <row r="39" spans="2:9" x14ac:dyDescent="0.35">
      <c r="C39" s="121"/>
      <c r="D39" s="121"/>
      <c r="E39" s="121"/>
      <c r="F39" s="121"/>
      <c r="G39" s="121"/>
      <c r="H39" s="121"/>
      <c r="I39" s="121"/>
    </row>
    <row r="40" spans="2:9" ht="15.5" x14ac:dyDescent="0.35">
      <c r="B40" s="283" t="s">
        <v>114</v>
      </c>
      <c r="C40" s="284"/>
      <c r="D40" s="284"/>
      <c r="E40" s="284"/>
      <c r="F40" s="284"/>
      <c r="G40" s="284"/>
      <c r="H40" s="284"/>
      <c r="I40" s="285"/>
    </row>
    <row r="42" spans="2:9" ht="14.5" customHeight="1" x14ac:dyDescent="0.35">
      <c r="B42" s="120" t="s">
        <v>115</v>
      </c>
      <c r="C42" s="286" t="s">
        <v>116</v>
      </c>
      <c r="D42" s="286"/>
      <c r="E42" s="286"/>
      <c r="F42" s="286"/>
      <c r="G42" s="286"/>
      <c r="H42" s="286"/>
      <c r="I42" s="286"/>
    </row>
    <row r="43" spans="2:9" s="3" customFormat="1" ht="14.5" customHeight="1" x14ac:dyDescent="0.35">
      <c r="B43" s="118" t="s">
        <v>41</v>
      </c>
      <c r="C43" s="282" t="s">
        <v>117</v>
      </c>
      <c r="D43" s="282"/>
      <c r="E43" s="282"/>
      <c r="F43" s="282"/>
      <c r="G43" s="282"/>
      <c r="H43" s="282"/>
      <c r="I43" s="282"/>
    </row>
    <row r="44" spans="2:9" s="3" customFormat="1" ht="14.5" customHeight="1" x14ac:dyDescent="0.35">
      <c r="B44" s="118" t="s">
        <v>88</v>
      </c>
      <c r="C44" s="282" t="s">
        <v>118</v>
      </c>
      <c r="D44" s="282"/>
      <c r="E44" s="282"/>
      <c r="F44" s="282"/>
      <c r="G44" s="282"/>
      <c r="H44" s="282"/>
      <c r="I44" s="282"/>
    </row>
    <row r="45" spans="2:9" s="3" customFormat="1" ht="14.5" customHeight="1" x14ac:dyDescent="0.35">
      <c r="B45" s="118" t="s">
        <v>40</v>
      </c>
      <c r="C45" s="282" t="s">
        <v>119</v>
      </c>
      <c r="D45" s="282"/>
      <c r="E45" s="282"/>
      <c r="F45" s="282"/>
      <c r="G45" s="282"/>
      <c r="H45" s="282"/>
      <c r="I45" s="282"/>
    </row>
    <row r="46" spans="2:9" x14ac:dyDescent="0.35">
      <c r="C46" s="121"/>
      <c r="D46" s="121"/>
      <c r="E46" s="121"/>
      <c r="F46" s="121"/>
      <c r="G46" s="121"/>
      <c r="H46" s="121"/>
      <c r="I46" s="121"/>
    </row>
    <row r="47" spans="2:9" ht="14.5" customHeight="1" x14ac:dyDescent="0.35">
      <c r="B47" s="120" t="s">
        <v>120</v>
      </c>
      <c r="C47" s="286" t="s">
        <v>121</v>
      </c>
      <c r="D47" s="286"/>
      <c r="E47" s="286"/>
      <c r="F47" s="286"/>
      <c r="G47" s="286"/>
      <c r="H47" s="286"/>
      <c r="I47" s="286"/>
    </row>
    <row r="48" spans="2:9" s="3" customFormat="1" ht="14.5" customHeight="1" x14ac:dyDescent="0.35">
      <c r="B48" s="118" t="s">
        <v>41</v>
      </c>
      <c r="C48" s="282" t="s">
        <v>122</v>
      </c>
      <c r="D48" s="282"/>
      <c r="E48" s="282"/>
      <c r="F48" s="282"/>
      <c r="G48" s="282"/>
      <c r="H48" s="282"/>
      <c r="I48" s="282"/>
    </row>
    <row r="49" spans="2:10" s="3" customFormat="1" ht="14.5" customHeight="1" x14ac:dyDescent="0.35">
      <c r="B49" s="118" t="s">
        <v>88</v>
      </c>
      <c r="C49" s="282" t="s">
        <v>123</v>
      </c>
      <c r="D49" s="282"/>
      <c r="E49" s="282"/>
      <c r="F49" s="282"/>
      <c r="G49" s="282"/>
      <c r="H49" s="282"/>
      <c r="I49" s="282"/>
    </row>
    <row r="50" spans="2:10" s="3" customFormat="1" ht="14.5" customHeight="1" x14ac:dyDescent="0.35">
      <c r="B50" s="118" t="s">
        <v>40</v>
      </c>
      <c r="C50" s="282" t="s">
        <v>124</v>
      </c>
      <c r="D50" s="282"/>
      <c r="E50" s="282"/>
      <c r="F50" s="282"/>
      <c r="G50" s="282"/>
      <c r="H50" s="282"/>
      <c r="I50" s="282"/>
    </row>
    <row r="51" spans="2:10" x14ac:dyDescent="0.35">
      <c r="C51" s="121"/>
      <c r="D51" s="121"/>
      <c r="E51" s="121"/>
      <c r="F51" s="121"/>
      <c r="G51" s="121"/>
      <c r="H51" s="121"/>
      <c r="I51" s="121"/>
    </row>
    <row r="52" spans="2:10" x14ac:dyDescent="0.35">
      <c r="B52" s="120" t="s">
        <v>125</v>
      </c>
      <c r="C52" s="286" t="s">
        <v>126</v>
      </c>
      <c r="D52" s="286"/>
      <c r="E52" s="286"/>
      <c r="F52" s="286"/>
      <c r="G52" s="286"/>
      <c r="H52" s="286"/>
      <c r="I52" s="286"/>
    </row>
    <row r="53" spans="2:10" s="3" customFormat="1" x14ac:dyDescent="0.35">
      <c r="B53" s="118" t="s">
        <v>41</v>
      </c>
      <c r="C53" s="282" t="s">
        <v>127</v>
      </c>
      <c r="D53" s="282"/>
      <c r="E53" s="282"/>
      <c r="F53" s="282"/>
      <c r="G53" s="282"/>
      <c r="H53" s="282"/>
      <c r="I53" s="282"/>
    </row>
    <row r="54" spans="2:10" s="3" customFormat="1" ht="14.5" customHeight="1" x14ac:dyDescent="0.35">
      <c r="B54" s="118" t="s">
        <v>88</v>
      </c>
      <c r="C54" s="282" t="s">
        <v>128</v>
      </c>
      <c r="D54" s="282"/>
      <c r="E54" s="282"/>
      <c r="F54" s="282"/>
      <c r="G54" s="282"/>
      <c r="H54" s="282"/>
      <c r="I54" s="282"/>
    </row>
    <row r="55" spans="2:10" s="3" customFormat="1" ht="14.5" customHeight="1" x14ac:dyDescent="0.35">
      <c r="B55" s="118" t="s">
        <v>40</v>
      </c>
      <c r="C55" s="282" t="s">
        <v>129</v>
      </c>
      <c r="D55" s="282"/>
      <c r="E55" s="282"/>
      <c r="F55" s="282"/>
      <c r="G55" s="282"/>
      <c r="H55" s="282"/>
      <c r="I55" s="282"/>
    </row>
    <row r="56" spans="2:10" x14ac:dyDescent="0.35">
      <c r="C56" s="121"/>
      <c r="D56" s="121"/>
      <c r="E56" s="121"/>
      <c r="F56" s="121"/>
      <c r="G56" s="121"/>
      <c r="H56" s="121"/>
      <c r="I56" s="121"/>
    </row>
    <row r="57" spans="2:10" x14ac:dyDescent="0.35">
      <c r="C57" s="121"/>
      <c r="D57" s="121"/>
      <c r="E57" s="121"/>
      <c r="F57" s="121"/>
      <c r="G57" s="121"/>
      <c r="H57" s="121"/>
      <c r="I57" s="121"/>
    </row>
    <row r="58" spans="2:10" ht="15.5" x14ac:dyDescent="0.35">
      <c r="B58" s="283" t="s">
        <v>130</v>
      </c>
      <c r="C58" s="284"/>
      <c r="D58" s="284"/>
      <c r="E58" s="284"/>
      <c r="F58" s="284"/>
      <c r="G58" s="284"/>
      <c r="H58" s="284"/>
      <c r="I58" s="285"/>
    </row>
    <row r="59" spans="2:10" s="3" customFormat="1" x14ac:dyDescent="0.35">
      <c r="B59" s="126"/>
      <c r="C59" s="126"/>
      <c r="D59" s="126"/>
      <c r="E59" s="126"/>
      <c r="F59" s="126"/>
      <c r="G59" s="126"/>
      <c r="H59" s="126"/>
      <c r="I59" s="126"/>
    </row>
    <row r="60" spans="2:10" ht="14.5" customHeight="1" x14ac:dyDescent="0.35">
      <c r="B60" s="120" t="s">
        <v>131</v>
      </c>
      <c r="C60" s="288" t="s">
        <v>132</v>
      </c>
      <c r="D60" s="289"/>
      <c r="E60" s="289"/>
      <c r="F60" s="289"/>
      <c r="G60" s="289"/>
      <c r="H60" s="289"/>
      <c r="I60" s="290"/>
      <c r="J60" s="3"/>
    </row>
    <row r="61" spans="2:10" ht="14.5" customHeight="1" x14ac:dyDescent="0.35">
      <c r="B61" s="127" t="s">
        <v>41</v>
      </c>
      <c r="C61" s="291" t="s">
        <v>133</v>
      </c>
      <c r="D61" s="292"/>
      <c r="E61" s="292"/>
      <c r="F61" s="292"/>
      <c r="G61" s="292"/>
      <c r="H61" s="292"/>
      <c r="I61" s="293"/>
    </row>
    <row r="62" spans="2:10" ht="14.5" customHeight="1" x14ac:dyDescent="0.35">
      <c r="B62" s="127" t="s">
        <v>88</v>
      </c>
      <c r="C62" s="291" t="s">
        <v>134</v>
      </c>
      <c r="D62" s="292"/>
      <c r="E62" s="292"/>
      <c r="F62" s="292"/>
      <c r="G62" s="292"/>
      <c r="H62" s="292"/>
      <c r="I62" s="293"/>
    </row>
    <row r="63" spans="2:10" ht="14.5" customHeight="1" x14ac:dyDescent="0.35">
      <c r="B63" s="127" t="s">
        <v>40</v>
      </c>
      <c r="C63" s="291" t="s">
        <v>135</v>
      </c>
      <c r="D63" s="292"/>
      <c r="E63" s="292"/>
      <c r="F63" s="292"/>
      <c r="G63" s="292"/>
      <c r="H63" s="292"/>
      <c r="I63" s="293"/>
    </row>
    <row r="64" spans="2:10" x14ac:dyDescent="0.35">
      <c r="C64" s="121"/>
      <c r="D64" s="121"/>
      <c r="E64" s="121"/>
      <c r="F64" s="121"/>
      <c r="G64" s="121"/>
      <c r="H64" s="121"/>
      <c r="I64" s="121"/>
    </row>
    <row r="65" spans="2:9" ht="14.5" customHeight="1" x14ac:dyDescent="0.35">
      <c r="B65" s="120" t="s">
        <v>136</v>
      </c>
      <c r="C65" s="286" t="s">
        <v>137</v>
      </c>
      <c r="D65" s="286"/>
      <c r="E65" s="286"/>
      <c r="F65" s="286"/>
      <c r="G65" s="286"/>
      <c r="H65" s="286"/>
      <c r="I65" s="286"/>
    </row>
    <row r="66" spans="2:9" ht="14.5" customHeight="1" x14ac:dyDescent="0.35">
      <c r="B66" s="127" t="s">
        <v>41</v>
      </c>
      <c r="C66" s="287" t="s">
        <v>138</v>
      </c>
      <c r="D66" s="287"/>
      <c r="E66" s="287"/>
      <c r="F66" s="287"/>
      <c r="G66" s="287"/>
      <c r="H66" s="287"/>
      <c r="I66" s="287"/>
    </row>
    <row r="67" spans="2:9" x14ac:dyDescent="0.35">
      <c r="B67" s="127" t="s">
        <v>88</v>
      </c>
      <c r="C67" s="291" t="s">
        <v>134</v>
      </c>
      <c r="D67" s="292"/>
      <c r="E67" s="292"/>
      <c r="F67" s="292"/>
      <c r="G67" s="292"/>
      <c r="H67" s="292"/>
      <c r="I67" s="293"/>
    </row>
    <row r="68" spans="2:9" ht="14.5" customHeight="1" x14ac:dyDescent="0.35">
      <c r="B68" s="127" t="s">
        <v>40</v>
      </c>
      <c r="C68" s="287" t="s">
        <v>139</v>
      </c>
      <c r="D68" s="287"/>
      <c r="E68" s="287"/>
      <c r="F68" s="287"/>
      <c r="G68" s="287"/>
      <c r="H68" s="287"/>
      <c r="I68" s="287"/>
    </row>
    <row r="69" spans="2:9" ht="14.5" customHeight="1" x14ac:dyDescent="0.35">
      <c r="C69" s="121"/>
      <c r="D69" s="121"/>
      <c r="E69" s="121"/>
      <c r="F69" s="121"/>
      <c r="G69" s="121"/>
      <c r="H69" s="121"/>
      <c r="I69" s="121"/>
    </row>
    <row r="70" spans="2:9" ht="14.5" customHeight="1" x14ac:dyDescent="0.35">
      <c r="B70" s="128" t="s">
        <v>140</v>
      </c>
      <c r="C70" s="297" t="s">
        <v>141</v>
      </c>
      <c r="D70" s="297"/>
      <c r="E70" s="297"/>
      <c r="F70" s="297"/>
      <c r="G70" s="297"/>
      <c r="H70" s="297"/>
      <c r="I70" s="297"/>
    </row>
    <row r="71" spans="2:9" ht="14.5" customHeight="1" x14ac:dyDescent="0.35">
      <c r="B71" s="127" t="s">
        <v>142</v>
      </c>
      <c r="C71" s="287" t="s">
        <v>143</v>
      </c>
      <c r="D71" s="287"/>
      <c r="E71" s="287"/>
      <c r="F71" s="287"/>
      <c r="G71" s="287"/>
      <c r="H71" s="287"/>
      <c r="I71" s="287"/>
    </row>
    <row r="72" spans="2:9" ht="14.5" customHeight="1" x14ac:dyDescent="0.35">
      <c r="B72" s="127" t="s">
        <v>144</v>
      </c>
      <c r="C72" s="287" t="s">
        <v>145</v>
      </c>
      <c r="D72" s="287"/>
      <c r="E72" s="287"/>
      <c r="F72" s="287"/>
      <c r="G72" s="287"/>
      <c r="H72" s="287"/>
      <c r="I72" s="287"/>
    </row>
    <row r="73" spans="2:9" ht="14.5" customHeight="1" x14ac:dyDescent="0.35">
      <c r="C73" s="121"/>
      <c r="D73" s="121"/>
      <c r="E73" s="121"/>
      <c r="F73" s="121"/>
      <c r="G73" s="121"/>
      <c r="H73" s="121"/>
      <c r="I73" s="121"/>
    </row>
    <row r="74" spans="2:9" ht="14.5" customHeight="1" x14ac:dyDescent="0.35">
      <c r="B74" s="120" t="s">
        <v>146</v>
      </c>
      <c r="C74" s="286" t="s">
        <v>94</v>
      </c>
      <c r="D74" s="286"/>
      <c r="E74" s="286"/>
      <c r="F74" s="286"/>
      <c r="G74" s="286"/>
      <c r="H74" s="286"/>
      <c r="I74" s="286"/>
    </row>
    <row r="75" spans="2:9" s="3" customFormat="1" ht="14.5" customHeight="1" x14ac:dyDescent="0.35">
      <c r="B75" s="118" t="s">
        <v>41</v>
      </c>
      <c r="C75" s="282" t="s">
        <v>147</v>
      </c>
      <c r="D75" s="282"/>
      <c r="E75" s="282"/>
      <c r="F75" s="282"/>
      <c r="G75" s="282"/>
      <c r="H75" s="282"/>
      <c r="I75" s="282"/>
    </row>
    <row r="76" spans="2:9" s="3" customFormat="1" ht="15" customHeight="1" x14ac:dyDescent="0.35">
      <c r="B76" s="118" t="s">
        <v>88</v>
      </c>
      <c r="C76" s="282" t="s">
        <v>148</v>
      </c>
      <c r="D76" s="282"/>
      <c r="E76" s="282"/>
      <c r="F76" s="282"/>
      <c r="G76" s="282"/>
      <c r="H76" s="282"/>
      <c r="I76" s="282"/>
    </row>
    <row r="77" spans="2:9" s="3" customFormat="1" ht="14.5" customHeight="1" x14ac:dyDescent="0.35">
      <c r="B77" s="118" t="s">
        <v>40</v>
      </c>
      <c r="C77" s="282" t="s">
        <v>149</v>
      </c>
      <c r="D77" s="282"/>
      <c r="E77" s="282"/>
      <c r="F77" s="282"/>
      <c r="G77" s="282"/>
      <c r="H77" s="282"/>
      <c r="I77" s="282"/>
    </row>
    <row r="79" spans="2:9" customFormat="1" hidden="1" x14ac:dyDescent="0.35"/>
    <row r="80" spans="2:9" hidden="1" x14ac:dyDescent="0.35"/>
    <row r="81" spans="2:9" hidden="1" x14ac:dyDescent="0.35">
      <c r="B81" s="298" t="s">
        <v>150</v>
      </c>
      <c r="C81" s="299"/>
      <c r="D81" s="299"/>
      <c r="E81" s="299"/>
      <c r="F81" s="299"/>
      <c r="G81" s="299"/>
      <c r="H81" s="299"/>
      <c r="I81" s="300"/>
    </row>
    <row r="82" spans="2:9" hidden="1" x14ac:dyDescent="0.35">
      <c r="B82" s="129" t="s">
        <v>151</v>
      </c>
      <c r="C82" s="301" t="s">
        <v>152</v>
      </c>
      <c r="D82" s="302"/>
      <c r="E82" s="302"/>
      <c r="F82" s="302"/>
      <c r="G82" s="302"/>
      <c r="H82" s="302"/>
      <c r="I82" s="303"/>
    </row>
    <row r="83" spans="2:9" hidden="1" x14ac:dyDescent="0.35">
      <c r="B83" s="130" t="s">
        <v>42</v>
      </c>
      <c r="C83" s="304" t="s">
        <v>153</v>
      </c>
      <c r="D83" s="305"/>
      <c r="E83" s="305"/>
      <c r="F83" s="305"/>
      <c r="G83" s="305"/>
      <c r="H83" s="305"/>
      <c r="I83" s="306"/>
    </row>
    <row r="84" spans="2:9" ht="14.5" hidden="1" customHeight="1" x14ac:dyDescent="0.35">
      <c r="B84" s="127" t="s">
        <v>41</v>
      </c>
      <c r="C84" s="291" t="s">
        <v>154</v>
      </c>
      <c r="D84" s="292"/>
      <c r="E84" s="292"/>
      <c r="F84" s="292"/>
      <c r="G84" s="292"/>
      <c r="H84" s="292"/>
      <c r="I84" s="293"/>
    </row>
    <row r="85" spans="2:9" hidden="1" x14ac:dyDescent="0.35">
      <c r="B85" s="127" t="s">
        <v>88</v>
      </c>
      <c r="C85" s="294"/>
      <c r="D85" s="295"/>
      <c r="E85" s="295"/>
      <c r="F85" s="295"/>
      <c r="G85" s="295"/>
      <c r="H85" s="295"/>
      <c r="I85" s="296"/>
    </row>
    <row r="86" spans="2:9" hidden="1" x14ac:dyDescent="0.35">
      <c r="B86" s="127" t="s">
        <v>40</v>
      </c>
      <c r="C86" s="291" t="s">
        <v>155</v>
      </c>
      <c r="D86" s="292"/>
      <c r="E86" s="292"/>
      <c r="F86" s="292"/>
      <c r="G86" s="292"/>
      <c r="H86" s="292"/>
      <c r="I86" s="293"/>
    </row>
    <row r="87" spans="2:9" hidden="1" x14ac:dyDescent="0.35"/>
    <row r="88" spans="2:9" hidden="1" x14ac:dyDescent="0.35">
      <c r="B88" s="130" t="s">
        <v>156</v>
      </c>
      <c r="C88" s="304" t="s">
        <v>157</v>
      </c>
      <c r="D88" s="305"/>
      <c r="E88" s="305"/>
      <c r="F88" s="305"/>
      <c r="G88" s="305"/>
      <c r="H88" s="305"/>
      <c r="I88" s="306"/>
    </row>
    <row r="89" spans="2:9" hidden="1" x14ac:dyDescent="0.35">
      <c r="B89" s="127" t="s">
        <v>41</v>
      </c>
      <c r="C89" s="291" t="s">
        <v>158</v>
      </c>
      <c r="D89" s="292"/>
      <c r="E89" s="292"/>
      <c r="F89" s="292"/>
      <c r="G89" s="292"/>
      <c r="H89" s="292"/>
      <c r="I89" s="293"/>
    </row>
    <row r="90" spans="2:9" hidden="1" x14ac:dyDescent="0.35">
      <c r="B90" s="127" t="s">
        <v>88</v>
      </c>
      <c r="C90" s="291"/>
      <c r="D90" s="292"/>
      <c r="E90" s="292"/>
      <c r="F90" s="292"/>
      <c r="G90" s="292"/>
      <c r="H90" s="292"/>
      <c r="I90" s="293"/>
    </row>
    <row r="91" spans="2:9" hidden="1" x14ac:dyDescent="0.35">
      <c r="B91" s="127" t="s">
        <v>40</v>
      </c>
      <c r="C91" s="291" t="s">
        <v>159</v>
      </c>
      <c r="D91" s="292"/>
      <c r="E91" s="292"/>
      <c r="F91" s="292"/>
      <c r="G91" s="292"/>
      <c r="H91" s="292"/>
      <c r="I91" s="293"/>
    </row>
    <row r="92" spans="2:9" hidden="1" x14ac:dyDescent="0.35">
      <c r="C92" s="121"/>
      <c r="D92" s="121"/>
      <c r="E92" s="121"/>
      <c r="F92" s="121"/>
      <c r="G92" s="121"/>
      <c r="H92" s="121"/>
      <c r="I92" s="121"/>
    </row>
    <row r="93" spans="2:9" hidden="1" x14ac:dyDescent="0.35">
      <c r="B93" s="130" t="s">
        <v>43</v>
      </c>
      <c r="C93" s="304" t="s">
        <v>160</v>
      </c>
      <c r="D93" s="305"/>
      <c r="E93" s="305"/>
      <c r="F93" s="305"/>
      <c r="G93" s="305"/>
      <c r="H93" s="305"/>
      <c r="I93" s="306"/>
    </row>
    <row r="94" spans="2:9" hidden="1" x14ac:dyDescent="0.35">
      <c r="B94" s="127" t="s">
        <v>41</v>
      </c>
      <c r="C94" s="291" t="s">
        <v>161</v>
      </c>
      <c r="D94" s="292"/>
      <c r="E94" s="292"/>
      <c r="F94" s="292"/>
      <c r="G94" s="292"/>
      <c r="H94" s="292"/>
      <c r="I94" s="293"/>
    </row>
    <row r="95" spans="2:9" hidden="1" x14ac:dyDescent="0.35">
      <c r="B95" s="127" t="s">
        <v>88</v>
      </c>
      <c r="C95" s="291" t="s">
        <v>162</v>
      </c>
      <c r="D95" s="292"/>
      <c r="E95" s="292"/>
      <c r="F95" s="292"/>
      <c r="G95" s="292"/>
      <c r="H95" s="292"/>
      <c r="I95" s="293"/>
    </row>
    <row r="96" spans="2:9" hidden="1" x14ac:dyDescent="0.35">
      <c r="B96" s="127" t="s">
        <v>40</v>
      </c>
      <c r="C96" s="291" t="s">
        <v>163</v>
      </c>
      <c r="D96" s="292"/>
      <c r="E96" s="292"/>
      <c r="F96" s="292"/>
      <c r="G96" s="292"/>
      <c r="H96" s="292"/>
      <c r="I96" s="293"/>
    </row>
    <row r="97" spans="1:9" hidden="1" x14ac:dyDescent="0.35">
      <c r="C97" s="121"/>
      <c r="D97" s="121"/>
      <c r="E97" s="121"/>
      <c r="F97" s="121"/>
      <c r="G97" s="121"/>
      <c r="H97" s="121"/>
      <c r="I97" s="121"/>
    </row>
    <row r="98" spans="1:9" hidden="1" x14ac:dyDescent="0.35">
      <c r="B98" s="130" t="s">
        <v>164</v>
      </c>
      <c r="C98" s="304" t="s">
        <v>165</v>
      </c>
      <c r="D98" s="305"/>
      <c r="E98" s="305"/>
      <c r="F98" s="305"/>
      <c r="G98" s="305"/>
      <c r="H98" s="305"/>
      <c r="I98" s="306"/>
    </row>
    <row r="99" spans="1:9" ht="14.5" hidden="1" customHeight="1" x14ac:dyDescent="0.35">
      <c r="B99" s="127" t="s">
        <v>41</v>
      </c>
      <c r="C99" s="291" t="s">
        <v>166</v>
      </c>
      <c r="D99" s="292"/>
      <c r="E99" s="292"/>
      <c r="F99" s="292"/>
      <c r="G99" s="292"/>
      <c r="H99" s="292"/>
      <c r="I99" s="293"/>
    </row>
    <row r="100" spans="1:9" ht="14.5" hidden="1" customHeight="1" x14ac:dyDescent="0.35">
      <c r="B100" s="127" t="s">
        <v>88</v>
      </c>
      <c r="C100" s="307"/>
      <c r="D100" s="308"/>
      <c r="E100" s="308"/>
      <c r="F100" s="308"/>
      <c r="G100" s="308"/>
      <c r="H100" s="308"/>
      <c r="I100" s="309"/>
    </row>
    <row r="101" spans="1:9" hidden="1" x14ac:dyDescent="0.35">
      <c r="B101" s="127" t="s">
        <v>40</v>
      </c>
      <c r="C101" s="291" t="s">
        <v>167</v>
      </c>
      <c r="D101" s="292"/>
      <c r="E101" s="292"/>
      <c r="F101" s="292"/>
      <c r="G101" s="292"/>
      <c r="H101" s="292"/>
      <c r="I101" s="293"/>
    </row>
    <row r="102" spans="1:9" hidden="1" x14ac:dyDescent="0.35">
      <c r="C102" s="121"/>
      <c r="D102" s="121"/>
      <c r="E102" s="121"/>
      <c r="F102" s="121"/>
      <c r="G102" s="121"/>
      <c r="H102" s="121"/>
      <c r="I102" s="121"/>
    </row>
    <row r="103" spans="1:9" hidden="1" x14ac:dyDescent="0.35">
      <c r="B103" s="130" t="s">
        <v>168</v>
      </c>
      <c r="C103" s="304" t="s">
        <v>169</v>
      </c>
      <c r="D103" s="305"/>
      <c r="E103" s="305"/>
      <c r="F103" s="305"/>
      <c r="G103" s="305"/>
      <c r="H103" s="305"/>
      <c r="I103" s="306"/>
    </row>
    <row r="104" spans="1:9" hidden="1" x14ac:dyDescent="0.35">
      <c r="B104" s="127" t="s">
        <v>41</v>
      </c>
      <c r="C104" s="291" t="s">
        <v>170</v>
      </c>
      <c r="D104" s="292"/>
      <c r="E104" s="292"/>
      <c r="F104" s="292"/>
      <c r="G104" s="292"/>
      <c r="H104" s="292"/>
      <c r="I104" s="293"/>
    </row>
    <row r="105" spans="1:9" ht="14.5" hidden="1" customHeight="1" x14ac:dyDescent="0.35">
      <c r="B105" s="127" t="s">
        <v>88</v>
      </c>
      <c r="C105" s="291"/>
      <c r="D105" s="292"/>
      <c r="E105" s="292"/>
      <c r="F105" s="292"/>
      <c r="G105" s="292"/>
      <c r="H105" s="292"/>
      <c r="I105" s="293"/>
    </row>
    <row r="106" spans="1:9" ht="14.5" hidden="1" customHeight="1" x14ac:dyDescent="0.35">
      <c r="B106" s="127" t="s">
        <v>40</v>
      </c>
      <c r="C106" s="291" t="s">
        <v>171</v>
      </c>
      <c r="D106" s="292"/>
      <c r="E106" s="292"/>
      <c r="F106" s="292"/>
      <c r="G106" s="292"/>
      <c r="H106" s="292"/>
      <c r="I106" s="293"/>
    </row>
    <row r="107" spans="1:9" customFormat="1" hidden="1" x14ac:dyDescent="0.35">
      <c r="A107" s="116"/>
      <c r="B107" s="116"/>
      <c r="C107" s="121"/>
      <c r="D107" s="121"/>
      <c r="E107" s="121"/>
      <c r="F107" s="121"/>
      <c r="G107" s="121"/>
      <c r="H107" s="121"/>
      <c r="I107" s="121"/>
    </row>
    <row r="108" spans="1:9" hidden="1" x14ac:dyDescent="0.35">
      <c r="B108" s="130" t="s">
        <v>172</v>
      </c>
      <c r="C108" s="304" t="s">
        <v>173</v>
      </c>
      <c r="D108" s="305"/>
      <c r="E108" s="305"/>
      <c r="F108" s="305"/>
      <c r="G108" s="305"/>
      <c r="H108" s="305"/>
      <c r="I108" s="306"/>
    </row>
    <row r="109" spans="1:9" hidden="1" x14ac:dyDescent="0.35">
      <c r="B109" s="127" t="s">
        <v>41</v>
      </c>
      <c r="C109" s="291" t="s">
        <v>174</v>
      </c>
      <c r="D109" s="292"/>
      <c r="E109" s="292"/>
      <c r="F109" s="292"/>
      <c r="G109" s="292"/>
      <c r="H109" s="292"/>
      <c r="I109" s="293"/>
    </row>
    <row r="110" spans="1:9" hidden="1" x14ac:dyDescent="0.35">
      <c r="B110" s="127" t="s">
        <v>88</v>
      </c>
      <c r="C110" s="310"/>
      <c r="D110" s="311"/>
      <c r="E110" s="311"/>
      <c r="F110" s="311"/>
      <c r="G110" s="311"/>
      <c r="H110" s="311"/>
      <c r="I110" s="312"/>
    </row>
    <row r="111" spans="1:9" hidden="1" x14ac:dyDescent="0.35">
      <c r="B111" s="127" t="s">
        <v>40</v>
      </c>
      <c r="C111" s="291" t="s">
        <v>175</v>
      </c>
      <c r="D111" s="292"/>
      <c r="E111" s="292"/>
      <c r="F111" s="292"/>
      <c r="G111" s="292"/>
      <c r="H111" s="292"/>
      <c r="I111" s="293"/>
    </row>
    <row r="112" spans="1:9" customFormat="1" x14ac:dyDescent="0.35">
      <c r="A112" s="116"/>
      <c r="B112" s="116"/>
      <c r="C112" s="121"/>
      <c r="D112" s="121"/>
      <c r="E112" s="121"/>
      <c r="F112" s="121"/>
      <c r="G112" s="121"/>
      <c r="H112" s="121"/>
      <c r="I112" s="121"/>
    </row>
  </sheetData>
  <mergeCells count="75">
    <mergeCell ref="C109:I109"/>
    <mergeCell ref="C110:I110"/>
    <mergeCell ref="C111:I111"/>
    <mergeCell ref="C101:I101"/>
    <mergeCell ref="C103:I103"/>
    <mergeCell ref="C104:I104"/>
    <mergeCell ref="C105:I105"/>
    <mergeCell ref="C106:I106"/>
    <mergeCell ref="C108:I108"/>
    <mergeCell ref="C100:I100"/>
    <mergeCell ref="C86:I86"/>
    <mergeCell ref="C88:I88"/>
    <mergeCell ref="C89:I89"/>
    <mergeCell ref="C90:I90"/>
    <mergeCell ref="C91:I91"/>
    <mergeCell ref="C93:I93"/>
    <mergeCell ref="C94:I94"/>
    <mergeCell ref="C95:I95"/>
    <mergeCell ref="C96:I96"/>
    <mergeCell ref="C98:I98"/>
    <mergeCell ref="C99:I99"/>
    <mergeCell ref="C85:I85"/>
    <mergeCell ref="C70:I70"/>
    <mergeCell ref="C71:I71"/>
    <mergeCell ref="C72:I72"/>
    <mergeCell ref="C74:I74"/>
    <mergeCell ref="C75:I75"/>
    <mergeCell ref="C76:I76"/>
    <mergeCell ref="C77:I77"/>
    <mergeCell ref="B81:I81"/>
    <mergeCell ref="C82:I82"/>
    <mergeCell ref="C83:I83"/>
    <mergeCell ref="C84:I84"/>
    <mergeCell ref="C68:I68"/>
    <mergeCell ref="C53:I53"/>
    <mergeCell ref="C54:I54"/>
    <mergeCell ref="C55:I55"/>
    <mergeCell ref="B58:I58"/>
    <mergeCell ref="C60:I60"/>
    <mergeCell ref="C61:I61"/>
    <mergeCell ref="C62:I62"/>
    <mergeCell ref="C63:I63"/>
    <mergeCell ref="C65:I65"/>
    <mergeCell ref="C66:I66"/>
    <mergeCell ref="C67:I67"/>
    <mergeCell ref="C52:I52"/>
    <mergeCell ref="C36:I36"/>
    <mergeCell ref="C37:I37"/>
    <mergeCell ref="B40:I40"/>
    <mergeCell ref="C42:I42"/>
    <mergeCell ref="C43:I43"/>
    <mergeCell ref="C44:I44"/>
    <mergeCell ref="C45:I45"/>
    <mergeCell ref="C47:I47"/>
    <mergeCell ref="C48:I48"/>
    <mergeCell ref="C49:I49"/>
    <mergeCell ref="C50:I50"/>
    <mergeCell ref="C35:I35"/>
    <mergeCell ref="B14:I14"/>
    <mergeCell ref="B17:I17"/>
    <mergeCell ref="C19:I19"/>
    <mergeCell ref="C20:I20"/>
    <mergeCell ref="C21:I21"/>
    <mergeCell ref="C22:I22"/>
    <mergeCell ref="C29:I29"/>
    <mergeCell ref="C30:I30"/>
    <mergeCell ref="C31:I31"/>
    <mergeCell ref="C32:I32"/>
    <mergeCell ref="C34:I34"/>
    <mergeCell ref="B9:C9"/>
    <mergeCell ref="B2:I2"/>
    <mergeCell ref="B4:I4"/>
    <mergeCell ref="C5:I5"/>
    <mergeCell ref="C6:I6"/>
    <mergeCell ref="C7:I7"/>
  </mergeCells>
  <pageMargins left="0.25" right="0.25" top="0.75" bottom="0.75" header="0.3" footer="0.3"/>
  <pageSetup scale="5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7D7D"/>
  </sheetPr>
  <dimension ref="A1:K291"/>
  <sheetViews>
    <sheetView tabSelected="1" zoomScale="85" zoomScaleNormal="85" workbookViewId="0">
      <selection activeCell="G107" sqref="G107"/>
    </sheetView>
  </sheetViews>
  <sheetFormatPr baseColWidth="10" defaultColWidth="0" defaultRowHeight="14.5" zeroHeight="1" x14ac:dyDescent="0.35"/>
  <cols>
    <col min="1" max="1" width="4.7265625" customWidth="1"/>
    <col min="2" max="2" width="16.81640625" customWidth="1"/>
    <col min="3" max="3" width="16.26953125" customWidth="1"/>
    <col min="4" max="4" width="21" customWidth="1"/>
    <col min="5" max="5" width="23.1796875" customWidth="1"/>
    <col min="6" max="6" width="17.54296875" customWidth="1"/>
    <col min="7" max="7" width="20.54296875" customWidth="1"/>
    <col min="8" max="8" width="4.7265625" customWidth="1"/>
    <col min="9" max="9" width="10.81640625" customWidth="1"/>
    <col min="10" max="10" width="21.54296875" customWidth="1"/>
    <col min="11" max="11" width="10.81640625" customWidth="1"/>
  </cols>
  <sheetData>
    <row r="1" spans="1:11" ht="7" customHeight="1" x14ac:dyDescent="0.35">
      <c r="A1" s="100"/>
      <c r="B1" s="101"/>
      <c r="C1" s="101"/>
      <c r="D1" s="101"/>
      <c r="E1" s="101"/>
      <c r="F1" s="101"/>
      <c r="G1" s="101"/>
      <c r="H1" s="102"/>
      <c r="I1" s="13"/>
      <c r="J1" s="13"/>
      <c r="K1" s="13"/>
    </row>
    <row r="2" spans="1:11" ht="24" customHeight="1" x14ac:dyDescent="0.4">
      <c r="A2" s="103"/>
      <c r="B2" s="104" t="s">
        <v>61</v>
      </c>
      <c r="C2" s="105"/>
      <c r="D2" s="105"/>
      <c r="E2" s="105"/>
      <c r="F2" s="105"/>
      <c r="G2" s="105"/>
      <c r="H2" s="106"/>
      <c r="I2" s="13"/>
      <c r="J2" s="13"/>
      <c r="K2" s="13"/>
    </row>
    <row r="3" spans="1:11" ht="15.5" x14ac:dyDescent="0.35">
      <c r="A3" s="103"/>
      <c r="B3" s="107" t="s">
        <v>4</v>
      </c>
      <c r="C3" s="105"/>
      <c r="D3" s="105"/>
      <c r="E3" s="105"/>
      <c r="F3" s="105"/>
      <c r="G3" s="105"/>
      <c r="H3" s="106"/>
      <c r="I3" s="13"/>
      <c r="J3" s="13"/>
      <c r="K3" s="13"/>
    </row>
    <row r="4" spans="1:11" x14ac:dyDescent="0.35">
      <c r="A4" s="103"/>
      <c r="B4" s="105"/>
      <c r="C4" s="105"/>
      <c r="D4" s="105"/>
      <c r="E4" s="105"/>
      <c r="F4" s="105"/>
      <c r="G4" s="105"/>
      <c r="H4" s="106"/>
      <c r="I4" s="13"/>
      <c r="J4" s="13"/>
      <c r="K4" s="13"/>
    </row>
    <row r="5" spans="1:11" x14ac:dyDescent="0.35">
      <c r="A5" s="103"/>
      <c r="B5" s="105"/>
      <c r="C5" s="105"/>
      <c r="D5" s="105"/>
      <c r="E5" s="105"/>
      <c r="F5" s="105"/>
      <c r="G5" s="105"/>
      <c r="H5" s="106"/>
      <c r="I5" s="13"/>
      <c r="J5" s="13"/>
      <c r="K5" s="13"/>
    </row>
    <row r="6" spans="1:11" x14ac:dyDescent="0.35">
      <c r="A6" s="103"/>
      <c r="B6" s="105"/>
      <c r="C6" s="105"/>
      <c r="D6" s="105"/>
      <c r="E6" s="105"/>
      <c r="F6" s="105"/>
      <c r="G6" s="105"/>
      <c r="H6" s="106"/>
      <c r="I6" s="13"/>
      <c r="J6" s="13"/>
      <c r="K6" s="13"/>
    </row>
    <row r="7" spans="1:11" x14ac:dyDescent="0.35">
      <c r="A7" s="108"/>
      <c r="B7" s="3"/>
      <c r="C7" s="3"/>
      <c r="D7" s="3"/>
      <c r="E7" s="3"/>
      <c r="F7" s="3"/>
      <c r="G7" s="3"/>
      <c r="H7" s="109"/>
      <c r="I7" s="13"/>
      <c r="J7" s="13"/>
      <c r="K7" s="13"/>
    </row>
    <row r="8" spans="1:11" x14ac:dyDescent="0.35">
      <c r="A8" s="108"/>
      <c r="B8" s="3"/>
      <c r="C8" s="3"/>
      <c r="D8" s="3"/>
      <c r="E8" s="3"/>
      <c r="F8" s="3"/>
      <c r="G8" s="3"/>
      <c r="H8" s="109"/>
      <c r="I8" s="13"/>
      <c r="J8" s="13"/>
      <c r="K8" s="13"/>
    </row>
    <row r="9" spans="1:11" x14ac:dyDescent="0.35">
      <c r="A9" s="108"/>
      <c r="B9" s="3"/>
      <c r="C9" s="3"/>
      <c r="D9" s="3"/>
      <c r="E9" s="3"/>
      <c r="F9" s="3"/>
      <c r="G9" s="3"/>
      <c r="H9" s="109"/>
      <c r="I9" s="13"/>
      <c r="J9" s="13"/>
      <c r="K9" s="13"/>
    </row>
    <row r="10" spans="1:11" x14ac:dyDescent="0.35">
      <c r="A10" s="108"/>
      <c r="B10" s="3"/>
      <c r="C10" s="3"/>
      <c r="D10" s="3"/>
      <c r="E10" s="3"/>
      <c r="F10" s="3"/>
      <c r="G10" s="3"/>
      <c r="H10" s="109"/>
      <c r="I10" s="13"/>
      <c r="J10" s="13"/>
      <c r="K10" s="13"/>
    </row>
    <row r="11" spans="1:11" x14ac:dyDescent="0.35">
      <c r="A11" s="108"/>
      <c r="B11" s="3"/>
      <c r="C11" s="3"/>
      <c r="D11" s="3"/>
      <c r="E11" s="3"/>
      <c r="F11" s="3"/>
      <c r="G11" s="3"/>
      <c r="H11" s="109"/>
      <c r="I11" s="13"/>
      <c r="J11" s="13"/>
      <c r="K11" s="13"/>
    </row>
    <row r="12" spans="1:11" x14ac:dyDescent="0.35">
      <c r="A12" s="108"/>
      <c r="B12" s="3"/>
      <c r="C12" s="3"/>
      <c r="D12" s="3"/>
      <c r="E12" s="3"/>
      <c r="F12" s="3"/>
      <c r="G12" s="3"/>
      <c r="H12" s="109"/>
      <c r="I12" s="13"/>
      <c r="J12" s="13"/>
      <c r="K12" s="13"/>
    </row>
    <row r="13" spans="1:11" x14ac:dyDescent="0.35">
      <c r="A13" s="108"/>
      <c r="B13" s="3"/>
      <c r="C13" s="3"/>
      <c r="D13" s="3"/>
      <c r="E13" s="3"/>
      <c r="F13" s="3"/>
      <c r="G13" s="3"/>
      <c r="H13" s="109"/>
      <c r="I13" s="13"/>
      <c r="J13" s="13"/>
      <c r="K13" s="13"/>
    </row>
    <row r="14" spans="1:11" x14ac:dyDescent="0.35">
      <c r="A14" s="108"/>
      <c r="B14" s="3"/>
      <c r="C14" s="3"/>
      <c r="D14" s="3"/>
      <c r="E14" s="3"/>
      <c r="F14" s="3"/>
      <c r="G14" s="3"/>
      <c r="H14" s="109"/>
      <c r="I14" s="13"/>
      <c r="J14" s="13"/>
      <c r="K14" s="13"/>
    </row>
    <row r="15" spans="1:11" x14ac:dyDescent="0.35">
      <c r="A15" s="108"/>
      <c r="B15" s="3"/>
      <c r="C15" s="3"/>
      <c r="D15" s="3"/>
      <c r="E15" s="3"/>
      <c r="F15" s="3"/>
      <c r="G15" s="3"/>
      <c r="H15" s="109"/>
      <c r="I15" s="13"/>
      <c r="J15" s="13"/>
      <c r="K15" s="13"/>
    </row>
    <row r="16" spans="1:11" x14ac:dyDescent="0.35">
      <c r="A16" s="108"/>
      <c r="B16" s="3"/>
      <c r="C16" s="3"/>
      <c r="D16" s="3"/>
      <c r="E16" s="3"/>
      <c r="F16" s="3"/>
      <c r="G16" s="3"/>
      <c r="H16" s="109"/>
      <c r="I16" s="13"/>
      <c r="J16" s="13"/>
      <c r="K16" s="13"/>
    </row>
    <row r="17" spans="1:11" x14ac:dyDescent="0.35">
      <c r="A17" s="108"/>
      <c r="B17" s="3"/>
      <c r="C17" s="3"/>
      <c r="D17" s="3"/>
      <c r="E17" s="3"/>
      <c r="F17" s="3"/>
      <c r="G17" s="3"/>
      <c r="H17" s="109"/>
      <c r="I17" s="13"/>
      <c r="J17" s="13"/>
      <c r="K17" s="13"/>
    </row>
    <row r="18" spans="1:11" x14ac:dyDescent="0.35">
      <c r="A18" s="108"/>
      <c r="B18" s="3"/>
      <c r="C18" s="3"/>
      <c r="D18" s="3"/>
      <c r="E18" s="3"/>
      <c r="F18" s="3"/>
      <c r="G18" s="3"/>
      <c r="H18" s="109"/>
      <c r="I18" s="13"/>
      <c r="J18" s="13"/>
      <c r="K18" s="13"/>
    </row>
    <row r="19" spans="1:11" x14ac:dyDescent="0.35">
      <c r="A19" s="108"/>
      <c r="B19" s="3"/>
      <c r="C19" s="3"/>
      <c r="D19" s="3"/>
      <c r="E19" s="3"/>
      <c r="F19" s="3"/>
      <c r="G19" s="3"/>
      <c r="H19" s="109"/>
      <c r="I19" s="13"/>
      <c r="J19" s="13"/>
      <c r="K19" s="13"/>
    </row>
    <row r="20" spans="1:11" x14ac:dyDescent="0.35">
      <c r="A20" s="108"/>
      <c r="B20" s="3"/>
      <c r="C20" s="3"/>
      <c r="D20" s="3"/>
      <c r="E20" s="3"/>
      <c r="F20" s="3"/>
      <c r="G20" s="3"/>
      <c r="H20" s="109"/>
      <c r="I20" s="13"/>
      <c r="J20" s="13"/>
      <c r="K20" s="13"/>
    </row>
    <row r="21" spans="1:11" x14ac:dyDescent="0.35">
      <c r="A21" s="108"/>
      <c r="B21" s="3"/>
      <c r="C21" s="3"/>
      <c r="D21" s="3"/>
      <c r="E21" s="3"/>
      <c r="F21" s="3"/>
      <c r="G21" s="3"/>
      <c r="H21" s="109"/>
      <c r="I21" s="13"/>
      <c r="J21" s="13"/>
      <c r="K21" s="13"/>
    </row>
    <row r="22" spans="1:11" x14ac:dyDescent="0.35">
      <c r="A22" s="108"/>
      <c r="B22" s="3"/>
      <c r="C22" s="3"/>
      <c r="D22" s="3"/>
      <c r="E22" s="3"/>
      <c r="F22" s="3"/>
      <c r="G22" s="3"/>
      <c r="H22" s="109"/>
      <c r="I22" s="13"/>
      <c r="J22" s="13"/>
      <c r="K22" s="13"/>
    </row>
    <row r="23" spans="1:11" ht="24" customHeight="1" x14ac:dyDescent="0.35">
      <c r="A23" s="108"/>
      <c r="B23" s="326" t="s">
        <v>74</v>
      </c>
      <c r="C23" s="327"/>
      <c r="D23" s="327"/>
      <c r="E23" s="327"/>
      <c r="F23" s="327"/>
      <c r="G23" s="328"/>
      <c r="H23" s="109"/>
      <c r="I23" s="13"/>
      <c r="J23" s="13"/>
      <c r="K23" s="13"/>
    </row>
    <row r="24" spans="1:11" ht="16.5" customHeight="1" x14ac:dyDescent="0.35">
      <c r="A24" s="108"/>
      <c r="B24" s="97" t="s">
        <v>31</v>
      </c>
      <c r="C24" s="98" t="s">
        <v>34</v>
      </c>
      <c r="D24" s="91"/>
      <c r="E24" s="93"/>
      <c r="F24" s="92" t="s">
        <v>35</v>
      </c>
      <c r="G24" s="99">
        <v>46056</v>
      </c>
      <c r="H24" s="109"/>
      <c r="I24" s="13"/>
      <c r="J24" s="13"/>
      <c r="K24" s="13"/>
    </row>
    <row r="25" spans="1:11" ht="16.5" customHeight="1" x14ac:dyDescent="0.35">
      <c r="A25" s="108"/>
      <c r="B25" s="97" t="s">
        <v>8375</v>
      </c>
      <c r="C25" s="98" t="s">
        <v>8376</v>
      </c>
      <c r="D25" s="91"/>
      <c r="E25" s="93"/>
      <c r="F25" s="92" t="s">
        <v>8377</v>
      </c>
      <c r="G25" s="98" t="s">
        <v>8384</v>
      </c>
      <c r="H25" s="109"/>
      <c r="I25" s="13"/>
      <c r="J25" s="13"/>
      <c r="K25" s="13"/>
    </row>
    <row r="26" spans="1:11" ht="25.5" customHeight="1" x14ac:dyDescent="0.35">
      <c r="A26" s="108"/>
      <c r="B26" s="94" t="s">
        <v>75</v>
      </c>
      <c r="C26" s="332" t="s">
        <v>76</v>
      </c>
      <c r="D26" s="333"/>
      <c r="E26" s="94" t="s">
        <v>36</v>
      </c>
      <c r="F26" s="94" t="s">
        <v>37</v>
      </c>
      <c r="G26" s="95" t="s">
        <v>38</v>
      </c>
      <c r="H26" s="109"/>
      <c r="I26" s="13"/>
      <c r="J26" s="13"/>
      <c r="K26" s="13"/>
    </row>
    <row r="27" spans="1:11" ht="17.149999999999999" customHeight="1" x14ac:dyDescent="0.35">
      <c r="A27" s="108"/>
      <c r="B27" s="329" t="s">
        <v>62</v>
      </c>
      <c r="C27" s="86" t="s">
        <v>65</v>
      </c>
      <c r="D27" s="15"/>
      <c r="E27" s="18">
        <v>0.1</v>
      </c>
      <c r="F27" s="26">
        <f>+F48</f>
        <v>1</v>
      </c>
      <c r="G27" s="27">
        <f>+E27*F27</f>
        <v>0.1</v>
      </c>
      <c r="H27" s="109"/>
      <c r="I27" s="13"/>
      <c r="J27" s="13"/>
      <c r="K27" s="13"/>
    </row>
    <row r="28" spans="1:11" ht="17.149999999999999" customHeight="1" x14ac:dyDescent="0.35">
      <c r="A28" s="108"/>
      <c r="B28" s="330"/>
      <c r="C28" s="86" t="s">
        <v>66</v>
      </c>
      <c r="D28" s="15"/>
      <c r="E28" s="221">
        <v>7.4999999999999997E-2</v>
      </c>
      <c r="F28" s="26">
        <f>+F69</f>
        <v>1</v>
      </c>
      <c r="G28" s="25">
        <f>+E28*F28</f>
        <v>7.4999999999999997E-2</v>
      </c>
      <c r="H28" s="109"/>
      <c r="I28" s="13"/>
      <c r="J28" s="13"/>
      <c r="K28" s="13"/>
    </row>
    <row r="29" spans="1:11" ht="17.149999999999999" customHeight="1" x14ac:dyDescent="0.35">
      <c r="A29" s="108"/>
      <c r="B29" s="331"/>
      <c r="C29" s="85" t="s">
        <v>67</v>
      </c>
      <c r="D29" s="89"/>
      <c r="E29" s="220">
        <v>2.5000000000000001E-2</v>
      </c>
      <c r="F29" s="28">
        <f>+F81</f>
        <v>1</v>
      </c>
      <c r="G29" s="28">
        <f>+E29*F29</f>
        <v>2.5000000000000001E-2</v>
      </c>
      <c r="H29" s="109"/>
      <c r="I29" s="13"/>
      <c r="J29" s="13"/>
      <c r="K29" s="13"/>
    </row>
    <row r="30" spans="1:11" ht="17.149999999999999" customHeight="1" x14ac:dyDescent="0.35">
      <c r="A30" s="108"/>
      <c r="B30" s="329" t="s">
        <v>63</v>
      </c>
      <c r="C30" s="86" t="s">
        <v>68</v>
      </c>
      <c r="D30" s="15"/>
      <c r="E30" s="18">
        <v>0.5</v>
      </c>
      <c r="F30" s="26">
        <f>+F94</f>
        <v>1</v>
      </c>
      <c r="G30" s="27">
        <f t="shared" ref="G30:G35" si="0">+E30*F30</f>
        <v>0.5</v>
      </c>
      <c r="H30" s="237"/>
      <c r="I30" s="13"/>
      <c r="J30" s="13"/>
      <c r="K30" s="13"/>
    </row>
    <row r="31" spans="1:11" ht="17.149999999999999" customHeight="1" x14ac:dyDescent="0.35">
      <c r="A31" s="108"/>
      <c r="B31" s="330"/>
      <c r="C31" s="86" t="s">
        <v>69</v>
      </c>
      <c r="D31" s="15"/>
      <c r="E31" s="19">
        <v>0.1</v>
      </c>
      <c r="F31" s="26">
        <f>+'4.Inv Rota'!L5</f>
        <v>0.94117647058823528</v>
      </c>
      <c r="G31" s="25">
        <f t="shared" si="0"/>
        <v>9.4117647058823528E-2</v>
      </c>
      <c r="H31" s="109"/>
      <c r="I31" s="13"/>
      <c r="J31" s="13"/>
      <c r="K31" s="13"/>
    </row>
    <row r="32" spans="1:11" ht="17.149999999999999" customHeight="1" x14ac:dyDescent="0.35">
      <c r="A32" s="108"/>
      <c r="B32" s="331"/>
      <c r="C32" s="86" t="s">
        <v>70</v>
      </c>
      <c r="D32" s="15"/>
      <c r="E32" s="220">
        <v>2.5000000000000001E-2</v>
      </c>
      <c r="F32" s="26">
        <f>+'4.Inv Rota'!K5</f>
        <v>1</v>
      </c>
      <c r="G32" s="28">
        <f>+E32*F32</f>
        <v>2.5000000000000001E-2</v>
      </c>
      <c r="H32" s="109"/>
      <c r="I32" s="13"/>
      <c r="J32" s="13"/>
      <c r="K32" s="13"/>
    </row>
    <row r="33" spans="1:11" ht="17.149999999999999" customHeight="1" x14ac:dyDescent="0.35">
      <c r="A33" s="108"/>
      <c r="B33" s="329" t="s">
        <v>64</v>
      </c>
      <c r="C33" s="84" t="s">
        <v>767</v>
      </c>
      <c r="D33" s="16"/>
      <c r="E33" s="219">
        <v>2.5000000000000001E-2</v>
      </c>
      <c r="F33" s="216">
        <f>+F135</f>
        <v>0.5</v>
      </c>
      <c r="G33" s="27">
        <f t="shared" si="0"/>
        <v>1.2500000000000001E-2</v>
      </c>
      <c r="H33" s="109"/>
      <c r="I33" s="13"/>
      <c r="J33" s="13"/>
      <c r="K33" s="13"/>
    </row>
    <row r="34" spans="1:11" ht="17.149999999999999" customHeight="1" x14ac:dyDescent="0.35">
      <c r="A34" s="108"/>
      <c r="B34" s="330"/>
      <c r="C34" s="87" t="s">
        <v>72</v>
      </c>
      <c r="D34" s="15"/>
      <c r="E34" s="19">
        <v>0.05</v>
      </c>
      <c r="F34" s="26">
        <f>+F148</f>
        <v>1</v>
      </c>
      <c r="G34" s="25">
        <f t="shared" si="0"/>
        <v>0.05</v>
      </c>
      <c r="H34" s="109"/>
      <c r="I34" s="13"/>
      <c r="J34" s="13"/>
      <c r="K34" s="13"/>
    </row>
    <row r="35" spans="1:11" ht="17.149999999999999" customHeight="1" x14ac:dyDescent="0.35">
      <c r="A35" s="108"/>
      <c r="B35" s="331"/>
      <c r="C35" s="85" t="s">
        <v>73</v>
      </c>
      <c r="D35" s="17"/>
      <c r="E35" s="29">
        <v>0.1</v>
      </c>
      <c r="F35" s="217">
        <f>+F154</f>
        <v>1</v>
      </c>
      <c r="G35" s="28">
        <f t="shared" si="0"/>
        <v>0.1</v>
      </c>
      <c r="H35" s="109"/>
      <c r="I35" s="13"/>
      <c r="J35" s="13"/>
      <c r="K35" s="13"/>
    </row>
    <row r="36" spans="1:11" ht="20" x14ac:dyDescent="0.35">
      <c r="A36" s="108"/>
      <c r="B36" s="71"/>
      <c r="C36" s="72"/>
      <c r="D36" s="73"/>
      <c r="E36" s="218">
        <f>SUM(E27:E35)</f>
        <v>1</v>
      </c>
      <c r="F36" s="74"/>
      <c r="G36" s="75">
        <f>SUM(G27:G35)</f>
        <v>0.98161764705882348</v>
      </c>
      <c r="H36" s="109"/>
      <c r="I36" s="13"/>
      <c r="J36" s="13"/>
      <c r="K36" s="13"/>
    </row>
    <row r="37" spans="1:11" x14ac:dyDescent="0.35">
      <c r="A37" s="108"/>
      <c r="B37" s="3"/>
      <c r="C37" s="15"/>
      <c r="D37" s="15"/>
      <c r="E37" s="110"/>
      <c r="F37" s="110"/>
      <c r="G37" s="110"/>
      <c r="H37" s="109"/>
      <c r="I37" s="13"/>
      <c r="J37" s="13"/>
      <c r="K37" s="13"/>
    </row>
    <row r="38" spans="1:11" x14ac:dyDescent="0.35">
      <c r="A38" s="108"/>
      <c r="B38" s="111" t="s">
        <v>77</v>
      </c>
      <c r="C38" s="15"/>
      <c r="D38" s="15"/>
      <c r="E38" s="15"/>
      <c r="F38" s="15"/>
      <c r="G38" s="15"/>
      <c r="H38" s="109"/>
      <c r="I38" s="13"/>
      <c r="J38" s="13"/>
      <c r="K38" s="13"/>
    </row>
    <row r="39" spans="1:11" x14ac:dyDescent="0.35">
      <c r="A39" s="323" t="s">
        <v>62</v>
      </c>
      <c r="B39" s="324"/>
      <c r="C39" s="324"/>
      <c r="D39" s="324"/>
      <c r="E39" s="324"/>
      <c r="F39" s="324"/>
      <c r="G39" s="324"/>
      <c r="H39" s="325"/>
      <c r="I39" s="13"/>
      <c r="J39" s="13"/>
      <c r="K39" s="13"/>
    </row>
    <row r="40" spans="1:11" x14ac:dyDescent="0.35">
      <c r="A40" s="320" t="s">
        <v>65</v>
      </c>
      <c r="B40" s="321"/>
      <c r="C40" s="321"/>
      <c r="D40" s="321"/>
      <c r="E40" s="321"/>
      <c r="F40" s="321"/>
      <c r="G40" s="321"/>
      <c r="H40" s="322"/>
      <c r="I40" s="13"/>
      <c r="J40" s="13"/>
      <c r="K40" s="13"/>
    </row>
    <row r="41" spans="1:11" s="20" customFormat="1" ht="16" customHeight="1" x14ac:dyDescent="0.35">
      <c r="A41" s="112"/>
      <c r="B41" s="317" t="s">
        <v>322</v>
      </c>
      <c r="C41" s="317"/>
      <c r="D41" s="317"/>
      <c r="E41" s="50">
        <v>3</v>
      </c>
      <c r="F41" s="114"/>
      <c r="G41" s="114"/>
      <c r="H41" s="88"/>
      <c r="I41" s="31"/>
      <c r="J41" s="13"/>
      <c r="K41" s="13"/>
    </row>
    <row r="42" spans="1:11" s="20" customFormat="1" ht="16" customHeight="1" x14ac:dyDescent="0.35">
      <c r="A42" s="112"/>
      <c r="B42" s="318" t="s">
        <v>210</v>
      </c>
      <c r="C42" s="318"/>
      <c r="D42" s="318"/>
      <c r="E42" s="50">
        <v>0</v>
      </c>
      <c r="F42" s="114"/>
      <c r="G42" s="114"/>
      <c r="H42" s="88"/>
      <c r="I42" s="31"/>
      <c r="J42" s="13"/>
      <c r="K42" s="13"/>
    </row>
    <row r="43" spans="1:11" s="20" customFormat="1" ht="10" customHeight="1" x14ac:dyDescent="0.35">
      <c r="A43" s="112"/>
      <c r="B43" s="114"/>
      <c r="C43" s="114"/>
      <c r="D43" s="114"/>
      <c r="E43" s="114"/>
      <c r="F43" s="114"/>
      <c r="G43" s="114"/>
      <c r="H43" s="88"/>
      <c r="I43" s="31"/>
      <c r="J43" s="13"/>
      <c r="K43" s="13"/>
    </row>
    <row r="44" spans="1:11" s="43" customFormat="1" ht="14.15" hidden="1" customHeight="1" x14ac:dyDescent="0.35">
      <c r="A44" s="112"/>
      <c r="B44" s="131" t="s">
        <v>2</v>
      </c>
      <c r="C44" s="131" t="s">
        <v>176</v>
      </c>
      <c r="D44" s="11" t="s">
        <v>177</v>
      </c>
      <c r="E44" s="11" t="s">
        <v>178</v>
      </c>
      <c r="F44" s="44" t="s">
        <v>179</v>
      </c>
      <c r="G44" s="21"/>
      <c r="H44" s="115"/>
      <c r="I44" s="41"/>
      <c r="J44" s="42"/>
      <c r="K44" s="42"/>
    </row>
    <row r="45" spans="1:11" s="20" customFormat="1" ht="14.15" hidden="1" customHeight="1" x14ac:dyDescent="0.35">
      <c r="A45" s="112"/>
      <c r="B45" s="212"/>
      <c r="C45" s="213"/>
      <c r="D45" s="133"/>
      <c r="E45" s="49"/>
      <c r="F45" s="45"/>
      <c r="G45" s="15"/>
      <c r="H45" s="88"/>
      <c r="I45" s="31"/>
      <c r="J45" s="13"/>
      <c r="K45" s="13"/>
    </row>
    <row r="46" spans="1:11" s="20" customFormat="1" ht="14.15" hidden="1" customHeight="1" x14ac:dyDescent="0.35">
      <c r="A46" s="112"/>
      <c r="B46" s="334" t="s">
        <v>180</v>
      </c>
      <c r="C46" s="334"/>
      <c r="D46" s="334"/>
      <c r="E46" s="334"/>
      <c r="F46" s="132" t="e">
        <f>AVERAGE(F45:F45)</f>
        <v>#DIV/0!</v>
      </c>
      <c r="G46" s="14"/>
      <c r="H46" s="88"/>
      <c r="I46" s="31"/>
      <c r="J46" s="13"/>
      <c r="K46" s="13"/>
    </row>
    <row r="47" spans="1:11" s="20" customFormat="1" ht="16" hidden="1" customHeight="1" x14ac:dyDescent="0.35">
      <c r="A47" s="112"/>
      <c r="B47" s="318" t="s">
        <v>44</v>
      </c>
      <c r="C47" s="318"/>
      <c r="D47" s="318"/>
      <c r="E47" s="318"/>
      <c r="F47" s="318"/>
      <c r="G47" s="318"/>
      <c r="H47" s="88"/>
      <c r="I47" s="31" t="s">
        <v>32</v>
      </c>
      <c r="J47" s="13"/>
      <c r="K47" s="13"/>
    </row>
    <row r="48" spans="1:11" s="20" customFormat="1" ht="19.5" customHeight="1" x14ac:dyDescent="0.35">
      <c r="A48" s="112"/>
      <c r="B48" s="317" t="s">
        <v>181</v>
      </c>
      <c r="C48" s="317"/>
      <c r="D48" s="317"/>
      <c r="E48" s="317"/>
      <c r="F48" s="46">
        <f>+'1,Tranf.Pend. Recep'!K15</f>
        <v>1</v>
      </c>
      <c r="G48" s="114"/>
      <c r="H48" s="88"/>
      <c r="I48" s="31"/>
      <c r="J48" s="13"/>
      <c r="K48" s="13"/>
    </row>
    <row r="49" spans="1:11" s="20" customFormat="1" ht="14.5" customHeight="1" x14ac:dyDescent="0.35">
      <c r="A49" s="112"/>
      <c r="B49" s="2"/>
      <c r="C49" s="2"/>
      <c r="D49" s="2"/>
      <c r="E49" s="37"/>
      <c r="F49" s="36"/>
      <c r="G49" s="96"/>
      <c r="H49" s="88"/>
      <c r="I49" s="34"/>
      <c r="J49" s="31"/>
      <c r="K49" s="33"/>
    </row>
    <row r="50" spans="1:11" x14ac:dyDescent="0.35">
      <c r="A50" s="320" t="s">
        <v>66</v>
      </c>
      <c r="B50" s="321"/>
      <c r="C50" s="321"/>
      <c r="D50" s="321"/>
      <c r="E50" s="321"/>
      <c r="F50" s="321"/>
      <c r="G50" s="321"/>
      <c r="H50" s="322"/>
      <c r="I50" s="13"/>
      <c r="J50" s="13"/>
      <c r="K50" s="13"/>
    </row>
    <row r="51" spans="1:11" s="20" customFormat="1" ht="16" customHeight="1" x14ac:dyDescent="0.35">
      <c r="A51" s="112"/>
      <c r="B51" s="317" t="s">
        <v>209</v>
      </c>
      <c r="C51" s="317"/>
      <c r="D51" s="317"/>
      <c r="E51" s="50">
        <v>5</v>
      </c>
      <c r="F51" s="114"/>
      <c r="G51" s="114"/>
      <c r="H51" s="88"/>
      <c r="I51" s="31"/>
      <c r="J51" s="13"/>
      <c r="K51" s="13"/>
    </row>
    <row r="52" spans="1:11" s="20" customFormat="1" ht="16" customHeight="1" x14ac:dyDescent="0.35">
      <c r="A52" s="112"/>
      <c r="B52" s="318" t="s">
        <v>211</v>
      </c>
      <c r="C52" s="318"/>
      <c r="D52" s="318"/>
      <c r="E52" s="50">
        <v>5</v>
      </c>
      <c r="F52" s="114"/>
      <c r="G52" s="114"/>
      <c r="H52" s="88"/>
      <c r="I52" s="31"/>
      <c r="J52" s="13"/>
      <c r="K52" s="13"/>
    </row>
    <row r="53" spans="1:11" s="20" customFormat="1" ht="16" customHeight="1" x14ac:dyDescent="0.35">
      <c r="A53" s="112"/>
      <c r="B53" s="114"/>
      <c r="C53" s="114"/>
      <c r="D53" s="114"/>
      <c r="E53" s="114"/>
      <c r="F53" s="114"/>
      <c r="G53" s="114"/>
      <c r="H53" s="88"/>
      <c r="I53" s="31"/>
      <c r="J53" s="13"/>
      <c r="K53" s="13"/>
    </row>
    <row r="54" spans="1:11" s="20" customFormat="1" ht="16" customHeight="1" x14ac:dyDescent="0.35">
      <c r="A54" s="112"/>
      <c r="B54" s="96" t="s">
        <v>8385</v>
      </c>
      <c r="C54" s="114"/>
      <c r="D54" s="114"/>
      <c r="E54" s="114"/>
      <c r="F54" s="114"/>
      <c r="G54" s="114"/>
      <c r="H54" s="88"/>
      <c r="I54" s="31"/>
      <c r="J54" s="13"/>
      <c r="K54" s="13"/>
    </row>
    <row r="55" spans="1:11" s="20" customFormat="1" ht="4.5" customHeight="1" x14ac:dyDescent="0.35">
      <c r="A55" s="112"/>
      <c r="B55" s="114"/>
      <c r="C55" s="114"/>
      <c r="D55" s="114"/>
      <c r="E55" s="114"/>
      <c r="F55" s="114"/>
      <c r="G55" s="114"/>
      <c r="H55" s="88"/>
      <c r="I55" s="31"/>
      <c r="J55" s="13"/>
      <c r="K55" s="13"/>
    </row>
    <row r="56" spans="1:11" s="20" customFormat="1" ht="16" customHeight="1" x14ac:dyDescent="0.35">
      <c r="A56" s="112"/>
      <c r="B56" s="432" t="s">
        <v>206</v>
      </c>
      <c r="C56" s="432" t="s">
        <v>2</v>
      </c>
      <c r="D56" s="432" t="s">
        <v>47</v>
      </c>
      <c r="E56" s="432" t="s">
        <v>298</v>
      </c>
      <c r="F56" s="433" t="s">
        <v>1006</v>
      </c>
      <c r="G56" s="433"/>
      <c r="H56" s="88"/>
      <c r="I56" s="31"/>
      <c r="J56" s="13"/>
      <c r="K56" s="13"/>
    </row>
    <row r="57" spans="1:11" s="20" customFormat="1" ht="33" customHeight="1" x14ac:dyDescent="0.35">
      <c r="A57" s="112"/>
      <c r="B57" s="434" t="s">
        <v>405</v>
      </c>
      <c r="C57" s="435">
        <f>+VLOOKUP(B57,'2.Pend.Creditoo'!A$17:N$35,6,0)</f>
        <v>45688</v>
      </c>
      <c r="D57" s="435" t="str">
        <f>+VLOOKUP(B57,'2.Pend.Creditoo'!A$17:N$35,9,0)</f>
        <v>A-0300-00148818</v>
      </c>
      <c r="E57" s="434">
        <f>+VLOOKUP(B57,'2.Pend.Creditoo'!A$17:N$35,14,0)</f>
        <v>12</v>
      </c>
      <c r="F57" s="436" t="s">
        <v>8383</v>
      </c>
      <c r="G57" s="436"/>
      <c r="H57" s="88"/>
      <c r="I57" s="31"/>
      <c r="J57" s="13"/>
      <c r="K57" s="13"/>
    </row>
    <row r="58" spans="1:11" s="20" customFormat="1" ht="33" customHeight="1" x14ac:dyDescent="0.35">
      <c r="A58" s="112"/>
      <c r="B58" s="434" t="s">
        <v>407</v>
      </c>
      <c r="C58" s="435">
        <f>+VLOOKUP(B58,'2.Pend.Creditoo'!A$17:N$35,6,0)</f>
        <v>45688</v>
      </c>
      <c r="D58" s="435" t="str">
        <f>+VLOOKUP(B58,'2.Pend.Creditoo'!A$17:N$35,9,0)</f>
        <v>A-0300-00148818</v>
      </c>
      <c r="E58" s="434">
        <f>+VLOOKUP(B58,'2.Pend.Creditoo'!A$17:N$35,14,0)</f>
        <v>10</v>
      </c>
      <c r="F58" s="436"/>
      <c r="G58" s="436"/>
      <c r="H58" s="88"/>
      <c r="I58" s="31"/>
      <c r="J58" s="13"/>
      <c r="K58" s="13"/>
    </row>
    <row r="59" spans="1:11" s="20" customFormat="1" ht="33" customHeight="1" x14ac:dyDescent="0.35">
      <c r="A59" s="112"/>
      <c r="B59" s="434" t="s">
        <v>445</v>
      </c>
      <c r="C59" s="435">
        <f>+VLOOKUP(B59,'2.Pend.Creditoo'!A$17:N$35,6,0)</f>
        <v>45688</v>
      </c>
      <c r="D59" s="435" t="str">
        <f>+VLOOKUP(B59,'2.Pend.Creditoo'!A$17:N$35,9,0)</f>
        <v>A-0300-00148818</v>
      </c>
      <c r="E59" s="434">
        <f>+VLOOKUP(B59,'2.Pend.Creditoo'!A$17:N$35,14,0)</f>
        <v>10</v>
      </c>
      <c r="F59" s="436"/>
      <c r="G59" s="436"/>
      <c r="H59" s="88"/>
      <c r="I59" s="31"/>
      <c r="J59" s="13"/>
      <c r="K59" s="13"/>
    </row>
    <row r="60" spans="1:11" s="20" customFormat="1" ht="33" customHeight="1" x14ac:dyDescent="0.35">
      <c r="A60" s="112"/>
      <c r="B60" s="434" t="s">
        <v>1546</v>
      </c>
      <c r="C60" s="435">
        <f>+VLOOKUP(B60,'2.Pend.Creditoo'!A$17:N$35,6,0)</f>
        <v>45688</v>
      </c>
      <c r="D60" s="435" t="str">
        <f>+VLOOKUP(B60,'2.Pend.Creditoo'!A$17:N$35,9,0)</f>
        <v>A-0300-00148818</v>
      </c>
      <c r="E60" s="434">
        <f>+VLOOKUP(B60,'2.Pend.Creditoo'!A$17:N$35,14,0)</f>
        <v>2</v>
      </c>
      <c r="F60" s="436"/>
      <c r="G60" s="436"/>
      <c r="H60" s="88"/>
      <c r="I60" s="31"/>
      <c r="J60" s="13"/>
      <c r="K60" s="13"/>
    </row>
    <row r="61" spans="1:11" s="20" customFormat="1" ht="33" customHeight="1" x14ac:dyDescent="0.35">
      <c r="A61" s="112"/>
      <c r="B61" s="434" t="s">
        <v>276</v>
      </c>
      <c r="C61" s="435">
        <f>+VLOOKUP(B61,'2.Pend.Creditoo'!A$17:N$35,6,0)</f>
        <v>45688</v>
      </c>
      <c r="D61" s="435" t="str">
        <f>+VLOOKUP(B61,'2.Pend.Creditoo'!A$17:N$35,9,0)</f>
        <v>A-0300-00148818</v>
      </c>
      <c r="E61" s="434">
        <f>+VLOOKUP(B61,'2.Pend.Creditoo'!A$17:N$35,14,0)</f>
        <v>1</v>
      </c>
      <c r="F61" s="436"/>
      <c r="G61" s="436"/>
      <c r="H61" s="88"/>
      <c r="I61" s="31"/>
      <c r="J61" s="13"/>
      <c r="K61" s="13"/>
    </row>
    <row r="62" spans="1:11" s="20" customFormat="1" ht="33" customHeight="1" x14ac:dyDescent="0.35">
      <c r="A62" s="112"/>
      <c r="B62" s="434" t="s">
        <v>1460</v>
      </c>
      <c r="C62" s="435">
        <f>+VLOOKUP(B62,'2.Pend.Creditoo'!A$17:N$35,6,0)</f>
        <v>45688</v>
      </c>
      <c r="D62" s="435" t="str">
        <f>+VLOOKUP(B62,'2.Pend.Creditoo'!A$17:N$35,9,0)</f>
        <v>A-0300-00148818</v>
      </c>
      <c r="E62" s="434">
        <f>+VLOOKUP(B62,'2.Pend.Creditoo'!A$17:N$35,14,0)</f>
        <v>1</v>
      </c>
      <c r="F62" s="436"/>
      <c r="G62" s="436"/>
      <c r="H62" s="88"/>
      <c r="I62" s="31"/>
      <c r="J62" s="13"/>
      <c r="K62" s="13"/>
    </row>
    <row r="63" spans="1:11" s="20" customFormat="1" ht="10" customHeight="1" x14ac:dyDescent="0.35">
      <c r="A63" s="112"/>
      <c r="B63" s="114"/>
      <c r="C63" s="114"/>
      <c r="D63" s="114"/>
      <c r="E63" s="114"/>
      <c r="F63" s="114"/>
      <c r="G63" s="114"/>
      <c r="H63" s="88"/>
      <c r="I63" s="31"/>
      <c r="J63" s="13"/>
      <c r="K63" s="13"/>
    </row>
    <row r="64" spans="1:11" s="43" customFormat="1" ht="14.15" hidden="1" customHeight="1" x14ac:dyDescent="0.35">
      <c r="A64" s="112"/>
      <c r="B64" s="131" t="s">
        <v>2</v>
      </c>
      <c r="C64" s="131" t="s">
        <v>206</v>
      </c>
      <c r="D64" s="11" t="s">
        <v>200</v>
      </c>
      <c r="E64" s="11" t="s">
        <v>199</v>
      </c>
      <c r="F64" s="335" t="s">
        <v>212</v>
      </c>
      <c r="G64" s="335"/>
      <c r="H64" s="115"/>
      <c r="I64" s="41"/>
      <c r="J64" s="42"/>
      <c r="K64" s="42"/>
    </row>
    <row r="65" spans="1:11" s="20" customFormat="1" ht="14.15" hidden="1" customHeight="1" x14ac:dyDescent="0.35">
      <c r="A65" s="112"/>
      <c r="B65" s="212">
        <v>45469</v>
      </c>
      <c r="C65" s="213" t="s">
        <v>197</v>
      </c>
      <c r="D65" s="133" t="s">
        <v>194</v>
      </c>
      <c r="E65" s="49">
        <v>152617.67000000001</v>
      </c>
      <c r="F65" s="336" t="s">
        <v>312</v>
      </c>
      <c r="G65" s="336"/>
      <c r="H65" s="88"/>
      <c r="I65" s="31"/>
      <c r="J65" s="13"/>
      <c r="K65" s="13"/>
    </row>
    <row r="66" spans="1:11" s="20" customFormat="1" ht="14.15" hidden="1" customHeight="1" x14ac:dyDescent="0.35">
      <c r="A66" s="112"/>
      <c r="B66" s="212">
        <v>45469</v>
      </c>
      <c r="C66" s="213" t="s">
        <v>195</v>
      </c>
      <c r="D66" s="133" t="s">
        <v>194</v>
      </c>
      <c r="E66" s="49">
        <v>42796.480000000003</v>
      </c>
      <c r="F66" s="336" t="s">
        <v>312</v>
      </c>
      <c r="G66" s="336"/>
      <c r="H66" s="88"/>
      <c r="I66" s="31"/>
      <c r="J66" s="13"/>
      <c r="K66" s="13"/>
    </row>
    <row r="67" spans="1:11" s="20" customFormat="1" ht="14.15" hidden="1" customHeight="1" x14ac:dyDescent="0.35">
      <c r="A67" s="112"/>
      <c r="B67" s="337" t="s">
        <v>213</v>
      </c>
      <c r="C67" s="338"/>
      <c r="D67" s="339"/>
      <c r="E67" s="214">
        <f>SUM(E65:E66)</f>
        <v>195414.15000000002</v>
      </c>
      <c r="G67" s="14"/>
      <c r="H67" s="88"/>
      <c r="I67" s="31"/>
      <c r="J67" s="13"/>
      <c r="K67" s="13"/>
    </row>
    <row r="68" spans="1:11" s="20" customFormat="1" ht="16" hidden="1" customHeight="1" x14ac:dyDescent="0.35">
      <c r="A68" s="112"/>
      <c r="B68" s="318" t="s">
        <v>44</v>
      </c>
      <c r="C68" s="318"/>
      <c r="D68" s="318"/>
      <c r="E68" s="318"/>
      <c r="F68" s="318"/>
      <c r="G68" s="318"/>
      <c r="H68" s="88"/>
      <c r="I68" s="31" t="s">
        <v>32</v>
      </c>
      <c r="J68" s="13"/>
      <c r="K68" s="13"/>
    </row>
    <row r="69" spans="1:11" s="20" customFormat="1" ht="19.5" customHeight="1" x14ac:dyDescent="0.35">
      <c r="A69" s="112"/>
      <c r="B69" s="317" t="s">
        <v>214</v>
      </c>
      <c r="C69" s="317"/>
      <c r="D69" s="317"/>
      <c r="E69" s="317"/>
      <c r="F69" s="46">
        <f>+E51/E52</f>
        <v>1</v>
      </c>
      <c r="G69" s="114"/>
      <c r="H69" s="88"/>
      <c r="I69" s="31"/>
      <c r="J69" s="13"/>
      <c r="K69" s="13"/>
    </row>
    <row r="70" spans="1:11" s="20" customFormat="1" ht="14.5" customHeight="1" x14ac:dyDescent="0.35">
      <c r="A70" s="112"/>
      <c r="B70" s="2"/>
      <c r="C70" s="2"/>
      <c r="D70" s="2"/>
      <c r="E70" s="37"/>
      <c r="F70" s="36"/>
      <c r="G70" s="96"/>
      <c r="H70" s="88"/>
      <c r="I70" s="34"/>
      <c r="J70" s="31"/>
      <c r="K70" s="33"/>
    </row>
    <row r="71" spans="1:11" x14ac:dyDescent="0.35">
      <c r="A71" s="320" t="s">
        <v>67</v>
      </c>
      <c r="B71" s="321"/>
      <c r="C71" s="321"/>
      <c r="D71" s="321"/>
      <c r="E71" s="321"/>
      <c r="F71" s="321"/>
      <c r="G71" s="321"/>
      <c r="H71" s="322"/>
      <c r="I71" s="13"/>
      <c r="J71" s="13"/>
      <c r="K71" s="13"/>
    </row>
    <row r="72" spans="1:11" s="20" customFormat="1" ht="16" customHeight="1" x14ac:dyDescent="0.35">
      <c r="A72" s="112"/>
      <c r="B72" s="317" t="s">
        <v>220</v>
      </c>
      <c r="C72" s="317"/>
      <c r="D72" s="317"/>
      <c r="E72" s="50">
        <v>2</v>
      </c>
      <c r="F72" s="114"/>
      <c r="G72" s="114"/>
      <c r="H72" s="88"/>
      <c r="I72" s="31"/>
      <c r="J72" s="13"/>
      <c r="K72" s="13"/>
    </row>
    <row r="73" spans="1:11" s="20" customFormat="1" ht="16" customHeight="1" x14ac:dyDescent="0.35">
      <c r="A73" s="112"/>
      <c r="B73" s="318" t="s">
        <v>221</v>
      </c>
      <c r="C73" s="318"/>
      <c r="D73" s="318"/>
      <c r="E73" s="50">
        <v>0</v>
      </c>
      <c r="F73" s="114"/>
      <c r="G73" s="114"/>
      <c r="H73" s="88"/>
      <c r="I73" s="31"/>
      <c r="J73" s="13"/>
      <c r="K73" s="13"/>
    </row>
    <row r="74" spans="1:11" s="20" customFormat="1" ht="10" customHeight="1" x14ac:dyDescent="0.35">
      <c r="A74" s="112"/>
      <c r="B74" s="114"/>
      <c r="C74" s="114"/>
      <c r="D74" s="114"/>
      <c r="E74" s="114"/>
      <c r="F74" s="114"/>
      <c r="G74" s="114"/>
      <c r="H74" s="88"/>
      <c r="I74" s="31"/>
      <c r="J74" s="13"/>
      <c r="K74" s="13"/>
    </row>
    <row r="75" spans="1:11" s="43" customFormat="1" ht="14.15" hidden="1" customHeight="1" x14ac:dyDescent="0.35">
      <c r="A75" s="112"/>
      <c r="B75" s="131" t="s">
        <v>218</v>
      </c>
      <c r="C75" s="131" t="s">
        <v>217</v>
      </c>
      <c r="D75" s="44" t="s">
        <v>179</v>
      </c>
      <c r="E75" s="21"/>
      <c r="F75" s="21"/>
      <c r="G75" s="21"/>
      <c r="H75" s="115"/>
      <c r="I75" s="41"/>
      <c r="J75" s="42"/>
      <c r="K75" s="42"/>
    </row>
    <row r="76" spans="1:11" s="20" customFormat="1" ht="14.15" hidden="1" customHeight="1" x14ac:dyDescent="0.35">
      <c r="A76" s="112"/>
      <c r="B76" s="48"/>
      <c r="C76" s="48"/>
      <c r="D76" s="45">
        <f>NETWORKDAYS(B76,$G$24)</f>
        <v>32897</v>
      </c>
      <c r="E76" s="21"/>
      <c r="F76" s="21"/>
      <c r="G76" s="15"/>
      <c r="H76" s="88"/>
      <c r="I76" s="31"/>
      <c r="J76" s="13"/>
      <c r="K76" s="13"/>
    </row>
    <row r="77" spans="1:11" s="20" customFormat="1" ht="14.15" hidden="1" customHeight="1" x14ac:dyDescent="0.35">
      <c r="A77" s="112"/>
      <c r="B77" s="48"/>
      <c r="C77" s="48"/>
      <c r="D77" s="45">
        <f>NETWORKDAYS(B77,$G$24)</f>
        <v>32897</v>
      </c>
      <c r="E77" s="21"/>
      <c r="F77" s="21"/>
      <c r="G77" s="15"/>
      <c r="H77" s="88"/>
      <c r="I77" s="31"/>
      <c r="J77" s="13"/>
      <c r="K77" s="13"/>
    </row>
    <row r="78" spans="1:11" s="20" customFormat="1" ht="14.15" hidden="1" customHeight="1" x14ac:dyDescent="0.35">
      <c r="A78" s="112"/>
      <c r="B78" s="48"/>
      <c r="C78" s="48"/>
      <c r="D78" s="45">
        <f>NETWORKDAYS(B78,$G$24)</f>
        <v>32897</v>
      </c>
      <c r="E78" s="21"/>
      <c r="F78" s="21"/>
      <c r="G78" s="15"/>
      <c r="H78" s="88"/>
      <c r="I78" s="31"/>
      <c r="J78" s="13"/>
      <c r="K78" s="13"/>
    </row>
    <row r="79" spans="1:11" s="20" customFormat="1" ht="14.15" hidden="1" customHeight="1" x14ac:dyDescent="0.35">
      <c r="A79" s="112"/>
      <c r="B79" s="337" t="s">
        <v>222</v>
      </c>
      <c r="C79" s="339"/>
      <c r="D79" s="132">
        <f>AVERAGE(D76:D78)</f>
        <v>32897</v>
      </c>
      <c r="E79" s="21"/>
      <c r="F79" s="21"/>
      <c r="G79" s="14"/>
      <c r="H79" s="88"/>
      <c r="I79" s="31"/>
      <c r="J79" s="13"/>
      <c r="K79" s="13"/>
    </row>
    <row r="80" spans="1:11" s="20" customFormat="1" ht="16" hidden="1" customHeight="1" x14ac:dyDescent="0.35">
      <c r="A80" s="112"/>
      <c r="B80" s="318" t="s">
        <v>44</v>
      </c>
      <c r="C80" s="318"/>
      <c r="D80" s="318"/>
      <c r="E80" s="318"/>
      <c r="F80" s="318"/>
      <c r="G80" s="318"/>
      <c r="H80" s="88"/>
      <c r="I80" s="31" t="s">
        <v>32</v>
      </c>
      <c r="J80" s="13"/>
      <c r="K80" s="13"/>
    </row>
    <row r="81" spans="1:11" s="20" customFormat="1" ht="19.5" customHeight="1" x14ac:dyDescent="0.35">
      <c r="A81" s="112"/>
      <c r="B81" s="317" t="s">
        <v>313</v>
      </c>
      <c r="C81" s="317"/>
      <c r="D81" s="317"/>
      <c r="E81" s="317"/>
      <c r="F81" s="46">
        <f>+'3.Remito Pend Carga'!G5</f>
        <v>1</v>
      </c>
      <c r="G81" s="114"/>
      <c r="H81" s="88"/>
      <c r="I81" s="31"/>
      <c r="J81" s="13"/>
      <c r="K81" s="13"/>
    </row>
    <row r="82" spans="1:11" s="20" customFormat="1" ht="14.5" customHeight="1" x14ac:dyDescent="0.35">
      <c r="A82" s="112"/>
      <c r="B82" s="2"/>
      <c r="C82" s="2"/>
      <c r="D82" s="2"/>
      <c r="E82" s="37"/>
      <c r="F82" s="36"/>
      <c r="G82" s="96"/>
      <c r="H82" s="88"/>
      <c r="I82" s="34"/>
      <c r="J82" s="31"/>
      <c r="K82" s="33"/>
    </row>
    <row r="83" spans="1:11" s="20" customFormat="1" ht="14.5" customHeight="1" x14ac:dyDescent="0.35">
      <c r="A83" s="112"/>
      <c r="B83" s="2"/>
      <c r="C83" s="2"/>
      <c r="D83" s="2"/>
      <c r="E83" s="37"/>
      <c r="F83" s="36"/>
      <c r="G83" s="96"/>
      <c r="H83" s="88"/>
      <c r="I83" s="34"/>
      <c r="J83" s="31"/>
      <c r="K83" s="33"/>
    </row>
    <row r="84" spans="1:11" s="20" customFormat="1" x14ac:dyDescent="0.3">
      <c r="A84" s="323" t="s">
        <v>63</v>
      </c>
      <c r="B84" s="324"/>
      <c r="C84" s="324"/>
      <c r="D84" s="324"/>
      <c r="E84" s="324"/>
      <c r="F84" s="324"/>
      <c r="G84" s="324"/>
      <c r="H84" s="325"/>
      <c r="I84" s="34"/>
      <c r="J84" s="34"/>
      <c r="K84" s="34"/>
    </row>
    <row r="85" spans="1:11" x14ac:dyDescent="0.35">
      <c r="A85" s="320" t="s">
        <v>223</v>
      </c>
      <c r="B85" s="321"/>
      <c r="C85" s="321"/>
      <c r="D85" s="321"/>
      <c r="E85" s="321"/>
      <c r="F85" s="321"/>
      <c r="G85" s="321"/>
      <c r="H85" s="322"/>
      <c r="I85" s="13"/>
      <c r="J85" s="13"/>
      <c r="K85" s="13"/>
    </row>
    <row r="86" spans="1:11" ht="20.149999999999999" customHeight="1" x14ac:dyDescent="0.35">
      <c r="A86" s="112"/>
      <c r="B86" s="318" t="s">
        <v>240</v>
      </c>
      <c r="C86" s="318"/>
      <c r="D86" s="318"/>
      <c r="E86" s="318"/>
      <c r="F86" s="318"/>
      <c r="G86" s="318"/>
      <c r="H86" s="88"/>
      <c r="I86" s="13"/>
      <c r="J86" s="13"/>
      <c r="K86" s="13"/>
    </row>
    <row r="87" spans="1:11" ht="14.5" customHeight="1" x14ac:dyDescent="0.35">
      <c r="A87" s="112"/>
      <c r="B87" s="340" t="s">
        <v>0</v>
      </c>
      <c r="C87" s="341"/>
      <c r="D87" s="11" t="s">
        <v>238</v>
      </c>
      <c r="E87" s="11" t="s">
        <v>236</v>
      </c>
      <c r="F87" s="11" t="s">
        <v>235</v>
      </c>
      <c r="G87" s="3"/>
      <c r="H87" s="88"/>
      <c r="I87" s="34"/>
      <c r="J87" s="31"/>
      <c r="K87" s="33"/>
    </row>
    <row r="88" spans="1:11" ht="14.5" customHeight="1" x14ac:dyDescent="0.35">
      <c r="A88" s="112"/>
      <c r="B88" s="342" t="s">
        <v>234</v>
      </c>
      <c r="C88" s="343"/>
      <c r="D88" s="177">
        <f>+'4.Inv Rota'!E62</f>
        <v>213</v>
      </c>
      <c r="E88" s="177">
        <f>+'4.Inv Rota'!F62</f>
        <v>24978979.948999997</v>
      </c>
      <c r="F88" s="261">
        <f>+'4.Inv Rota'!G62</f>
        <v>1</v>
      </c>
      <c r="G88" s="3"/>
      <c r="H88" s="88"/>
      <c r="I88" s="34"/>
      <c r="J88" s="31"/>
      <c r="K88" s="33"/>
    </row>
    <row r="89" spans="1:11" ht="14.5" customHeight="1" x14ac:dyDescent="0.35">
      <c r="A89" s="112"/>
      <c r="B89" s="344" t="s">
        <v>233</v>
      </c>
      <c r="C89" s="345"/>
      <c r="D89" s="177">
        <f>+'4.Inv Rota'!E63</f>
        <v>0</v>
      </c>
      <c r="E89" s="177">
        <f>+'4.Inv Rota'!F63</f>
        <v>0</v>
      </c>
      <c r="F89" s="428">
        <f>+'4.Inv Rota'!G63</f>
        <v>0</v>
      </c>
      <c r="G89" s="3"/>
      <c r="H89" s="88"/>
      <c r="I89" s="34"/>
      <c r="J89" s="31"/>
      <c r="K89" s="33"/>
    </row>
    <row r="90" spans="1:11" s="20" customFormat="1" ht="14.5" customHeight="1" x14ac:dyDescent="0.35">
      <c r="A90" s="112"/>
      <c r="B90" s="344" t="s">
        <v>232</v>
      </c>
      <c r="C90" s="345"/>
      <c r="D90" s="177">
        <f>+'4.Inv Rota'!E64</f>
        <v>0</v>
      </c>
      <c r="E90" s="177">
        <f>+'4.Inv Rota'!F64</f>
        <v>0</v>
      </c>
      <c r="F90" s="261">
        <f>+'4.Inv Rota'!G64</f>
        <v>0</v>
      </c>
      <c r="G90" s="15"/>
      <c r="H90" s="88"/>
      <c r="I90" s="34"/>
      <c r="J90" s="31"/>
      <c r="K90" s="33"/>
    </row>
    <row r="91" spans="1:11" s="20" customFormat="1" ht="14.5" customHeight="1" x14ac:dyDescent="0.35">
      <c r="A91" s="112"/>
      <c r="B91" s="346" t="s">
        <v>231</v>
      </c>
      <c r="C91" s="347"/>
      <c r="D91" s="426">
        <f>+'4.Inv Rota'!E65</f>
        <v>0</v>
      </c>
      <c r="E91" s="426">
        <f>+'4.Inv Rota'!F65</f>
        <v>0</v>
      </c>
      <c r="F91" s="429">
        <f>+'4.Inv Rota'!G65</f>
        <v>0</v>
      </c>
      <c r="G91" s="15"/>
      <c r="H91" s="88"/>
      <c r="I91" s="34"/>
      <c r="J91" s="31"/>
      <c r="K91" s="33"/>
    </row>
    <row r="92" spans="1:11" s="20" customFormat="1" ht="14.5" customHeight="1" x14ac:dyDescent="0.35">
      <c r="A92" s="112"/>
      <c r="B92" s="348" t="s">
        <v>230</v>
      </c>
      <c r="C92" s="349"/>
      <c r="D92" s="427">
        <f>+'4.Inv Rota'!E66</f>
        <v>0</v>
      </c>
      <c r="E92" s="427">
        <f>+'4.Inv Rota'!F66</f>
        <v>0</v>
      </c>
      <c r="F92" s="430">
        <f>+'4.Inv Rota'!G66</f>
        <v>0</v>
      </c>
      <c r="G92" s="15"/>
      <c r="H92" s="88"/>
      <c r="I92" s="34"/>
      <c r="J92" s="31"/>
      <c r="K92" s="33"/>
    </row>
    <row r="93" spans="1:11" s="20" customFormat="1" ht="10" customHeight="1" x14ac:dyDescent="0.35">
      <c r="A93" s="112"/>
      <c r="B93" s="2"/>
      <c r="C93" s="2"/>
      <c r="D93" s="2"/>
      <c r="E93" s="113"/>
      <c r="F93" s="36"/>
      <c r="G93" s="96"/>
      <c r="H93" s="88"/>
      <c r="I93" s="34"/>
      <c r="J93" s="31"/>
      <c r="K93" s="33"/>
    </row>
    <row r="94" spans="1:11" s="20" customFormat="1" ht="19.5" customHeight="1" x14ac:dyDescent="0.35">
      <c r="A94" s="112"/>
      <c r="B94" s="2" t="s">
        <v>45</v>
      </c>
      <c r="C94" s="2"/>
      <c r="D94" s="2"/>
      <c r="E94" s="113"/>
      <c r="F94" s="215">
        <f>VLOOKUP(ABS(F92),D97:E102,2,1)</f>
        <v>1</v>
      </c>
      <c r="G94" s="96"/>
      <c r="H94" s="88"/>
      <c r="I94" s="34"/>
      <c r="J94" s="32"/>
      <c r="K94" s="33"/>
    </row>
    <row r="95" spans="1:11" s="20" customFormat="1" ht="14.5" customHeight="1" x14ac:dyDescent="0.35">
      <c r="A95" s="112"/>
      <c r="B95" s="2"/>
      <c r="C95" s="2"/>
      <c r="D95" s="2"/>
      <c r="E95" s="113"/>
      <c r="F95" s="113"/>
      <c r="G95" s="96"/>
      <c r="H95" s="88"/>
      <c r="I95" s="34"/>
      <c r="J95" s="32"/>
      <c r="K95" s="33"/>
    </row>
    <row r="96" spans="1:11" s="20" customFormat="1" ht="14.5" customHeight="1" x14ac:dyDescent="0.35">
      <c r="A96" s="112"/>
      <c r="B96" s="2"/>
      <c r="C96" s="2"/>
      <c r="D96" s="38" t="s">
        <v>239</v>
      </c>
      <c r="E96" s="39" t="s">
        <v>46</v>
      </c>
      <c r="F96" s="36"/>
      <c r="G96" s="96"/>
      <c r="H96" s="88"/>
      <c r="I96" s="34"/>
      <c r="J96" s="31"/>
      <c r="K96" s="33"/>
    </row>
    <row r="97" spans="1:11" s="20" customFormat="1" ht="14.5" customHeight="1" x14ac:dyDescent="0.35">
      <c r="A97" s="112"/>
      <c r="B97" s="2"/>
      <c r="C97" s="2"/>
      <c r="D97" s="178">
        <v>0</v>
      </c>
      <c r="E97" s="40">
        <v>1</v>
      </c>
      <c r="F97" s="36"/>
      <c r="G97" s="96"/>
      <c r="H97" s="88"/>
      <c r="I97" s="34"/>
      <c r="J97" s="31"/>
      <c r="K97" s="33"/>
    </row>
    <row r="98" spans="1:11" s="20" customFormat="1" ht="14.5" customHeight="1" x14ac:dyDescent="0.35">
      <c r="A98" s="112"/>
      <c r="B98" s="2"/>
      <c r="C98" s="2"/>
      <c r="D98" s="178">
        <v>1E-3</v>
      </c>
      <c r="E98" s="40">
        <v>0.94</v>
      </c>
      <c r="F98" s="36"/>
      <c r="G98" s="96"/>
      <c r="H98" s="88"/>
      <c r="I98" s="34"/>
      <c r="J98" s="31"/>
      <c r="K98" s="33"/>
    </row>
    <row r="99" spans="1:11" s="20" customFormat="1" ht="14.5" customHeight="1" x14ac:dyDescent="0.35">
      <c r="A99" s="112"/>
      <c r="B99" s="2"/>
      <c r="C99" s="2"/>
      <c r="D99" s="178">
        <v>8.0000000000000002E-3</v>
      </c>
      <c r="E99" s="40">
        <v>0.82</v>
      </c>
      <c r="F99" s="36"/>
      <c r="G99" s="96"/>
      <c r="H99" s="88"/>
      <c r="I99" s="34"/>
      <c r="J99" s="31"/>
      <c r="K99" s="33"/>
    </row>
    <row r="100" spans="1:11" s="20" customFormat="1" ht="14.5" customHeight="1" x14ac:dyDescent="0.35">
      <c r="A100" s="112"/>
      <c r="B100" s="2"/>
      <c r="C100" s="2"/>
      <c r="D100" s="178">
        <v>1.6E-2</v>
      </c>
      <c r="E100" s="40">
        <v>0.65</v>
      </c>
      <c r="F100" s="36"/>
      <c r="G100" s="96"/>
      <c r="H100" s="88"/>
      <c r="I100" s="34"/>
      <c r="J100" s="31"/>
      <c r="K100" s="33"/>
    </row>
    <row r="101" spans="1:11" s="20" customFormat="1" ht="14.5" customHeight="1" x14ac:dyDescent="0.35">
      <c r="A101" s="112"/>
      <c r="B101" s="2"/>
      <c r="C101" s="2"/>
      <c r="D101" s="178">
        <v>2.4E-2</v>
      </c>
      <c r="E101" s="40">
        <v>0.35</v>
      </c>
      <c r="F101" s="36"/>
      <c r="G101" s="96"/>
      <c r="H101" s="88"/>
      <c r="I101" s="34"/>
      <c r="J101" s="31"/>
      <c r="K101" s="33"/>
    </row>
    <row r="102" spans="1:11" s="20" customFormat="1" ht="14.5" customHeight="1" x14ac:dyDescent="0.35">
      <c r="A102" s="112"/>
      <c r="B102" s="2"/>
      <c r="C102" s="2"/>
      <c r="D102" s="178">
        <v>3.3000000000000002E-2</v>
      </c>
      <c r="E102" s="40">
        <v>0</v>
      </c>
      <c r="F102" s="36"/>
      <c r="G102" s="96"/>
      <c r="H102" s="88"/>
      <c r="I102" s="34"/>
      <c r="J102" s="31"/>
      <c r="K102" s="33"/>
    </row>
    <row r="103" spans="1:11" s="20" customFormat="1" ht="14.5" customHeight="1" x14ac:dyDescent="0.35">
      <c r="A103" s="112"/>
      <c r="B103" s="2"/>
      <c r="C103" s="2"/>
      <c r="D103" s="179"/>
      <c r="E103" s="180"/>
      <c r="F103" s="36"/>
      <c r="G103" s="96"/>
      <c r="H103" s="88"/>
      <c r="I103" s="34"/>
      <c r="J103" s="31"/>
      <c r="K103" s="33"/>
    </row>
    <row r="104" spans="1:11" x14ac:dyDescent="0.35">
      <c r="A104" s="320" t="s">
        <v>69</v>
      </c>
      <c r="B104" s="321"/>
      <c r="C104" s="321"/>
      <c r="D104" s="321"/>
      <c r="E104" s="321"/>
      <c r="F104" s="321"/>
      <c r="G104" s="321"/>
      <c r="H104" s="322"/>
      <c r="I104" s="34"/>
      <c r="J104" s="34"/>
      <c r="K104" s="34"/>
    </row>
    <row r="105" spans="1:11" s="20" customFormat="1" ht="16" customHeight="1" x14ac:dyDescent="0.3">
      <c r="A105" s="112"/>
      <c r="B105" s="317" t="s">
        <v>315</v>
      </c>
      <c r="C105" s="317"/>
      <c r="D105" s="317"/>
      <c r="E105" s="50">
        <v>51</v>
      </c>
      <c r="F105" s="114"/>
      <c r="G105" s="114"/>
      <c r="H105" s="88"/>
      <c r="I105" s="34"/>
      <c r="J105" s="34"/>
      <c r="K105" s="34"/>
    </row>
    <row r="106" spans="1:11" s="20" customFormat="1" ht="16" customHeight="1" x14ac:dyDescent="0.35">
      <c r="A106" s="112"/>
      <c r="B106" s="318" t="s">
        <v>316</v>
      </c>
      <c r="C106" s="318"/>
      <c r="D106" s="318"/>
      <c r="E106" s="50">
        <v>3</v>
      </c>
      <c r="F106" s="114"/>
      <c r="G106" s="114"/>
      <c r="H106" s="88"/>
      <c r="I106" s="31"/>
      <c r="J106" s="13"/>
      <c r="K106" s="13"/>
    </row>
    <row r="107" spans="1:11" s="20" customFormat="1" ht="10" customHeight="1" x14ac:dyDescent="0.35">
      <c r="A107" s="112"/>
      <c r="B107" s="35"/>
      <c r="C107" s="35"/>
      <c r="D107" s="35"/>
      <c r="E107" s="35"/>
      <c r="F107" s="114"/>
      <c r="G107" s="114"/>
      <c r="H107" s="88"/>
      <c r="I107" s="31"/>
      <c r="J107" s="13"/>
      <c r="K107" s="13"/>
    </row>
    <row r="108" spans="1:11" s="20" customFormat="1" ht="14.15" customHeight="1" x14ac:dyDescent="0.35">
      <c r="A108" s="112"/>
      <c r="B108" s="262" t="s">
        <v>120</v>
      </c>
      <c r="C108" s="262" t="s">
        <v>206</v>
      </c>
      <c r="D108" s="263" t="s">
        <v>39</v>
      </c>
      <c r="E108" s="264"/>
      <c r="F108" s="14"/>
      <c r="G108" s="114"/>
      <c r="H108" s="88"/>
      <c r="I108" s="31"/>
      <c r="J108" s="13"/>
      <c r="K108" s="13"/>
    </row>
    <row r="109" spans="1:11" s="20" customFormat="1" ht="14.15" customHeight="1" x14ac:dyDescent="0.35">
      <c r="A109" s="112"/>
      <c r="B109" s="260" t="str">
        <f>+'4.Inv Rota'!A16</f>
        <v>D-01-01-E01</v>
      </c>
      <c r="C109" s="260" t="str">
        <f>+'4.Inv Rota'!D16</f>
        <v>178013116000</v>
      </c>
      <c r="D109" s="313" t="str">
        <f>+'4.Inv Rota'!E16</f>
        <v>ELEMENT SUB-ASSY, AIR CLEANER FILTER</v>
      </c>
      <c r="E109" s="314"/>
      <c r="F109" s="14"/>
      <c r="G109" s="14"/>
      <c r="H109" s="88"/>
      <c r="I109" s="31"/>
      <c r="J109" s="13"/>
      <c r="K109" s="13"/>
    </row>
    <row r="110" spans="1:11" s="20" customFormat="1" ht="14.15" customHeight="1" x14ac:dyDescent="0.35">
      <c r="A110" s="112"/>
      <c r="B110" s="260" t="str">
        <f>+'4.Inv Rota'!A35</f>
        <v>D-03-00-A01</v>
      </c>
      <c r="C110" s="260" t="str">
        <f>+'4.Inv Rota'!D35</f>
        <v>435120K32000</v>
      </c>
      <c r="D110" s="313" t="str">
        <f>+'4.Inv Rota'!E35</f>
        <v>DISCO FRENO DEL.</v>
      </c>
      <c r="E110" s="314"/>
      <c r="F110" s="14"/>
      <c r="G110" s="14"/>
      <c r="H110" s="88"/>
      <c r="I110" s="31"/>
      <c r="J110" s="13"/>
      <c r="K110" s="13"/>
    </row>
    <row r="111" spans="1:11" s="20" customFormat="1" ht="14.15" customHeight="1" x14ac:dyDescent="0.35">
      <c r="A111" s="112"/>
      <c r="B111" s="260" t="str">
        <f>+'4.Inv Rota'!A36</f>
        <v>D-03-00-A02</v>
      </c>
      <c r="C111" s="260" t="str">
        <f>+'4.Inv Rota'!D36</f>
        <v>435120K08000</v>
      </c>
      <c r="D111" s="313" t="str">
        <f>+'4.Inv Rota'!E36</f>
        <v>DISCO DE FRENO</v>
      </c>
      <c r="E111" s="314"/>
      <c r="F111" s="14"/>
      <c r="G111" s="14"/>
      <c r="H111" s="88"/>
      <c r="I111" s="31"/>
      <c r="J111" s="13"/>
      <c r="K111" s="13"/>
    </row>
    <row r="112" spans="1:11" s="20" customFormat="1" ht="10" customHeight="1" x14ac:dyDescent="0.35">
      <c r="A112" s="112"/>
      <c r="B112" s="318"/>
      <c r="C112" s="318"/>
      <c r="D112" s="318"/>
      <c r="E112" s="318"/>
      <c r="F112" s="318"/>
      <c r="G112" s="318"/>
      <c r="H112" s="88"/>
      <c r="I112" s="31"/>
      <c r="J112" s="13"/>
      <c r="K112" s="13"/>
    </row>
    <row r="113" spans="1:11" s="20" customFormat="1" ht="19.5" customHeight="1" x14ac:dyDescent="0.35">
      <c r="A113" s="112"/>
      <c r="B113" s="317" t="s">
        <v>321</v>
      </c>
      <c r="C113" s="317"/>
      <c r="D113" s="317"/>
      <c r="E113" s="317"/>
      <c r="F113" s="46">
        <f>+'4.Inv Rota'!L5</f>
        <v>0.94117647058823528</v>
      </c>
      <c r="G113" s="114"/>
      <c r="H113" s="88"/>
      <c r="I113" s="31"/>
      <c r="J113" s="13"/>
      <c r="K113" s="13"/>
    </row>
    <row r="114" spans="1:11" s="20" customFormat="1" ht="14.5" customHeight="1" x14ac:dyDescent="0.35">
      <c r="A114" s="112"/>
      <c r="B114" s="2"/>
      <c r="C114" s="2"/>
      <c r="D114" s="2"/>
      <c r="E114" s="37"/>
      <c r="F114" s="36"/>
      <c r="G114" s="96"/>
      <c r="H114" s="88"/>
      <c r="I114" s="34"/>
      <c r="J114" s="31"/>
      <c r="K114" s="33"/>
    </row>
    <row r="115" spans="1:11" x14ac:dyDescent="0.35">
      <c r="A115" s="320" t="s">
        <v>70</v>
      </c>
      <c r="B115" s="321"/>
      <c r="C115" s="321"/>
      <c r="D115" s="321"/>
      <c r="E115" s="321"/>
      <c r="F115" s="321"/>
      <c r="G115" s="321"/>
      <c r="H115" s="322"/>
      <c r="I115" s="34"/>
      <c r="J115" s="34"/>
      <c r="K115" s="34"/>
    </row>
    <row r="116" spans="1:11" s="20" customFormat="1" ht="16" customHeight="1" x14ac:dyDescent="0.3">
      <c r="A116" s="112"/>
      <c r="B116" s="317" t="s">
        <v>234</v>
      </c>
      <c r="C116" s="317"/>
      <c r="D116" s="317"/>
      <c r="E116" s="50">
        <v>51</v>
      </c>
      <c r="F116" s="114"/>
      <c r="G116" s="114"/>
      <c r="H116" s="88"/>
      <c r="I116" s="34"/>
      <c r="J116" s="34"/>
      <c r="K116" s="34"/>
    </row>
    <row r="117" spans="1:11" s="20" customFormat="1" ht="16" customHeight="1" x14ac:dyDescent="0.35">
      <c r="A117" s="112"/>
      <c r="B117" s="318" t="s">
        <v>314</v>
      </c>
      <c r="C117" s="318"/>
      <c r="D117" s="318"/>
      <c r="E117" s="50">
        <v>0</v>
      </c>
      <c r="F117" s="114"/>
      <c r="G117" s="114"/>
      <c r="H117" s="88"/>
      <c r="I117" s="31"/>
      <c r="J117" s="13"/>
      <c r="K117" s="13"/>
    </row>
    <row r="118" spans="1:11" s="20" customFormat="1" ht="10" customHeight="1" x14ac:dyDescent="0.35">
      <c r="A118" s="112"/>
      <c r="B118" s="114"/>
      <c r="C118" s="114"/>
      <c r="D118" s="114"/>
      <c r="E118" s="114"/>
      <c r="F118" s="114"/>
      <c r="G118" s="114"/>
      <c r="H118" s="88"/>
      <c r="I118" s="31"/>
      <c r="J118" s="13"/>
      <c r="K118" s="13"/>
    </row>
    <row r="119" spans="1:11" s="20" customFormat="1" ht="14.15" hidden="1" customHeight="1" x14ac:dyDescent="0.35">
      <c r="A119" s="112"/>
      <c r="B119" s="11" t="s">
        <v>120</v>
      </c>
      <c r="C119" s="11" t="s">
        <v>206</v>
      </c>
      <c r="D119" s="131" t="s">
        <v>297</v>
      </c>
      <c r="E119" s="131"/>
      <c r="F119" s="11" t="s">
        <v>298</v>
      </c>
      <c r="G119" s="114"/>
      <c r="H119" s="88"/>
      <c r="I119" s="31"/>
      <c r="J119" s="13"/>
      <c r="K119" s="13"/>
    </row>
    <row r="120" spans="1:11" s="20" customFormat="1" ht="14.15" hidden="1" customHeight="1" x14ac:dyDescent="0.35">
      <c r="A120" s="112"/>
      <c r="B120" s="24"/>
      <c r="C120" s="47"/>
      <c r="D120" s="209"/>
      <c r="E120" s="209"/>
      <c r="F120" s="24"/>
      <c r="G120" s="14"/>
      <c r="H120" s="88"/>
      <c r="I120" s="31"/>
      <c r="J120" s="13"/>
      <c r="K120" s="13"/>
    </row>
    <row r="121" spans="1:11" s="20" customFormat="1" ht="19.5" customHeight="1" x14ac:dyDescent="0.35">
      <c r="A121" s="112"/>
      <c r="B121" s="317" t="s">
        <v>320</v>
      </c>
      <c r="C121" s="317"/>
      <c r="D121" s="317"/>
      <c r="E121" s="317"/>
      <c r="F121" s="46">
        <f>+'4.Inv Rota'!K5</f>
        <v>1</v>
      </c>
      <c r="G121" s="114"/>
      <c r="H121" s="88"/>
      <c r="I121" s="31"/>
      <c r="J121" s="13"/>
      <c r="K121" s="13"/>
    </row>
    <row r="122" spans="1:11" s="20" customFormat="1" ht="14.5" customHeight="1" x14ac:dyDescent="0.35">
      <c r="A122" s="112"/>
      <c r="B122" s="2"/>
      <c r="C122" s="2"/>
      <c r="D122" s="2"/>
      <c r="E122" s="37"/>
      <c r="F122" s="36"/>
      <c r="G122" s="96"/>
      <c r="H122" s="88"/>
      <c r="I122" s="34"/>
      <c r="J122" s="31"/>
      <c r="K122" s="33"/>
    </row>
    <row r="123" spans="1:11" x14ac:dyDescent="0.35">
      <c r="A123" s="323" t="s">
        <v>64</v>
      </c>
      <c r="B123" s="324"/>
      <c r="C123" s="324"/>
      <c r="D123" s="324"/>
      <c r="E123" s="324"/>
      <c r="F123" s="324"/>
      <c r="G123" s="324"/>
      <c r="H123" s="325"/>
      <c r="I123" s="13"/>
      <c r="J123" s="13"/>
      <c r="K123" s="13"/>
    </row>
    <row r="124" spans="1:11" x14ac:dyDescent="0.35">
      <c r="A124" s="320" t="s">
        <v>71</v>
      </c>
      <c r="B124" s="321"/>
      <c r="C124" s="321"/>
      <c r="D124" s="321"/>
      <c r="E124" s="321"/>
      <c r="F124" s="321"/>
      <c r="G124" s="321"/>
      <c r="H124" s="322"/>
      <c r="I124" s="13"/>
      <c r="J124" s="13"/>
      <c r="K124" s="13"/>
    </row>
    <row r="125" spans="1:11" s="20" customFormat="1" ht="16" customHeight="1" x14ac:dyDescent="0.35">
      <c r="A125" s="112"/>
      <c r="B125" s="317" t="s">
        <v>299</v>
      </c>
      <c r="C125" s="317"/>
      <c r="D125" s="317"/>
      <c r="E125" s="50">
        <v>4</v>
      </c>
      <c r="F125" s="114"/>
      <c r="G125" s="114"/>
      <c r="H125" s="88"/>
      <c r="I125" s="31"/>
      <c r="J125" s="13"/>
      <c r="K125" s="13"/>
    </row>
    <row r="126" spans="1:11" s="20" customFormat="1" ht="16" customHeight="1" x14ac:dyDescent="0.35">
      <c r="A126" s="112"/>
      <c r="B126" s="318" t="s">
        <v>300</v>
      </c>
      <c r="C126" s="318"/>
      <c r="D126" s="318"/>
      <c r="E126" s="50">
        <v>2</v>
      </c>
      <c r="F126" s="114"/>
      <c r="G126" s="114"/>
      <c r="H126" s="88"/>
      <c r="I126" s="31"/>
      <c r="J126" s="13"/>
      <c r="K126" s="13"/>
    </row>
    <row r="127" spans="1:11" s="20" customFormat="1" ht="16" customHeight="1" x14ac:dyDescent="0.35">
      <c r="A127" s="112"/>
      <c r="B127" s="114"/>
      <c r="C127" s="114"/>
      <c r="D127" s="114"/>
      <c r="E127" s="114"/>
      <c r="F127" s="114"/>
      <c r="G127" s="114"/>
      <c r="H127" s="88"/>
      <c r="I127" s="31"/>
      <c r="J127" s="13"/>
      <c r="K127" s="13"/>
    </row>
    <row r="128" spans="1:11" s="20" customFormat="1" ht="16" customHeight="1" x14ac:dyDescent="0.35">
      <c r="A128" s="112"/>
      <c r="B128" s="262" t="s">
        <v>8374</v>
      </c>
      <c r="C128" s="262" t="s">
        <v>2</v>
      </c>
      <c r="D128" s="262" t="s">
        <v>176</v>
      </c>
      <c r="E128" s="262" t="s">
        <v>236</v>
      </c>
      <c r="F128" s="437" t="s">
        <v>1006</v>
      </c>
      <c r="G128" s="438"/>
      <c r="H128" s="88"/>
      <c r="I128" s="31"/>
      <c r="J128" s="13"/>
      <c r="K128" s="13"/>
    </row>
    <row r="129" spans="1:11" s="20" customFormat="1" ht="27.5" customHeight="1" x14ac:dyDescent="0.35">
      <c r="A129" s="112"/>
      <c r="B129" s="439" t="s">
        <v>8355</v>
      </c>
      <c r="C129" s="441">
        <f>+'7.Remito Pend de Fact'!A11</f>
        <v>45987</v>
      </c>
      <c r="D129" s="440" t="str">
        <f>+'7.Remito Pend de Fact'!C11</f>
        <v>R-0005-00004364</v>
      </c>
      <c r="E129" s="442">
        <f>+'7.Remito Pend de Fact'!K11</f>
        <v>26908.78</v>
      </c>
      <c r="F129" s="443" t="s">
        <v>8378</v>
      </c>
      <c r="G129" s="444"/>
      <c r="H129" s="88"/>
      <c r="I129" s="31"/>
      <c r="J129" s="13"/>
      <c r="K129" s="13"/>
    </row>
    <row r="130" spans="1:11" s="20" customFormat="1" ht="39" customHeight="1" x14ac:dyDescent="0.35">
      <c r="A130" s="112"/>
      <c r="B130" s="439" t="s">
        <v>8351</v>
      </c>
      <c r="C130" s="441">
        <f>+'7.Remito Pend de Fact'!A21</f>
        <v>46050</v>
      </c>
      <c r="D130" s="440" t="str">
        <f>+'7.Remito Pend de Fact'!C21</f>
        <v>R-0005-00004421</v>
      </c>
      <c r="E130" s="442">
        <f>+SUM('7.Remito Pend de Fact'!K21:K31)</f>
        <v>9855887.0799999982</v>
      </c>
      <c r="F130" s="445"/>
      <c r="G130" s="446"/>
      <c r="H130" s="88"/>
      <c r="I130" s="31"/>
      <c r="J130" s="13"/>
      <c r="K130" s="13"/>
    </row>
    <row r="131" spans="1:11" s="20" customFormat="1" ht="12" customHeight="1" x14ac:dyDescent="0.35">
      <c r="A131" s="112"/>
      <c r="B131" s="114"/>
      <c r="C131" s="114"/>
      <c r="D131" s="114"/>
      <c r="E131" s="114"/>
      <c r="F131" s="114"/>
      <c r="G131" s="114"/>
      <c r="H131" s="88"/>
      <c r="I131" s="31"/>
      <c r="J131" s="13"/>
      <c r="K131" s="13"/>
    </row>
    <row r="132" spans="1:11" s="20" customFormat="1" ht="14.15" hidden="1" customHeight="1" x14ac:dyDescent="0.35">
      <c r="A132" s="112"/>
      <c r="B132" s="11" t="s">
        <v>2</v>
      </c>
      <c r="C132" s="11" t="s">
        <v>302</v>
      </c>
      <c r="D132" s="205" t="s">
        <v>297</v>
      </c>
      <c r="E132" s="206"/>
      <c r="F132" s="114"/>
      <c r="G132" s="114"/>
      <c r="H132" s="88"/>
      <c r="I132" s="31"/>
      <c r="J132" s="13"/>
      <c r="K132" s="13"/>
    </row>
    <row r="133" spans="1:11" s="20" customFormat="1" ht="14.15" hidden="1" customHeight="1" x14ac:dyDescent="0.35">
      <c r="A133" s="112"/>
      <c r="B133" s="47"/>
      <c r="C133" s="12"/>
      <c r="D133" s="207"/>
      <c r="E133" s="208"/>
      <c r="F133" s="210" t="s">
        <v>33</v>
      </c>
      <c r="G133" s="14"/>
      <c r="H133" s="88"/>
      <c r="I133" s="31"/>
      <c r="J133" s="13"/>
      <c r="K133" s="13"/>
    </row>
    <row r="134" spans="1:11" s="20" customFormat="1" ht="16" hidden="1" customHeight="1" x14ac:dyDescent="0.35">
      <c r="A134" s="112"/>
      <c r="B134" s="318" t="s">
        <v>44</v>
      </c>
      <c r="C134" s="318"/>
      <c r="D134" s="318"/>
      <c r="E134" s="318"/>
      <c r="F134" s="318"/>
      <c r="G134" s="318"/>
      <c r="H134" s="88"/>
      <c r="I134" s="31" t="s">
        <v>32</v>
      </c>
      <c r="J134" s="13"/>
      <c r="K134" s="13"/>
    </row>
    <row r="135" spans="1:11" s="20" customFormat="1" ht="19.5" customHeight="1" x14ac:dyDescent="0.35">
      <c r="A135" s="112"/>
      <c r="B135" s="317" t="s">
        <v>301</v>
      </c>
      <c r="C135" s="317"/>
      <c r="D135" s="317"/>
      <c r="E135" s="317"/>
      <c r="F135" s="46">
        <f>+'7.Remito Pend de Fact'!M7</f>
        <v>0.5</v>
      </c>
      <c r="G135" s="114"/>
      <c r="H135" s="88"/>
      <c r="I135" s="31"/>
      <c r="J135" s="13"/>
      <c r="K135" s="13"/>
    </row>
    <row r="136" spans="1:11" s="20" customFormat="1" ht="14.5" customHeight="1" x14ac:dyDescent="0.35">
      <c r="A136" s="112"/>
      <c r="B136" s="2"/>
      <c r="C136" s="2"/>
      <c r="D136" s="2"/>
      <c r="E136" s="37"/>
      <c r="F136" s="36"/>
      <c r="G136" s="96"/>
      <c r="H136" s="88"/>
      <c r="I136" s="34"/>
      <c r="J136" s="31"/>
      <c r="K136" s="33"/>
    </row>
    <row r="137" spans="1:11" x14ac:dyDescent="0.35">
      <c r="A137" s="320" t="s">
        <v>72</v>
      </c>
      <c r="B137" s="321"/>
      <c r="C137" s="321"/>
      <c r="D137" s="321"/>
      <c r="E137" s="321"/>
      <c r="F137" s="321"/>
      <c r="G137" s="321"/>
      <c r="H137" s="322"/>
      <c r="I137" s="13"/>
      <c r="J137" s="13"/>
      <c r="K137" s="13"/>
    </row>
    <row r="138" spans="1:11" s="20" customFormat="1" ht="16" customHeight="1" x14ac:dyDescent="0.3">
      <c r="A138" s="112"/>
      <c r="B138" s="317" t="s">
        <v>317</v>
      </c>
      <c r="C138" s="317"/>
      <c r="D138" s="317"/>
      <c r="E138" s="50">
        <v>17</v>
      </c>
      <c r="F138" s="114"/>
      <c r="G138" s="114"/>
      <c r="H138" s="88"/>
      <c r="I138" s="34"/>
      <c r="J138" s="34"/>
      <c r="K138" s="34"/>
    </row>
    <row r="139" spans="1:11" s="20" customFormat="1" ht="16" customHeight="1" x14ac:dyDescent="0.35">
      <c r="A139" s="112"/>
      <c r="B139" s="318" t="s">
        <v>318</v>
      </c>
      <c r="C139" s="318"/>
      <c r="D139" s="318"/>
      <c r="E139" s="50">
        <v>0</v>
      </c>
      <c r="F139" s="114"/>
      <c r="G139" s="114"/>
      <c r="H139" s="88"/>
      <c r="I139" s="31"/>
      <c r="J139" s="13"/>
      <c r="K139" s="13"/>
    </row>
    <row r="140" spans="1:11" s="20" customFormat="1" ht="10" customHeight="1" x14ac:dyDescent="0.35">
      <c r="A140" s="112"/>
      <c r="B140" s="114"/>
      <c r="C140" s="114"/>
      <c r="D140" s="114"/>
      <c r="E140" s="114"/>
      <c r="F140" s="114"/>
      <c r="G140" s="114"/>
      <c r="H140" s="88"/>
      <c r="I140" s="31"/>
      <c r="J140" s="13"/>
      <c r="K140" s="13"/>
    </row>
    <row r="141" spans="1:11" s="20" customFormat="1" ht="16" customHeight="1" x14ac:dyDescent="0.35">
      <c r="A141" s="112"/>
      <c r="B141" s="11" t="s">
        <v>2</v>
      </c>
      <c r="C141" s="11" t="s">
        <v>305</v>
      </c>
      <c r="D141" s="11" t="s">
        <v>176</v>
      </c>
      <c r="E141" s="11" t="s">
        <v>304</v>
      </c>
      <c r="F141" s="315" t="s">
        <v>1006</v>
      </c>
      <c r="G141" s="316"/>
      <c r="H141" s="88"/>
      <c r="I141" s="31"/>
      <c r="J141" s="13"/>
      <c r="K141" s="13"/>
    </row>
    <row r="142" spans="1:11" s="20" customFormat="1" ht="19" customHeight="1" x14ac:dyDescent="0.35">
      <c r="A142" s="112"/>
      <c r="B142" s="266" t="s">
        <v>134</v>
      </c>
      <c r="C142" s="265" t="s">
        <v>134</v>
      </c>
      <c r="D142" s="267" t="s">
        <v>134</v>
      </c>
      <c r="E142" s="268" t="s">
        <v>134</v>
      </c>
      <c r="F142" s="447" t="s">
        <v>134</v>
      </c>
      <c r="G142" s="448"/>
      <c r="H142" s="88"/>
      <c r="I142" s="31"/>
      <c r="J142" s="13"/>
      <c r="K142" s="13"/>
    </row>
    <row r="143" spans="1:11" s="20" customFormat="1" ht="10" customHeight="1" x14ac:dyDescent="0.35">
      <c r="A143" s="112"/>
      <c r="B143" s="114"/>
      <c r="C143" s="114"/>
      <c r="D143" s="114"/>
      <c r="E143" s="114"/>
      <c r="F143" s="114"/>
      <c r="G143" s="114"/>
      <c r="H143" s="88"/>
      <c r="I143" s="31"/>
      <c r="J143" s="13"/>
      <c r="K143" s="13"/>
    </row>
    <row r="144" spans="1:11" s="20" customFormat="1" ht="14.15" hidden="1" customHeight="1" x14ac:dyDescent="0.35">
      <c r="A144" s="112"/>
      <c r="B144" s="239" t="s">
        <v>2</v>
      </c>
      <c r="C144" s="239" t="s">
        <v>176</v>
      </c>
      <c r="D144" s="240" t="s">
        <v>304</v>
      </c>
      <c r="E144" s="239" t="s">
        <v>3</v>
      </c>
      <c r="G144" s="114"/>
      <c r="H144" s="88"/>
      <c r="I144" s="31"/>
      <c r="J144" s="13"/>
      <c r="K144" s="13"/>
    </row>
    <row r="145" spans="1:11" s="20" customFormat="1" ht="14.15" hidden="1" customHeight="1" x14ac:dyDescent="0.35">
      <c r="A145" s="112"/>
      <c r="B145" s="241">
        <v>45484</v>
      </c>
      <c r="C145" s="241">
        <v>20552</v>
      </c>
      <c r="D145" s="242" t="s">
        <v>303</v>
      </c>
      <c r="E145" s="243">
        <v>4150783.21</v>
      </c>
      <c r="F145" s="14" t="s">
        <v>33</v>
      </c>
      <c r="G145" s="14"/>
      <c r="H145" s="88"/>
      <c r="I145" s="31"/>
      <c r="J145" s="13"/>
      <c r="K145" s="13"/>
    </row>
    <row r="146" spans="1:11" s="20" customFormat="1" ht="14.15" hidden="1" customHeight="1" x14ac:dyDescent="0.35">
      <c r="A146" s="112"/>
      <c r="B146" s="319" t="s">
        <v>308</v>
      </c>
      <c r="C146" s="319"/>
      <c r="D146" s="319"/>
      <c r="E146" s="244">
        <f>SUM(E145:E145)</f>
        <v>4150783.21</v>
      </c>
      <c r="F146" s="14"/>
      <c r="G146" s="14"/>
      <c r="H146" s="88"/>
      <c r="I146" s="31"/>
      <c r="J146" s="13"/>
      <c r="K146" s="13"/>
    </row>
    <row r="147" spans="1:11" s="20" customFormat="1" ht="16" hidden="1" customHeight="1" x14ac:dyDescent="0.35">
      <c r="A147" s="112"/>
      <c r="B147" s="318" t="s">
        <v>309</v>
      </c>
      <c r="C147" s="318"/>
      <c r="D147" s="318"/>
      <c r="E147" s="318"/>
      <c r="F147" s="318"/>
      <c r="G147" s="318"/>
      <c r="H147" s="88"/>
      <c r="I147" s="31" t="s">
        <v>32</v>
      </c>
      <c r="J147" s="13"/>
      <c r="K147" s="13"/>
    </row>
    <row r="148" spans="1:11" s="20" customFormat="1" ht="19.5" customHeight="1" x14ac:dyDescent="0.35">
      <c r="A148" s="112"/>
      <c r="B148" s="317" t="s">
        <v>319</v>
      </c>
      <c r="C148" s="317"/>
      <c r="D148" s="317"/>
      <c r="E148" s="317"/>
      <c r="F148" s="46">
        <f>+'8.Ventas Internas'!J6</f>
        <v>1</v>
      </c>
      <c r="G148" s="114"/>
      <c r="H148" s="88"/>
      <c r="I148" s="31"/>
      <c r="J148" s="13"/>
      <c r="K148" s="13"/>
    </row>
    <row r="149" spans="1:11" s="20" customFormat="1" ht="14.5" customHeight="1" x14ac:dyDescent="0.35">
      <c r="A149" s="112"/>
      <c r="B149" s="2"/>
      <c r="C149" s="2"/>
      <c r="D149" s="2"/>
      <c r="E149" s="37"/>
      <c r="F149" s="36"/>
      <c r="G149" s="96"/>
      <c r="H149" s="88"/>
      <c r="I149" s="34"/>
      <c r="J149" s="31"/>
      <c r="K149" s="33"/>
    </row>
    <row r="150" spans="1:11" x14ac:dyDescent="0.35">
      <c r="A150" s="320" t="s">
        <v>310</v>
      </c>
      <c r="B150" s="321"/>
      <c r="C150" s="321"/>
      <c r="D150" s="321"/>
      <c r="E150" s="321"/>
      <c r="F150" s="321"/>
      <c r="G150" s="321"/>
      <c r="H150" s="322"/>
      <c r="I150" s="13"/>
      <c r="J150" s="13"/>
      <c r="K150" s="13"/>
    </row>
    <row r="151" spans="1:11" s="20" customFormat="1" ht="16" customHeight="1" x14ac:dyDescent="0.35">
      <c r="A151" s="112"/>
      <c r="B151" s="317" t="s">
        <v>322</v>
      </c>
      <c r="C151" s="317"/>
      <c r="D151" s="317"/>
      <c r="E151" s="50">
        <v>1</v>
      </c>
      <c r="F151" s="114"/>
      <c r="G151" s="114"/>
      <c r="H151" s="88"/>
      <c r="I151" s="31"/>
      <c r="J151" s="13"/>
      <c r="K151" s="13"/>
    </row>
    <row r="152" spans="1:11" s="20" customFormat="1" ht="16" customHeight="1" x14ac:dyDescent="0.35">
      <c r="A152" s="112"/>
      <c r="B152" s="318" t="s">
        <v>210</v>
      </c>
      <c r="C152" s="318"/>
      <c r="D152" s="318"/>
      <c r="E152" s="50">
        <v>0</v>
      </c>
      <c r="F152" s="114"/>
      <c r="G152" s="114"/>
      <c r="H152" s="88"/>
      <c r="I152" s="31"/>
      <c r="J152" s="13"/>
      <c r="K152" s="13"/>
    </row>
    <row r="153" spans="1:11" s="20" customFormat="1" ht="10" customHeight="1" x14ac:dyDescent="0.35">
      <c r="A153" s="112"/>
      <c r="B153" s="114"/>
      <c r="C153" s="114"/>
      <c r="D153" s="114"/>
      <c r="E153" s="114"/>
      <c r="F153" s="114"/>
      <c r="G153" s="114"/>
      <c r="H153" s="88"/>
      <c r="I153" s="31"/>
      <c r="J153" s="13"/>
      <c r="K153" s="13"/>
    </row>
    <row r="154" spans="1:11" s="20" customFormat="1" ht="19.5" customHeight="1" x14ac:dyDescent="0.35">
      <c r="A154" s="112"/>
      <c r="B154" s="317" t="s">
        <v>323</v>
      </c>
      <c r="C154" s="317"/>
      <c r="D154" s="317"/>
      <c r="E154" s="317"/>
      <c r="F154" s="46">
        <f>+'9.Transf.Pend. Entrega'!K14</f>
        <v>1</v>
      </c>
      <c r="G154" s="114"/>
      <c r="H154" s="88"/>
      <c r="I154" s="31"/>
      <c r="J154" s="13"/>
      <c r="K154" s="13"/>
    </row>
    <row r="155" spans="1:11" s="20" customFormat="1" ht="14.5" customHeight="1" x14ac:dyDescent="0.35">
      <c r="A155" s="112"/>
      <c r="B155" s="2"/>
      <c r="C155" s="2"/>
      <c r="D155" s="2"/>
      <c r="E155" s="37"/>
      <c r="F155" s="36"/>
      <c r="G155" s="96"/>
      <c r="H155" s="88"/>
      <c r="I155" s="34"/>
      <c r="J155" s="31"/>
      <c r="K155" s="33"/>
    </row>
    <row r="156" spans="1:11" s="20" customForma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s="20" customForma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s="20" customForma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s="20" customForma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s="20" customForma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s="20" customForma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s="20" customForma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s="20" customForma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s="13" customFormat="1" x14ac:dyDescent="0.35"/>
    <row r="165" spans="1:11" s="13" customFormat="1" x14ac:dyDescent="0.35"/>
    <row r="166" spans="1:11" s="13" customFormat="1" x14ac:dyDescent="0.35"/>
    <row r="167" spans="1:11" s="13" customFormat="1" x14ac:dyDescent="0.35"/>
    <row r="168" spans="1:11" s="13" customFormat="1" x14ac:dyDescent="0.35"/>
    <row r="169" spans="1:11" s="13" customFormat="1" x14ac:dyDescent="0.35"/>
    <row r="170" spans="1:11" s="13" customFormat="1" x14ac:dyDescent="0.35"/>
    <row r="171" spans="1:11" s="13" customFormat="1" x14ac:dyDescent="0.35"/>
    <row r="172" spans="1:11" s="13" customFormat="1" x14ac:dyDescent="0.35"/>
    <row r="173" spans="1:11" s="13" customFormat="1" x14ac:dyDescent="0.35"/>
    <row r="174" spans="1:11" s="13" customFormat="1" hidden="1" x14ac:dyDescent="0.35"/>
    <row r="175" spans="1:11" s="20" customFormat="1" hidden="1" x14ac:dyDescent="0.35">
      <c r="A175" s="21"/>
      <c r="B175" s="22"/>
      <c r="C175" s="10"/>
      <c r="D175" s="10"/>
      <c r="E175" s="10"/>
      <c r="F175" s="10"/>
      <c r="G175" s="23"/>
      <c r="H175" s="15"/>
      <c r="I175" s="13"/>
      <c r="J175" s="13"/>
      <c r="K175" s="13"/>
    </row>
    <row r="176" spans="1:11" s="20" customFormat="1" hidden="1" x14ac:dyDescent="0.35">
      <c r="A176" s="21"/>
      <c r="B176" s="22"/>
      <c r="C176" s="10"/>
      <c r="D176" s="10"/>
      <c r="E176" s="10"/>
      <c r="F176" s="10"/>
      <c r="G176" s="23"/>
      <c r="H176" s="15"/>
      <c r="I176" s="13"/>
      <c r="J176" s="13"/>
      <c r="K176" s="13"/>
    </row>
    <row r="177" spans="9:11" s="20" customFormat="1" hidden="1" x14ac:dyDescent="0.35">
      <c r="I177"/>
      <c r="J177"/>
      <c r="K177"/>
    </row>
    <row r="178" spans="9:11" s="20" customFormat="1" hidden="1" x14ac:dyDescent="0.35">
      <c r="I178"/>
      <c r="J178"/>
      <c r="K178"/>
    </row>
    <row r="179" spans="9:11" s="20" customFormat="1" hidden="1" x14ac:dyDescent="0.35">
      <c r="I179"/>
      <c r="J179"/>
      <c r="K179"/>
    </row>
    <row r="180" spans="9:11" s="20" customFormat="1" hidden="1" x14ac:dyDescent="0.35">
      <c r="I180"/>
      <c r="J180"/>
      <c r="K180"/>
    </row>
    <row r="181" spans="9:11" s="20" customFormat="1" hidden="1" x14ac:dyDescent="0.35">
      <c r="I181"/>
      <c r="J181"/>
      <c r="K181"/>
    </row>
    <row r="182" spans="9:11" s="20" customFormat="1" hidden="1" x14ac:dyDescent="0.35">
      <c r="I182"/>
      <c r="J182"/>
      <c r="K182"/>
    </row>
    <row r="183" spans="9:11" s="20" customFormat="1" hidden="1" x14ac:dyDescent="0.35">
      <c r="I183"/>
      <c r="J183"/>
      <c r="K183"/>
    </row>
    <row r="184" spans="9:11" s="20" customFormat="1" hidden="1" x14ac:dyDescent="0.35">
      <c r="I184"/>
      <c r="J184"/>
      <c r="K184"/>
    </row>
    <row r="185" spans="9:11" x14ac:dyDescent="0.35"/>
    <row r="186" spans="9:11" x14ac:dyDescent="0.35"/>
    <row r="187" spans="9:11" x14ac:dyDescent="0.35"/>
    <row r="188" spans="9:11" x14ac:dyDescent="0.35"/>
    <row r="189" spans="9:11" x14ac:dyDescent="0.35"/>
    <row r="190" spans="9:11" x14ac:dyDescent="0.35"/>
    <row r="191" spans="9:11" x14ac:dyDescent="0.35"/>
    <row r="192" spans="9:11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</sheetData>
  <mergeCells count="70">
    <mergeCell ref="F129:G130"/>
    <mergeCell ref="B90:C90"/>
    <mergeCell ref="B91:C91"/>
    <mergeCell ref="B92:C92"/>
    <mergeCell ref="F57:G62"/>
    <mergeCell ref="B72:D72"/>
    <mergeCell ref="B73:D73"/>
    <mergeCell ref="B80:G80"/>
    <mergeCell ref="B88:C88"/>
    <mergeCell ref="B89:C89"/>
    <mergeCell ref="B47:G47"/>
    <mergeCell ref="B48:E48"/>
    <mergeCell ref="B46:E46"/>
    <mergeCell ref="B51:D51"/>
    <mergeCell ref="B52:D52"/>
    <mergeCell ref="B23:G23"/>
    <mergeCell ref="A39:H39"/>
    <mergeCell ref="B112:G112"/>
    <mergeCell ref="B105:D105"/>
    <mergeCell ref="A84:H84"/>
    <mergeCell ref="B106:D106"/>
    <mergeCell ref="A50:H50"/>
    <mergeCell ref="A104:H104"/>
    <mergeCell ref="B86:G86"/>
    <mergeCell ref="B27:B29"/>
    <mergeCell ref="C26:D26"/>
    <mergeCell ref="A40:H40"/>
    <mergeCell ref="B41:D41"/>
    <mergeCell ref="B42:D42"/>
    <mergeCell ref="B33:B35"/>
    <mergeCell ref="B30:B32"/>
    <mergeCell ref="F56:G56"/>
    <mergeCell ref="B154:E154"/>
    <mergeCell ref="B134:G134"/>
    <mergeCell ref="B135:E135"/>
    <mergeCell ref="B146:D146"/>
    <mergeCell ref="A150:H150"/>
    <mergeCell ref="B151:D151"/>
    <mergeCell ref="F142:G142"/>
    <mergeCell ref="B113:E113"/>
    <mergeCell ref="B138:D138"/>
    <mergeCell ref="B139:D139"/>
    <mergeCell ref="B148:E148"/>
    <mergeCell ref="B152:D152"/>
    <mergeCell ref="A137:H137"/>
    <mergeCell ref="B147:G147"/>
    <mergeCell ref="B68:G68"/>
    <mergeCell ref="B69:E69"/>
    <mergeCell ref="F64:G64"/>
    <mergeCell ref="F65:G65"/>
    <mergeCell ref="F66:G66"/>
    <mergeCell ref="B67:D67"/>
    <mergeCell ref="B81:E81"/>
    <mergeCell ref="B79:C79"/>
    <mergeCell ref="A85:H85"/>
    <mergeCell ref="B87:C87"/>
    <mergeCell ref="A71:H71"/>
    <mergeCell ref="D109:E109"/>
    <mergeCell ref="D110:E110"/>
    <mergeCell ref="D111:E111"/>
    <mergeCell ref="F141:G141"/>
    <mergeCell ref="A123:H123"/>
    <mergeCell ref="A124:H124"/>
    <mergeCell ref="B125:D125"/>
    <mergeCell ref="B126:D126"/>
    <mergeCell ref="A115:H115"/>
    <mergeCell ref="B116:D116"/>
    <mergeCell ref="B117:D117"/>
    <mergeCell ref="B121:E121"/>
    <mergeCell ref="F128:G128"/>
  </mergeCells>
  <dataValidations disablePrompts="1" count="1">
    <dataValidation type="date" allowBlank="1" showInputMessage="1" showErrorMessage="1" errorTitle="Error de formato" error="Introducir en formato fecha: DD/MM/AAAA" sqref="G24" xr:uid="{00000000-0002-0000-0100-000000000000}">
      <formula1>45474</formula1>
      <formula2>73415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1000000}">
          <x14:formula1>
            <xm:f>'Config S-J'!$D$36:$D$37</xm:f>
          </x14:formula1>
          <xm:sqref>C24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7D7D"/>
  </sheetPr>
  <dimension ref="A1:O55"/>
  <sheetViews>
    <sheetView topLeftCell="C7" zoomScale="85" zoomScaleNormal="85" workbookViewId="0">
      <selection activeCell="D25" sqref="D25"/>
    </sheetView>
  </sheetViews>
  <sheetFormatPr baseColWidth="10" defaultColWidth="0" defaultRowHeight="0" customHeight="1" zeroHeight="1" x14ac:dyDescent="0.35"/>
  <cols>
    <col min="1" max="1" width="7.81640625" customWidth="1"/>
    <col min="2" max="2" width="10.453125" customWidth="1"/>
    <col min="3" max="3" width="12.54296875" bestFit="1" customWidth="1"/>
    <col min="4" max="4" width="62.1796875" customWidth="1"/>
    <col min="5" max="5" width="3.1796875" hidden="1" customWidth="1"/>
    <col min="6" max="6" width="7.81640625" hidden="1" customWidth="1"/>
    <col min="7" max="7" width="5.54296875" hidden="1" customWidth="1"/>
    <col min="8" max="8" width="12.54296875" hidden="1" customWidth="1"/>
    <col min="9" max="9" width="66.453125" hidden="1" customWidth="1"/>
    <col min="10" max="10" width="3.1796875" hidden="1" customWidth="1"/>
    <col min="11" max="15" width="13.26953125" hidden="1" customWidth="1"/>
    <col min="16" max="16384" width="10.81640625" hidden="1"/>
  </cols>
  <sheetData>
    <row r="1" spans="1:4" ht="31" customHeight="1" x14ac:dyDescent="0.35">
      <c r="A1" s="351" t="s">
        <v>5</v>
      </c>
      <c r="B1" s="351"/>
      <c r="C1" s="351"/>
      <c r="D1" s="351"/>
    </row>
    <row r="2" spans="1:4" ht="20" x14ac:dyDescent="0.4">
      <c r="A2" s="353" t="s">
        <v>58</v>
      </c>
      <c r="B2" s="353"/>
      <c r="C2" s="353"/>
      <c r="D2" s="353"/>
    </row>
    <row r="3" spans="1:4" s="68" customFormat="1" ht="14.5" x14ac:dyDescent="0.35">
      <c r="A3" s="65" t="s">
        <v>48</v>
      </c>
      <c r="B3" s="66"/>
      <c r="C3" s="66"/>
      <c r="D3" s="67"/>
    </row>
    <row r="4" spans="1:4" ht="14.5" x14ac:dyDescent="0.35">
      <c r="A4" s="350" t="s">
        <v>49</v>
      </c>
      <c r="B4" s="350"/>
      <c r="C4" s="350"/>
      <c r="D4" s="1"/>
    </row>
    <row r="5" spans="1:4" ht="14.5" x14ac:dyDescent="0.35">
      <c r="A5" s="56">
        <v>35</v>
      </c>
      <c r="B5" s="5" t="s">
        <v>7</v>
      </c>
      <c r="C5" s="55" t="s">
        <v>8</v>
      </c>
      <c r="D5" s="3"/>
    </row>
    <row r="6" spans="1:4" ht="14.5" x14ac:dyDescent="0.35">
      <c r="A6" s="56">
        <v>30</v>
      </c>
      <c r="B6" s="6" t="s">
        <v>9</v>
      </c>
      <c r="C6" s="55" t="s">
        <v>10</v>
      </c>
      <c r="D6" s="3"/>
    </row>
    <row r="7" spans="1:4" ht="14.5" x14ac:dyDescent="0.35">
      <c r="A7" s="56">
        <v>17</v>
      </c>
      <c r="B7" s="7" t="s">
        <v>11</v>
      </c>
      <c r="C7" s="55" t="s">
        <v>12</v>
      </c>
      <c r="D7" s="3"/>
    </row>
    <row r="8" spans="1:4" ht="14.5" x14ac:dyDescent="0.35">
      <c r="A8" s="56">
        <v>12</v>
      </c>
      <c r="B8" s="8" t="s">
        <v>13</v>
      </c>
      <c r="C8" s="55" t="s">
        <v>14</v>
      </c>
      <c r="D8" s="3"/>
    </row>
    <row r="9" spans="1:4" ht="14.5" x14ac:dyDescent="0.35">
      <c r="A9" s="56">
        <v>6</v>
      </c>
      <c r="B9" s="9" t="s">
        <v>15</v>
      </c>
      <c r="C9" s="55" t="s">
        <v>16</v>
      </c>
      <c r="D9" s="3"/>
    </row>
    <row r="10" spans="1:4" ht="14.5" x14ac:dyDescent="0.35">
      <c r="A10" s="56">
        <f>SUM(A5:A9)</f>
        <v>100</v>
      </c>
      <c r="B10" s="352" t="s">
        <v>17</v>
      </c>
      <c r="C10" s="352"/>
      <c r="D10" s="3"/>
    </row>
    <row r="11" spans="1:4" ht="14.5" x14ac:dyDescent="0.35">
      <c r="A11" s="56"/>
      <c r="B11" s="56"/>
      <c r="C11" s="56"/>
      <c r="D11" s="3"/>
    </row>
    <row r="12" spans="1:4" ht="14.5" x14ac:dyDescent="0.35">
      <c r="A12" s="350" t="s">
        <v>50</v>
      </c>
      <c r="B12" s="350"/>
      <c r="C12" s="350"/>
      <c r="D12" s="3"/>
    </row>
    <row r="13" spans="1:4" ht="14.5" x14ac:dyDescent="0.35">
      <c r="A13" s="352" t="s">
        <v>18</v>
      </c>
      <c r="B13" s="352"/>
      <c r="C13" s="77">
        <f>+'Salta-Jujuy'!G36*100</f>
        <v>98.161764705882348</v>
      </c>
      <c r="D13" s="3"/>
    </row>
    <row r="14" spans="1:4" ht="14.5" x14ac:dyDescent="0.35">
      <c r="A14" s="56"/>
      <c r="B14" s="56"/>
      <c r="C14" s="57"/>
      <c r="D14" s="3"/>
    </row>
    <row r="15" spans="1:4" ht="14.5" x14ac:dyDescent="0.35">
      <c r="A15" s="350" t="s">
        <v>57</v>
      </c>
      <c r="B15" s="350"/>
      <c r="C15" s="350"/>
      <c r="D15" s="3"/>
    </row>
    <row r="16" spans="1:4" ht="14.5" x14ac:dyDescent="0.35">
      <c r="A16" s="352" t="s">
        <v>19</v>
      </c>
      <c r="B16" s="352"/>
      <c r="C16" s="58">
        <f>C13-C17/2</f>
        <v>97.161764705882348</v>
      </c>
      <c r="D16" s="3"/>
    </row>
    <row r="17" spans="1:4" ht="14.5" x14ac:dyDescent="0.35">
      <c r="A17" s="352" t="s">
        <v>20</v>
      </c>
      <c r="B17" s="352"/>
      <c r="C17" s="58">
        <v>2</v>
      </c>
      <c r="D17" s="3"/>
    </row>
    <row r="18" spans="1:4" ht="14.5" x14ac:dyDescent="0.35">
      <c r="A18" s="352" t="s">
        <v>21</v>
      </c>
      <c r="B18" s="352"/>
      <c r="C18" s="58">
        <f>SUM(A5:A10)-C16-C17</f>
        <v>100.83823529411765</v>
      </c>
      <c r="D18" s="3"/>
    </row>
    <row r="19" spans="1:4" ht="14.5" x14ac:dyDescent="0.35">
      <c r="A19" s="59"/>
      <c r="B19" s="59"/>
      <c r="C19" s="59"/>
      <c r="D19" s="3"/>
    </row>
    <row r="20" spans="1:4" s="68" customFormat="1" ht="14.5" x14ac:dyDescent="0.35">
      <c r="A20" s="65" t="s">
        <v>53</v>
      </c>
      <c r="B20" s="69"/>
      <c r="C20" s="69"/>
    </row>
    <row r="21" spans="1:4" ht="14.5" x14ac:dyDescent="0.35">
      <c r="A21" s="350" t="s">
        <v>51</v>
      </c>
      <c r="B21" s="350"/>
      <c r="C21" s="350"/>
      <c r="D21" s="3"/>
    </row>
    <row r="22" spans="1:4" ht="14.5" x14ac:dyDescent="0.35">
      <c r="A22" s="51" t="s">
        <v>23</v>
      </c>
      <c r="B22" s="52" t="s">
        <v>24</v>
      </c>
      <c r="C22" s="52" t="s">
        <v>6</v>
      </c>
      <c r="D22" s="52" t="s">
        <v>25</v>
      </c>
    </row>
    <row r="23" spans="1:4" ht="14.5" x14ac:dyDescent="0.35">
      <c r="A23" s="54">
        <v>0.94</v>
      </c>
      <c r="B23" s="5" t="s">
        <v>7</v>
      </c>
      <c r="C23" s="53" t="s">
        <v>8</v>
      </c>
      <c r="D23" s="53" t="s">
        <v>26</v>
      </c>
    </row>
    <row r="24" spans="1:4" ht="14.5" x14ac:dyDescent="0.35">
      <c r="A24" s="54">
        <v>0.82</v>
      </c>
      <c r="B24" s="6" t="s">
        <v>9</v>
      </c>
      <c r="C24" s="53" t="s">
        <v>10</v>
      </c>
      <c r="D24" s="53" t="s">
        <v>27</v>
      </c>
    </row>
    <row r="25" spans="1:4" ht="14.5" x14ac:dyDescent="0.35">
      <c r="A25" s="54">
        <v>0.65</v>
      </c>
      <c r="B25" s="7" t="s">
        <v>11</v>
      </c>
      <c r="C25" s="53" t="s">
        <v>12</v>
      </c>
      <c r="D25" s="53" t="s">
        <v>28</v>
      </c>
    </row>
    <row r="26" spans="1:4" ht="14.5" x14ac:dyDescent="0.35">
      <c r="A26" s="54">
        <v>0.35</v>
      </c>
      <c r="B26" s="8" t="s">
        <v>13</v>
      </c>
      <c r="C26" s="53" t="s">
        <v>14</v>
      </c>
      <c r="D26" s="53" t="s">
        <v>29</v>
      </c>
    </row>
    <row r="27" spans="1:4" ht="14.5" x14ac:dyDescent="0.35">
      <c r="A27" s="54">
        <v>0</v>
      </c>
      <c r="B27" s="9" t="s">
        <v>15</v>
      </c>
      <c r="C27" s="53" t="s">
        <v>16</v>
      </c>
      <c r="D27" s="53" t="s">
        <v>30</v>
      </c>
    </row>
    <row r="28" spans="1:4" ht="15.5" x14ac:dyDescent="0.35">
      <c r="A28" s="62"/>
      <c r="B28" s="62"/>
      <c r="C28" s="62"/>
      <c r="D28" s="62"/>
    </row>
    <row r="29" spans="1:4" ht="14.5" x14ac:dyDescent="0.35">
      <c r="A29" s="63" t="s">
        <v>22</v>
      </c>
      <c r="B29" s="63"/>
      <c r="C29" s="78">
        <f>+C13/100</f>
        <v>0.98161764705882348</v>
      </c>
      <c r="D29" s="3"/>
    </row>
    <row r="30" spans="1:4" ht="14.5" x14ac:dyDescent="0.35">
      <c r="A30" s="60"/>
      <c r="B30" s="60"/>
      <c r="C30" s="61"/>
      <c r="D30" s="3"/>
    </row>
    <row r="31" spans="1:4" ht="17.5" x14ac:dyDescent="0.35">
      <c r="A31" s="64" t="s">
        <v>52</v>
      </c>
      <c r="B31" s="80" t="str">
        <f>IF(C29&lt;A26,C27,IF(C29&lt;A25,C26,IF(C29&lt;A24,C25,IF(C29&lt;A23,C24,C23))))</f>
        <v>Satisfactorio</v>
      </c>
      <c r="C31" s="79"/>
      <c r="D31" s="3"/>
    </row>
    <row r="32" spans="1:4" ht="15.5" x14ac:dyDescent="0.35">
      <c r="A32" s="64" t="s">
        <v>52</v>
      </c>
      <c r="B32" s="81" t="str">
        <f>VLOOKUP(B31,C23:D27,2,FALSE)</f>
        <v>No existen desvíos, o si existen estos son escasos y no significativos.</v>
      </c>
      <c r="C32" s="79"/>
      <c r="D32" s="81"/>
    </row>
    <row r="33" spans="1:4" ht="15.5" x14ac:dyDescent="0.35">
      <c r="A33" s="61"/>
      <c r="B33" s="60"/>
      <c r="C33" s="60"/>
      <c r="D33" s="62"/>
    </row>
    <row r="34" spans="1:4" s="68" customFormat="1" ht="14.5" x14ac:dyDescent="0.35">
      <c r="A34" s="65" t="s">
        <v>54</v>
      </c>
      <c r="B34" s="69"/>
      <c r="C34" s="69"/>
    </row>
    <row r="35" spans="1:4" ht="20" x14ac:dyDescent="0.35">
      <c r="A35" s="350" t="s">
        <v>55</v>
      </c>
      <c r="B35" s="350"/>
      <c r="C35" s="350"/>
      <c r="D35" s="83" t="str">
        <f>+'Salta-Jujuy'!C24</f>
        <v>Casa Central Jujuy</v>
      </c>
    </row>
    <row r="36" spans="1:4" ht="14.5" x14ac:dyDescent="0.35">
      <c r="A36" s="70" t="s">
        <v>59</v>
      </c>
      <c r="B36" s="51"/>
      <c r="C36" s="51"/>
      <c r="D36" s="3" t="s">
        <v>34</v>
      </c>
    </row>
    <row r="37" spans="1:4" ht="14.5" x14ac:dyDescent="0.35">
      <c r="A37" s="51"/>
      <c r="B37" s="51"/>
      <c r="C37" s="51"/>
      <c r="D37" s="3" t="s">
        <v>60</v>
      </c>
    </row>
    <row r="38" spans="1:4" ht="14.5" x14ac:dyDescent="0.35">
      <c r="A38" s="51"/>
      <c r="B38" s="51"/>
      <c r="C38" s="51"/>
      <c r="D38" s="3"/>
    </row>
    <row r="39" spans="1:4" ht="15" x14ac:dyDescent="0.35">
      <c r="A39" s="350" t="s">
        <v>311</v>
      </c>
      <c r="B39" s="350"/>
      <c r="C39" s="350"/>
      <c r="D39" s="211">
        <f>+'Salta-Jujuy'!D88</f>
        <v>213</v>
      </c>
    </row>
    <row r="40" spans="1:4" ht="14.5" x14ac:dyDescent="0.35">
      <c r="A40" s="90"/>
      <c r="B40" s="90"/>
      <c r="C40" s="90"/>
      <c r="D40" s="90"/>
    </row>
    <row r="41" spans="1:4" ht="14.5" x14ac:dyDescent="0.35">
      <c r="A41" s="51"/>
      <c r="B41" s="3"/>
      <c r="C41" s="76"/>
      <c r="D41" s="3"/>
    </row>
    <row r="42" spans="1:4" ht="24" customHeight="1" x14ac:dyDescent="0.35">
      <c r="A42" s="350" t="s">
        <v>56</v>
      </c>
      <c r="B42" s="350"/>
      <c r="C42" s="350"/>
      <c r="D42" s="82">
        <f>+'Salta-Jujuy'!G24</f>
        <v>46056</v>
      </c>
    </row>
    <row r="43" spans="1:4" ht="14.5" x14ac:dyDescent="0.35">
      <c r="A43" s="3"/>
      <c r="B43" s="3"/>
      <c r="C43" s="3"/>
      <c r="D43" s="3"/>
    </row>
    <row r="44" spans="1:4" ht="14.5" hidden="1" x14ac:dyDescent="0.35"/>
    <row r="45" spans="1:4" ht="14.5" hidden="1" x14ac:dyDescent="0.35"/>
    <row r="46" spans="1:4" ht="14.5" hidden="1" x14ac:dyDescent="0.35"/>
    <row r="47" spans="1:4" ht="14.5" hidden="1" x14ac:dyDescent="0.35"/>
    <row r="48" spans="1:4" ht="14.5" hidden="1" x14ac:dyDescent="0.35"/>
    <row r="49" spans="1:4" ht="14.5" hidden="1" x14ac:dyDescent="0.35">
      <c r="A49" s="4"/>
      <c r="B49" s="4"/>
      <c r="C49" s="4"/>
      <c r="D49" s="4"/>
    </row>
    <row r="50" spans="1:4" ht="14.5" hidden="1" x14ac:dyDescent="0.35">
      <c r="A50" s="4"/>
      <c r="B50" s="4"/>
      <c r="C50" s="4"/>
      <c r="D50" s="4"/>
    </row>
    <row r="51" spans="1:4" ht="14.5" hidden="1" x14ac:dyDescent="0.35">
      <c r="A51" s="4"/>
      <c r="B51" s="4"/>
      <c r="C51" s="4"/>
      <c r="D51" s="4"/>
    </row>
    <row r="52" spans="1:4" ht="14.5" hidden="1" x14ac:dyDescent="0.35">
      <c r="A52" s="4"/>
      <c r="B52" s="4"/>
      <c r="C52" s="4"/>
      <c r="D52" s="4"/>
    </row>
    <row r="53" spans="1:4" ht="14.5" hidden="1" x14ac:dyDescent="0.35">
      <c r="A53" s="4"/>
      <c r="B53" s="4"/>
      <c r="C53" s="4"/>
      <c r="D53" s="4"/>
    </row>
    <row r="54" spans="1:4" ht="14.5" hidden="1" x14ac:dyDescent="0.35">
      <c r="A54" s="4"/>
      <c r="B54" s="4"/>
      <c r="C54" s="4"/>
      <c r="D54" s="4"/>
    </row>
    <row r="55" spans="1:4" ht="14.5" hidden="1" x14ac:dyDescent="0.35">
      <c r="A55" s="4"/>
      <c r="B55" s="4"/>
      <c r="C55" s="4"/>
      <c r="D55" s="4"/>
    </row>
  </sheetData>
  <mergeCells count="14">
    <mergeCell ref="A39:C39"/>
    <mergeCell ref="A42:C42"/>
    <mergeCell ref="A1:D1"/>
    <mergeCell ref="A12:C12"/>
    <mergeCell ref="A15:C15"/>
    <mergeCell ref="A21:C21"/>
    <mergeCell ref="A35:C35"/>
    <mergeCell ref="A18:B18"/>
    <mergeCell ref="A13:B13"/>
    <mergeCell ref="A16:B16"/>
    <mergeCell ref="A17:B17"/>
    <mergeCell ref="A2:D2"/>
    <mergeCell ref="A4:C4"/>
    <mergeCell ref="B10:C10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AC114"/>
  <sheetViews>
    <sheetView zoomScaleNormal="10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K20" sqref="K20"/>
    </sheetView>
  </sheetViews>
  <sheetFormatPr baseColWidth="10" defaultRowHeight="14.5" x14ac:dyDescent="0.35"/>
  <cols>
    <col min="2" max="2" width="16" customWidth="1"/>
    <col min="3" max="3" width="34.54296875" bestFit="1" customWidth="1"/>
    <col min="4" max="4" width="13.81640625" customWidth="1"/>
    <col min="5" max="5" width="15.1796875" customWidth="1"/>
    <col min="6" max="6" width="12.26953125" customWidth="1"/>
    <col min="7" max="7" width="10.81640625" customWidth="1"/>
    <col min="8" max="8" width="13.453125" customWidth="1"/>
    <col min="9" max="10" width="10.81640625" customWidth="1"/>
    <col min="11" max="11" width="16.7265625" customWidth="1"/>
    <col min="12" max="19" width="11.453125" customWidth="1"/>
    <col min="25" max="25" width="16.1796875" bestFit="1" customWidth="1"/>
    <col min="26" max="26" width="18.26953125" bestFit="1" customWidth="1"/>
  </cols>
  <sheetData>
    <row r="1" spans="1:29" x14ac:dyDescent="0.35">
      <c r="A1" s="176" t="s">
        <v>296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200"/>
      <c r="V1" s="30"/>
      <c r="W1" s="30"/>
      <c r="X1" s="30"/>
      <c r="Y1" s="30"/>
      <c r="Z1" s="30"/>
      <c r="AA1" s="30"/>
      <c r="AB1" s="30"/>
      <c r="AC1" s="30"/>
    </row>
    <row r="2" spans="1:29" x14ac:dyDescent="0.35">
      <c r="A2" s="175" t="s">
        <v>61</v>
      </c>
      <c r="B2" s="30"/>
      <c r="C2" s="30" t="s">
        <v>640</v>
      </c>
      <c r="D2" s="150">
        <f>+D59/D58</f>
        <v>1.0701884115960674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00"/>
      <c r="V2" s="30"/>
      <c r="W2" s="30"/>
      <c r="X2" s="30"/>
      <c r="Y2" s="30"/>
      <c r="Z2" s="30"/>
      <c r="AA2" s="30"/>
      <c r="AB2" s="30"/>
      <c r="AC2" s="30"/>
    </row>
    <row r="3" spans="1:29" x14ac:dyDescent="0.35">
      <c r="A3" s="30" t="s">
        <v>295</v>
      </c>
      <c r="B3" s="174">
        <v>45604</v>
      </c>
      <c r="C3" s="198"/>
      <c r="D3" s="198"/>
      <c r="E3" s="204" t="s">
        <v>294</v>
      </c>
      <c r="F3" s="203"/>
      <c r="G3" s="203"/>
      <c r="H3" s="202"/>
      <c r="I3" s="201">
        <f>1-(COUNTIFS($I$5:$I$90,"NC")/COUNTA($D$5:$D$90))</f>
        <v>0.98837209302325579</v>
      </c>
      <c r="J3" s="201">
        <f>1-(COUNTIFS($J$5:$J$90,"NC")/COUNTA($D$5:$D$90))</f>
        <v>1</v>
      </c>
      <c r="K3" s="198"/>
      <c r="L3" s="354" t="s">
        <v>293</v>
      </c>
      <c r="M3" s="354"/>
      <c r="N3" s="354"/>
      <c r="O3" s="354"/>
      <c r="P3" s="30"/>
      <c r="Q3" s="355" t="s">
        <v>286</v>
      </c>
      <c r="R3" s="355"/>
      <c r="S3" s="355"/>
      <c r="T3" s="198"/>
      <c r="U3" s="200"/>
      <c r="V3" s="356" t="s">
        <v>229</v>
      </c>
      <c r="W3" s="356"/>
      <c r="X3" s="356"/>
      <c r="Y3" s="199">
        <f>SUM(Y5:Y90)</f>
        <v>-1240272.3759999999</v>
      </c>
      <c r="Z3" s="199">
        <f>SUM(Z5:Z90)</f>
        <v>183689879.15459993</v>
      </c>
      <c r="AA3" s="198"/>
      <c r="AB3" s="198"/>
      <c r="AC3" s="30"/>
    </row>
    <row r="4" spans="1:29" x14ac:dyDescent="0.35">
      <c r="A4" s="197" t="s">
        <v>120</v>
      </c>
      <c r="B4" s="197" t="s">
        <v>206</v>
      </c>
      <c r="C4" s="197" t="s">
        <v>39</v>
      </c>
      <c r="D4" s="197" t="s">
        <v>292</v>
      </c>
      <c r="E4" s="196" t="s">
        <v>63</v>
      </c>
      <c r="F4" s="196" t="s">
        <v>291</v>
      </c>
      <c r="G4" s="196" t="s">
        <v>285</v>
      </c>
      <c r="H4" s="196" t="s">
        <v>290</v>
      </c>
      <c r="I4" s="196" t="s">
        <v>120</v>
      </c>
      <c r="J4" s="196" t="s">
        <v>198</v>
      </c>
      <c r="K4" s="197" t="s">
        <v>289</v>
      </c>
      <c r="L4" s="197">
        <v>7924</v>
      </c>
      <c r="M4" s="197" t="s">
        <v>325</v>
      </c>
      <c r="N4" s="197" t="s">
        <v>288</v>
      </c>
      <c r="O4" s="197" t="s">
        <v>287</v>
      </c>
      <c r="P4" s="197" t="s">
        <v>284</v>
      </c>
      <c r="Q4" s="197" t="s">
        <v>63</v>
      </c>
      <c r="R4" s="196" t="s">
        <v>286</v>
      </c>
      <c r="S4" s="196" t="s">
        <v>285</v>
      </c>
      <c r="T4" s="196" t="s">
        <v>283</v>
      </c>
      <c r="U4" s="197" t="s">
        <v>229</v>
      </c>
      <c r="V4" s="196" t="s">
        <v>243</v>
      </c>
      <c r="W4" s="196" t="s">
        <v>244</v>
      </c>
      <c r="X4" s="196" t="s">
        <v>282</v>
      </c>
      <c r="Y4" s="196" t="s">
        <v>281</v>
      </c>
      <c r="Z4" s="196" t="s">
        <v>280</v>
      </c>
      <c r="AA4" s="196" t="s">
        <v>235</v>
      </c>
      <c r="AB4" s="196" t="s">
        <v>279</v>
      </c>
      <c r="AC4" s="30"/>
    </row>
    <row r="5" spans="1:29" x14ac:dyDescent="0.35">
      <c r="A5" s="134" t="s">
        <v>411</v>
      </c>
      <c r="B5" s="134" t="s">
        <v>412</v>
      </c>
      <c r="C5" s="134" t="s">
        <v>413</v>
      </c>
      <c r="D5" s="191">
        <v>138147.128</v>
      </c>
      <c r="E5" s="135">
        <v>-3</v>
      </c>
      <c r="F5" s="222">
        <v>1</v>
      </c>
      <c r="G5" s="187">
        <f t="shared" ref="G5:G41" si="0">+F5-E5</f>
        <v>4</v>
      </c>
      <c r="H5" s="195">
        <f t="shared" ref="H5:H41" si="1">+D5*G5</f>
        <v>552588.51199999999</v>
      </c>
      <c r="I5" s="194" t="s">
        <v>41</v>
      </c>
      <c r="J5" s="194" t="s">
        <v>41</v>
      </c>
      <c r="K5" s="245" t="s">
        <v>743</v>
      </c>
      <c r="L5" s="189">
        <v>4</v>
      </c>
      <c r="M5" s="189"/>
      <c r="N5" s="189">
        <f t="shared" ref="N5:N36" si="2">+SUM(L5:M5)</f>
        <v>4</v>
      </c>
      <c r="O5" s="238">
        <f t="shared" ref="O5:O36" si="3">-E5-N5+F5</f>
        <v>0</v>
      </c>
      <c r="P5" s="188" t="s">
        <v>245</v>
      </c>
      <c r="Q5" s="189">
        <v>21</v>
      </c>
      <c r="R5" s="189">
        <v>22</v>
      </c>
      <c r="S5" s="187">
        <f t="shared" ref="S5:S41" si="4">+R5-Q5</f>
        <v>1</v>
      </c>
      <c r="T5" s="186">
        <f t="shared" ref="T5:T14" si="5">IF(G5=0,0,IF(P5="Recontar",S5,IF(P5="Ajustar",O5,IF(P5="Canje",G5))))</f>
        <v>1</v>
      </c>
      <c r="U5" s="185" t="s">
        <v>770</v>
      </c>
      <c r="V5" s="184" t="str">
        <f t="shared" ref="V5:V10" si="6">IF(U5=$V$4,T5,"0")</f>
        <v>0</v>
      </c>
      <c r="W5" s="184" t="str">
        <f t="shared" ref="W5:W10" si="7">IF(U5=$W$4,T5,"0")</f>
        <v>0</v>
      </c>
      <c r="X5" s="184">
        <f>IF(U5=$V$4,0,IF(U5=$W$4,0,IF(U5="-",0,IF(U5="Sin Ajuste",0,T5))))</f>
        <v>0</v>
      </c>
      <c r="Y5" s="183">
        <f t="shared" ref="Y5:Y36" si="8">+V5*D5+W5*D5</f>
        <v>0</v>
      </c>
      <c r="Z5" s="183">
        <f t="shared" ref="Z5:Z36" si="9">+E5*D5</f>
        <v>-414441.38399999996</v>
      </c>
      <c r="AA5" s="182">
        <f t="shared" ref="AA5:AA41" si="10">+Z5/$Z$3</f>
        <v>-2.256201516966492E-3</v>
      </c>
      <c r="AB5" s="182">
        <f>+AA5</f>
        <v>-2.256201516966492E-3</v>
      </c>
      <c r="AC5" s="30"/>
    </row>
    <row r="6" spans="1:29" hidden="1" x14ac:dyDescent="0.35">
      <c r="A6" s="134" t="s">
        <v>430</v>
      </c>
      <c r="B6" s="134" t="s">
        <v>431</v>
      </c>
      <c r="C6" s="134" t="s">
        <v>432</v>
      </c>
      <c r="D6" s="191">
        <v>217804.44699999999</v>
      </c>
      <c r="E6" s="135">
        <v>15</v>
      </c>
      <c r="F6" s="193">
        <v>14</v>
      </c>
      <c r="G6" s="187">
        <f t="shared" si="0"/>
        <v>-1</v>
      </c>
      <c r="H6" s="190">
        <f t="shared" si="1"/>
        <v>-217804.44699999999</v>
      </c>
      <c r="I6" s="194" t="s">
        <v>41</v>
      </c>
      <c r="J6" s="194" t="s">
        <v>41</v>
      </c>
      <c r="K6" s="189" t="s">
        <v>744</v>
      </c>
      <c r="L6" s="189" t="s">
        <v>740</v>
      </c>
      <c r="M6" s="189"/>
      <c r="N6" s="189">
        <f t="shared" si="2"/>
        <v>0</v>
      </c>
      <c r="O6" s="238">
        <f t="shared" si="3"/>
        <v>-1</v>
      </c>
      <c r="P6" s="188" t="s">
        <v>245</v>
      </c>
      <c r="Q6" s="136">
        <v>31</v>
      </c>
      <c r="R6" s="136">
        <v>30</v>
      </c>
      <c r="S6" s="187">
        <f t="shared" si="4"/>
        <v>-1</v>
      </c>
      <c r="T6" s="186">
        <f t="shared" si="5"/>
        <v>-1</v>
      </c>
      <c r="U6" s="185" t="s">
        <v>769</v>
      </c>
      <c r="V6" s="184" t="str">
        <f t="shared" si="6"/>
        <v>0</v>
      </c>
      <c r="W6" s="184" t="str">
        <f t="shared" si="7"/>
        <v>0</v>
      </c>
      <c r="X6" s="184">
        <f t="shared" ref="X6:X69" si="11">IF(U6=$V$4,0,IF(U6=$W$4,0,IF(U6="-",0,IF(U6="Sin Ajuste",0,T6))))</f>
        <v>-1</v>
      </c>
      <c r="Y6" s="183">
        <f t="shared" si="8"/>
        <v>0</v>
      </c>
      <c r="Z6" s="183">
        <f t="shared" si="9"/>
        <v>3267066.7049999996</v>
      </c>
      <c r="AA6" s="182">
        <f t="shared" si="10"/>
        <v>1.7785774153895109E-2</v>
      </c>
      <c r="AB6" s="181">
        <f t="shared" ref="AB6:AB73" si="12">+AB5+AA6</f>
        <v>1.5529572636928618E-2</v>
      </c>
      <c r="AC6" s="30"/>
    </row>
    <row r="7" spans="1:29" hidden="1" x14ac:dyDescent="0.35">
      <c r="A7" s="134" t="s">
        <v>433</v>
      </c>
      <c r="B7" s="134" t="s">
        <v>434</v>
      </c>
      <c r="C7" s="134" t="s">
        <v>435</v>
      </c>
      <c r="D7" s="191">
        <v>219662.03</v>
      </c>
      <c r="E7" s="135">
        <v>1</v>
      </c>
      <c r="F7" s="193">
        <v>2</v>
      </c>
      <c r="G7" s="187">
        <f t="shared" si="0"/>
        <v>1</v>
      </c>
      <c r="H7" s="190">
        <f t="shared" si="1"/>
        <v>219662.03</v>
      </c>
      <c r="I7" s="194" t="s">
        <v>41</v>
      </c>
      <c r="J7" s="194" t="s">
        <v>41</v>
      </c>
      <c r="K7" s="189" t="s">
        <v>744</v>
      </c>
      <c r="L7" s="189"/>
      <c r="M7" s="189"/>
      <c r="N7" s="189">
        <f t="shared" si="2"/>
        <v>0</v>
      </c>
      <c r="O7" s="238">
        <f t="shared" si="3"/>
        <v>1</v>
      </c>
      <c r="P7" s="188" t="s">
        <v>245</v>
      </c>
      <c r="Q7" s="136">
        <v>1</v>
      </c>
      <c r="R7" s="136">
        <v>2</v>
      </c>
      <c r="S7" s="187">
        <f>+R7-Q7</f>
        <v>1</v>
      </c>
      <c r="T7" s="186">
        <f t="shared" si="5"/>
        <v>1</v>
      </c>
      <c r="U7" s="185" t="s">
        <v>769</v>
      </c>
      <c r="V7" s="184" t="str">
        <f t="shared" si="6"/>
        <v>0</v>
      </c>
      <c r="W7" s="184" t="str">
        <f t="shared" si="7"/>
        <v>0</v>
      </c>
      <c r="X7" s="184">
        <f t="shared" si="11"/>
        <v>1</v>
      </c>
      <c r="Y7" s="183">
        <f t="shared" si="8"/>
        <v>0</v>
      </c>
      <c r="Z7" s="183">
        <f t="shared" si="9"/>
        <v>219662.03</v>
      </c>
      <c r="AA7" s="182">
        <f>+Z7/$Z$3</f>
        <v>1.1958308808898753E-3</v>
      </c>
      <c r="AB7" s="181">
        <f t="shared" si="12"/>
        <v>1.6725403517818493E-2</v>
      </c>
      <c r="AC7" s="30"/>
    </row>
    <row r="8" spans="1:29" hidden="1" x14ac:dyDescent="0.35">
      <c r="A8" s="134" t="s">
        <v>725</v>
      </c>
      <c r="B8" s="134" t="s">
        <v>726</v>
      </c>
      <c r="C8" s="134" t="s">
        <v>727</v>
      </c>
      <c r="D8" s="191">
        <v>94407.061000000002</v>
      </c>
      <c r="E8" s="135">
        <v>4</v>
      </c>
      <c r="F8" s="136">
        <v>4</v>
      </c>
      <c r="G8" s="187">
        <f t="shared" si="0"/>
        <v>0</v>
      </c>
      <c r="H8" s="190">
        <f t="shared" si="1"/>
        <v>0</v>
      </c>
      <c r="I8" s="194" t="s">
        <v>41</v>
      </c>
      <c r="J8" s="194" t="s">
        <v>41</v>
      </c>
      <c r="K8" s="189" t="s">
        <v>134</v>
      </c>
      <c r="L8" s="189" t="s">
        <v>134</v>
      </c>
      <c r="M8" s="189"/>
      <c r="N8" s="189">
        <f t="shared" si="2"/>
        <v>0</v>
      </c>
      <c r="O8" s="238">
        <f t="shared" si="3"/>
        <v>0</v>
      </c>
      <c r="P8" s="188" t="s">
        <v>134</v>
      </c>
      <c r="Q8" s="136"/>
      <c r="R8" s="136"/>
      <c r="S8" s="187">
        <f t="shared" si="4"/>
        <v>0</v>
      </c>
      <c r="T8" s="186">
        <f t="shared" si="5"/>
        <v>0</v>
      </c>
      <c r="U8" s="185" t="s">
        <v>134</v>
      </c>
      <c r="V8" s="184" t="str">
        <f t="shared" si="6"/>
        <v>0</v>
      </c>
      <c r="W8" s="184" t="str">
        <f t="shared" si="7"/>
        <v>0</v>
      </c>
      <c r="X8" s="184">
        <f t="shared" si="11"/>
        <v>0</v>
      </c>
      <c r="Y8" s="183">
        <f t="shared" si="8"/>
        <v>0</v>
      </c>
      <c r="Z8" s="183">
        <f t="shared" si="9"/>
        <v>377628.24400000001</v>
      </c>
      <c r="AA8" s="182">
        <f t="shared" si="10"/>
        <v>2.0557923263816546E-3</v>
      </c>
      <c r="AB8" s="181">
        <f t="shared" si="12"/>
        <v>1.8781195844200148E-2</v>
      </c>
      <c r="AC8" s="30"/>
    </row>
    <row r="9" spans="1:29" hidden="1" x14ac:dyDescent="0.35">
      <c r="A9" s="134" t="s">
        <v>722</v>
      </c>
      <c r="B9" s="134" t="s">
        <v>723</v>
      </c>
      <c r="C9" s="134" t="s">
        <v>724</v>
      </c>
      <c r="D9" s="191">
        <v>85459.983000000007</v>
      </c>
      <c r="E9" s="135">
        <v>3</v>
      </c>
      <c r="F9" s="136">
        <v>3</v>
      </c>
      <c r="G9" s="187">
        <f t="shared" si="0"/>
        <v>0</v>
      </c>
      <c r="H9" s="190">
        <f t="shared" si="1"/>
        <v>0</v>
      </c>
      <c r="I9" s="194" t="s">
        <v>41</v>
      </c>
      <c r="J9" s="194" t="s">
        <v>41</v>
      </c>
      <c r="K9" s="189" t="s">
        <v>134</v>
      </c>
      <c r="L9" s="189" t="s">
        <v>134</v>
      </c>
      <c r="M9" s="189"/>
      <c r="N9" s="189">
        <f t="shared" si="2"/>
        <v>0</v>
      </c>
      <c r="O9" s="238">
        <f t="shared" si="3"/>
        <v>0</v>
      </c>
      <c r="P9" s="188" t="s">
        <v>134</v>
      </c>
      <c r="Q9" s="136"/>
      <c r="R9" s="136"/>
      <c r="S9" s="187">
        <f t="shared" si="4"/>
        <v>0</v>
      </c>
      <c r="T9" s="186">
        <f t="shared" si="5"/>
        <v>0</v>
      </c>
      <c r="U9" s="185" t="s">
        <v>134</v>
      </c>
      <c r="V9" s="184" t="str">
        <f t="shared" si="6"/>
        <v>0</v>
      </c>
      <c r="W9" s="184" t="str">
        <f t="shared" si="7"/>
        <v>0</v>
      </c>
      <c r="X9" s="184">
        <f t="shared" si="11"/>
        <v>0</v>
      </c>
      <c r="Y9" s="183">
        <f t="shared" si="8"/>
        <v>0</v>
      </c>
      <c r="Z9" s="183">
        <f t="shared" si="9"/>
        <v>256379.94900000002</v>
      </c>
      <c r="AA9" s="182">
        <f t="shared" si="10"/>
        <v>1.3957216923433302E-3</v>
      </c>
      <c r="AB9" s="181">
        <f t="shared" si="12"/>
        <v>2.0176917536543479E-2</v>
      </c>
      <c r="AC9" s="30"/>
    </row>
    <row r="10" spans="1:29" hidden="1" x14ac:dyDescent="0.35">
      <c r="A10" s="134" t="s">
        <v>347</v>
      </c>
      <c r="B10" s="134" t="s">
        <v>348</v>
      </c>
      <c r="C10" s="134" t="s">
        <v>349</v>
      </c>
      <c r="D10" s="191">
        <v>117012.49699999999</v>
      </c>
      <c r="E10" s="135">
        <v>9</v>
      </c>
      <c r="F10" s="136">
        <v>14</v>
      </c>
      <c r="G10" s="187">
        <f t="shared" si="0"/>
        <v>5</v>
      </c>
      <c r="H10" s="190">
        <f t="shared" si="1"/>
        <v>585062.48499999999</v>
      </c>
      <c r="I10" s="194" t="s">
        <v>41</v>
      </c>
      <c r="J10" s="194" t="s">
        <v>41</v>
      </c>
      <c r="K10" s="189" t="s">
        <v>745</v>
      </c>
      <c r="L10" s="189" t="s">
        <v>134</v>
      </c>
      <c r="M10" s="189"/>
      <c r="N10" s="189">
        <f t="shared" si="2"/>
        <v>0</v>
      </c>
      <c r="O10" s="238">
        <f t="shared" si="3"/>
        <v>5</v>
      </c>
      <c r="P10" s="188" t="s">
        <v>245</v>
      </c>
      <c r="Q10" s="136">
        <v>19</v>
      </c>
      <c r="R10" s="136">
        <v>19</v>
      </c>
      <c r="S10" s="187">
        <f t="shared" si="4"/>
        <v>0</v>
      </c>
      <c r="T10" s="186">
        <f t="shared" si="5"/>
        <v>0</v>
      </c>
      <c r="U10" s="185" t="s">
        <v>770</v>
      </c>
      <c r="V10" s="184" t="str">
        <f t="shared" si="6"/>
        <v>0</v>
      </c>
      <c r="W10" s="184" t="str">
        <f t="shared" si="7"/>
        <v>0</v>
      </c>
      <c r="X10" s="184">
        <f t="shared" si="11"/>
        <v>0</v>
      </c>
      <c r="Y10" s="183">
        <f t="shared" si="8"/>
        <v>0</v>
      </c>
      <c r="Z10" s="183">
        <f t="shared" si="9"/>
        <v>1053112.473</v>
      </c>
      <c r="AA10" s="182">
        <f t="shared" si="10"/>
        <v>5.733100146000222E-3</v>
      </c>
      <c r="AB10" s="181">
        <f t="shared" si="12"/>
        <v>2.5910017682543703E-2</v>
      </c>
      <c r="AC10" s="30"/>
    </row>
    <row r="11" spans="1:29" hidden="1" x14ac:dyDescent="0.35">
      <c r="A11" s="134" t="s">
        <v>344</v>
      </c>
      <c r="B11" s="134" t="s">
        <v>345</v>
      </c>
      <c r="C11" s="134" t="s">
        <v>346</v>
      </c>
      <c r="D11" s="191">
        <v>117012.49699999999</v>
      </c>
      <c r="E11" s="135">
        <v>7</v>
      </c>
      <c r="F11" s="136">
        <v>18</v>
      </c>
      <c r="G11" s="187">
        <f t="shared" si="0"/>
        <v>11</v>
      </c>
      <c r="H11" s="190">
        <f t="shared" si="1"/>
        <v>1287137.4669999999</v>
      </c>
      <c r="I11" s="194" t="s">
        <v>41</v>
      </c>
      <c r="J11" s="194" t="s">
        <v>41</v>
      </c>
      <c r="K11" s="245" t="s">
        <v>745</v>
      </c>
      <c r="L11" s="189" t="s">
        <v>134</v>
      </c>
      <c r="M11" s="189"/>
      <c r="N11" s="189">
        <f t="shared" si="2"/>
        <v>0</v>
      </c>
      <c r="O11" s="238">
        <f t="shared" si="3"/>
        <v>11</v>
      </c>
      <c r="P11" s="188" t="s">
        <v>245</v>
      </c>
      <c r="Q11" s="136">
        <v>15</v>
      </c>
      <c r="R11" s="136">
        <v>15</v>
      </c>
      <c r="S11" s="187">
        <f t="shared" si="4"/>
        <v>0</v>
      </c>
      <c r="T11" s="186">
        <f t="shared" si="5"/>
        <v>0</v>
      </c>
      <c r="U11" s="185" t="s">
        <v>770</v>
      </c>
      <c r="V11" s="184" t="str">
        <f t="shared" ref="V11:V74" si="13">IF(U11=$V$4,T11,"0")</f>
        <v>0</v>
      </c>
      <c r="W11" s="184" t="str">
        <f t="shared" ref="W11:W74" si="14">IF(U11=$W$4,T11,"0")</f>
        <v>0</v>
      </c>
      <c r="X11" s="184">
        <f t="shared" si="11"/>
        <v>0</v>
      </c>
      <c r="Y11" s="183">
        <f t="shared" si="8"/>
        <v>0</v>
      </c>
      <c r="Z11" s="183">
        <f t="shared" si="9"/>
        <v>819087.47899999993</v>
      </c>
      <c r="AA11" s="182">
        <f t="shared" si="10"/>
        <v>4.4590778913335058E-3</v>
      </c>
      <c r="AB11" s="181">
        <f t="shared" si="12"/>
        <v>3.0369095573877208E-2</v>
      </c>
      <c r="AC11" s="30"/>
    </row>
    <row r="12" spans="1:29" hidden="1" x14ac:dyDescent="0.35">
      <c r="A12" s="134" t="s">
        <v>329</v>
      </c>
      <c r="B12" s="134" t="s">
        <v>330</v>
      </c>
      <c r="C12" s="134" t="s">
        <v>331</v>
      </c>
      <c r="D12" s="191">
        <v>148788.514</v>
      </c>
      <c r="E12" s="135">
        <v>4</v>
      </c>
      <c r="F12" s="136">
        <v>11</v>
      </c>
      <c r="G12" s="187">
        <f t="shared" si="0"/>
        <v>7</v>
      </c>
      <c r="H12" s="190">
        <f t="shared" si="1"/>
        <v>1041519.598</v>
      </c>
      <c r="I12" s="194" t="s">
        <v>41</v>
      </c>
      <c r="J12" s="194" t="s">
        <v>41</v>
      </c>
      <c r="K12" s="189" t="s">
        <v>745</v>
      </c>
      <c r="L12" s="189" t="s">
        <v>134</v>
      </c>
      <c r="M12" s="189"/>
      <c r="N12" s="189">
        <f t="shared" si="2"/>
        <v>0</v>
      </c>
      <c r="O12" s="238">
        <f t="shared" si="3"/>
        <v>7</v>
      </c>
      <c r="P12" s="188" t="s">
        <v>245</v>
      </c>
      <c r="Q12" s="136">
        <v>18</v>
      </c>
      <c r="R12" s="136">
        <v>18</v>
      </c>
      <c r="S12" s="187">
        <f t="shared" si="4"/>
        <v>0</v>
      </c>
      <c r="T12" s="186">
        <f t="shared" si="5"/>
        <v>0</v>
      </c>
      <c r="U12" s="185" t="s">
        <v>770</v>
      </c>
      <c r="V12" s="184" t="str">
        <f t="shared" si="13"/>
        <v>0</v>
      </c>
      <c r="W12" s="184" t="str">
        <f t="shared" si="14"/>
        <v>0</v>
      </c>
      <c r="X12" s="184">
        <f t="shared" si="11"/>
        <v>0</v>
      </c>
      <c r="Y12" s="183">
        <f t="shared" si="8"/>
        <v>0</v>
      </c>
      <c r="Z12" s="183">
        <f t="shared" si="9"/>
        <v>595154.05599999998</v>
      </c>
      <c r="AA12" s="182">
        <f t="shared" si="10"/>
        <v>3.2399937260511624E-3</v>
      </c>
      <c r="AB12" s="181">
        <f t="shared" si="12"/>
        <v>3.3609089299928369E-2</v>
      </c>
      <c r="AC12" s="30"/>
    </row>
    <row r="13" spans="1:29" hidden="1" x14ac:dyDescent="0.35">
      <c r="A13" s="134" t="s">
        <v>335</v>
      </c>
      <c r="B13" s="134" t="s">
        <v>336</v>
      </c>
      <c r="C13" s="134" t="s">
        <v>334</v>
      </c>
      <c r="D13" s="191">
        <v>59893.630999999994</v>
      </c>
      <c r="E13" s="135">
        <v>11</v>
      </c>
      <c r="F13" s="136">
        <v>6</v>
      </c>
      <c r="G13" s="187">
        <f t="shared" si="0"/>
        <v>-5</v>
      </c>
      <c r="H13" s="190">
        <f t="shared" si="1"/>
        <v>-299468.15499999997</v>
      </c>
      <c r="I13" s="194" t="s">
        <v>41</v>
      </c>
      <c r="J13" s="194" t="s">
        <v>41</v>
      </c>
      <c r="K13" s="189" t="s">
        <v>745</v>
      </c>
      <c r="L13" s="189" t="s">
        <v>134</v>
      </c>
      <c r="M13" s="189"/>
      <c r="N13" s="189">
        <f t="shared" si="2"/>
        <v>0</v>
      </c>
      <c r="O13" s="238">
        <f t="shared" si="3"/>
        <v>-5</v>
      </c>
      <c r="P13" s="188" t="s">
        <v>245</v>
      </c>
      <c r="Q13" s="136">
        <v>12</v>
      </c>
      <c r="R13" s="136">
        <v>12</v>
      </c>
      <c r="S13" s="187">
        <f t="shared" si="4"/>
        <v>0</v>
      </c>
      <c r="T13" s="186">
        <f t="shared" si="5"/>
        <v>0</v>
      </c>
      <c r="U13" s="185" t="s">
        <v>770</v>
      </c>
      <c r="V13" s="184" t="str">
        <f t="shared" si="13"/>
        <v>0</v>
      </c>
      <c r="W13" s="184" t="str">
        <f t="shared" si="14"/>
        <v>0</v>
      </c>
      <c r="X13" s="184">
        <f t="shared" si="11"/>
        <v>0</v>
      </c>
      <c r="Y13" s="183">
        <f t="shared" si="8"/>
        <v>0</v>
      </c>
      <c r="Z13" s="183">
        <f t="shared" si="9"/>
        <v>658829.94099999988</v>
      </c>
      <c r="AA13" s="182">
        <f t="shared" si="10"/>
        <v>3.5866425740609538E-3</v>
      </c>
      <c r="AB13" s="181">
        <f t="shared" si="12"/>
        <v>3.7195731873989321E-2</v>
      </c>
      <c r="AC13" s="30"/>
    </row>
    <row r="14" spans="1:29" hidden="1" x14ac:dyDescent="0.35">
      <c r="A14" s="134" t="s">
        <v>728</v>
      </c>
      <c r="B14" s="134" t="s">
        <v>729</v>
      </c>
      <c r="C14" s="134" t="s">
        <v>730</v>
      </c>
      <c r="D14" s="191">
        <v>51692.480000000003</v>
      </c>
      <c r="E14" s="135">
        <v>7</v>
      </c>
      <c r="F14" s="193">
        <v>7</v>
      </c>
      <c r="G14" s="187">
        <f t="shared" si="0"/>
        <v>0</v>
      </c>
      <c r="H14" s="190">
        <f t="shared" si="1"/>
        <v>0</v>
      </c>
      <c r="I14" s="194" t="s">
        <v>41</v>
      </c>
      <c r="J14" s="194" t="s">
        <v>41</v>
      </c>
      <c r="K14" s="189" t="s">
        <v>134</v>
      </c>
      <c r="L14" s="189" t="s">
        <v>134</v>
      </c>
      <c r="M14" s="189"/>
      <c r="N14" s="189">
        <f t="shared" si="2"/>
        <v>0</v>
      </c>
      <c r="O14" s="238">
        <f t="shared" si="3"/>
        <v>0</v>
      </c>
      <c r="P14" s="188" t="s">
        <v>134</v>
      </c>
      <c r="Q14" s="136"/>
      <c r="R14" s="136"/>
      <c r="S14" s="187">
        <f t="shared" si="4"/>
        <v>0</v>
      </c>
      <c r="T14" s="186">
        <f t="shared" si="5"/>
        <v>0</v>
      </c>
      <c r="U14" s="185" t="s">
        <v>134</v>
      </c>
      <c r="V14" s="184" t="str">
        <f t="shared" si="13"/>
        <v>0</v>
      </c>
      <c r="W14" s="184" t="str">
        <f t="shared" si="14"/>
        <v>0</v>
      </c>
      <c r="X14" s="184">
        <f t="shared" si="11"/>
        <v>0</v>
      </c>
      <c r="Y14" s="183">
        <f t="shared" si="8"/>
        <v>0</v>
      </c>
      <c r="Z14" s="183">
        <f t="shared" si="9"/>
        <v>361847.36000000004</v>
      </c>
      <c r="AA14" s="182">
        <f t="shared" si="10"/>
        <v>1.9698818555782078E-3</v>
      </c>
      <c r="AB14" s="181">
        <f t="shared" si="12"/>
        <v>3.9165613729567526E-2</v>
      </c>
      <c r="AC14" s="30"/>
    </row>
    <row r="15" spans="1:29" hidden="1" x14ac:dyDescent="0.35">
      <c r="A15" s="134" t="s">
        <v>626</v>
      </c>
      <c r="B15" s="134" t="s">
        <v>627</v>
      </c>
      <c r="C15" s="134" t="s">
        <v>628</v>
      </c>
      <c r="D15" s="191">
        <v>691006.12700000009</v>
      </c>
      <c r="E15" s="135">
        <v>2</v>
      </c>
      <c r="F15" s="136">
        <v>2</v>
      </c>
      <c r="G15" s="187">
        <f t="shared" si="0"/>
        <v>0</v>
      </c>
      <c r="H15" s="190">
        <f t="shared" si="1"/>
        <v>0</v>
      </c>
      <c r="I15" s="194" t="s">
        <v>41</v>
      </c>
      <c r="J15" s="194" t="s">
        <v>41</v>
      </c>
      <c r="K15" s="189" t="s">
        <v>134</v>
      </c>
      <c r="L15" s="189" t="s">
        <v>134</v>
      </c>
      <c r="M15" s="189"/>
      <c r="N15" s="189">
        <f t="shared" si="2"/>
        <v>0</v>
      </c>
      <c r="O15" s="238">
        <f t="shared" si="3"/>
        <v>0</v>
      </c>
      <c r="P15" s="188" t="s">
        <v>134</v>
      </c>
      <c r="Q15" s="136"/>
      <c r="R15" s="136"/>
      <c r="S15" s="187">
        <f t="shared" si="4"/>
        <v>0</v>
      </c>
      <c r="T15" s="186">
        <v>0</v>
      </c>
      <c r="U15" s="185" t="s">
        <v>134</v>
      </c>
      <c r="V15" s="184" t="str">
        <f t="shared" si="13"/>
        <v>0</v>
      </c>
      <c r="W15" s="184" t="str">
        <f t="shared" si="14"/>
        <v>0</v>
      </c>
      <c r="X15" s="184">
        <f t="shared" si="11"/>
        <v>0</v>
      </c>
      <c r="Y15" s="183">
        <f t="shared" si="8"/>
        <v>0</v>
      </c>
      <c r="Z15" s="183">
        <f t="shared" si="9"/>
        <v>1382012.2540000002</v>
      </c>
      <c r="AA15" s="182">
        <f t="shared" si="10"/>
        <v>7.5236167629945984E-3</v>
      </c>
      <c r="AB15" s="181">
        <f t="shared" si="12"/>
        <v>4.6689230492562128E-2</v>
      </c>
      <c r="AC15" s="30"/>
    </row>
    <row r="16" spans="1:29" hidden="1" x14ac:dyDescent="0.35">
      <c r="A16" s="134" t="s">
        <v>516</v>
      </c>
      <c r="B16" s="134" t="s">
        <v>517</v>
      </c>
      <c r="C16" s="134" t="s">
        <v>518</v>
      </c>
      <c r="D16" s="191">
        <v>188580.67899999997</v>
      </c>
      <c r="E16" s="135">
        <v>1</v>
      </c>
      <c r="F16" s="136">
        <v>1</v>
      </c>
      <c r="G16" s="187">
        <f t="shared" si="0"/>
        <v>0</v>
      </c>
      <c r="H16" s="190">
        <f t="shared" si="1"/>
        <v>0</v>
      </c>
      <c r="I16" s="194" t="s">
        <v>41</v>
      </c>
      <c r="J16" s="194" t="s">
        <v>41</v>
      </c>
      <c r="K16" s="189" t="s">
        <v>134</v>
      </c>
      <c r="L16" s="189" t="s">
        <v>134</v>
      </c>
      <c r="M16" s="189"/>
      <c r="N16" s="189">
        <f t="shared" si="2"/>
        <v>0</v>
      </c>
      <c r="O16" s="238">
        <f t="shared" si="3"/>
        <v>0</v>
      </c>
      <c r="P16" s="188" t="s">
        <v>134</v>
      </c>
      <c r="Q16" s="136"/>
      <c r="R16" s="136"/>
      <c r="S16" s="187">
        <f t="shared" si="4"/>
        <v>0</v>
      </c>
      <c r="T16" s="186">
        <f>+O16</f>
        <v>0</v>
      </c>
      <c r="U16" s="185" t="s">
        <v>134</v>
      </c>
      <c r="V16" s="184" t="str">
        <f t="shared" si="13"/>
        <v>0</v>
      </c>
      <c r="W16" s="184" t="str">
        <f t="shared" si="14"/>
        <v>0</v>
      </c>
      <c r="X16" s="184">
        <f t="shared" si="11"/>
        <v>0</v>
      </c>
      <c r="Y16" s="183">
        <f t="shared" si="8"/>
        <v>0</v>
      </c>
      <c r="Z16" s="183">
        <f t="shared" si="9"/>
        <v>188580.67899999997</v>
      </c>
      <c r="AA16" s="182">
        <f t="shared" si="10"/>
        <v>1.0266253092870935E-3</v>
      </c>
      <c r="AB16" s="181">
        <f t="shared" si="12"/>
        <v>4.771585580184922E-2</v>
      </c>
      <c r="AC16" s="30"/>
    </row>
    <row r="17" spans="1:29" hidden="1" x14ac:dyDescent="0.35">
      <c r="A17" s="134" t="s">
        <v>519</v>
      </c>
      <c r="B17" s="134" t="s">
        <v>520</v>
      </c>
      <c r="C17" s="134" t="s">
        <v>521</v>
      </c>
      <c r="D17" s="191">
        <v>151958.66</v>
      </c>
      <c r="E17" s="135">
        <v>18</v>
      </c>
      <c r="F17" s="136">
        <v>17</v>
      </c>
      <c r="G17" s="187">
        <f t="shared" si="0"/>
        <v>-1</v>
      </c>
      <c r="H17" s="190">
        <f t="shared" si="1"/>
        <v>-151958.66</v>
      </c>
      <c r="I17" s="194" t="s">
        <v>41</v>
      </c>
      <c r="J17" s="194" t="s">
        <v>41</v>
      </c>
      <c r="K17" s="189" t="s">
        <v>746</v>
      </c>
      <c r="L17" s="189" t="s">
        <v>134</v>
      </c>
      <c r="M17" s="189"/>
      <c r="N17" s="189">
        <f t="shared" si="2"/>
        <v>0</v>
      </c>
      <c r="O17" s="238">
        <f t="shared" si="3"/>
        <v>-1</v>
      </c>
      <c r="P17" s="188" t="s">
        <v>245</v>
      </c>
      <c r="Q17" s="136">
        <v>15</v>
      </c>
      <c r="R17" s="136">
        <v>14</v>
      </c>
      <c r="S17" s="187">
        <f t="shared" si="4"/>
        <v>-1</v>
      </c>
      <c r="T17" s="186">
        <f t="shared" ref="T17:T64" si="15">IF(G17=0,0,IF(P17="Recontar",S17,IF(P17="Ajustar",O17,IF(P17="Canje",G17))))</f>
        <v>-1</v>
      </c>
      <c r="U17" s="185" t="s">
        <v>771</v>
      </c>
      <c r="V17" s="184" t="str">
        <f t="shared" si="13"/>
        <v>0</v>
      </c>
      <c r="W17" s="184" t="str">
        <f t="shared" si="14"/>
        <v>0</v>
      </c>
      <c r="X17" s="184">
        <f t="shared" si="11"/>
        <v>-1</v>
      </c>
      <c r="Y17" s="183">
        <f t="shared" si="8"/>
        <v>0</v>
      </c>
      <c r="Z17" s="183">
        <f t="shared" si="9"/>
        <v>2735255.88</v>
      </c>
      <c r="AA17" s="182">
        <f t="shared" si="10"/>
        <v>1.4890618321425925E-2</v>
      </c>
      <c r="AB17" s="181">
        <f t="shared" si="12"/>
        <v>6.2606474123275149E-2</v>
      </c>
      <c r="AC17" s="30"/>
    </row>
    <row r="18" spans="1:29" hidden="1" x14ac:dyDescent="0.35">
      <c r="A18" s="134" t="s">
        <v>522</v>
      </c>
      <c r="B18" s="134" t="s">
        <v>523</v>
      </c>
      <c r="C18" s="134" t="s">
        <v>524</v>
      </c>
      <c r="D18" s="191">
        <v>142247.43400000001</v>
      </c>
      <c r="E18" s="135">
        <v>0</v>
      </c>
      <c r="F18" s="136">
        <v>1</v>
      </c>
      <c r="G18" s="187">
        <f>+F18-E18</f>
        <v>1</v>
      </c>
      <c r="H18" s="190">
        <f>+D18*G18</f>
        <v>142247.43400000001</v>
      </c>
      <c r="I18" s="194" t="s">
        <v>41</v>
      </c>
      <c r="J18" s="194" t="s">
        <v>41</v>
      </c>
      <c r="K18" s="189" t="s">
        <v>746</v>
      </c>
      <c r="L18" s="189" t="s">
        <v>134</v>
      </c>
      <c r="M18" s="189"/>
      <c r="N18" s="189">
        <f t="shared" si="2"/>
        <v>0</v>
      </c>
      <c r="O18" s="238">
        <f t="shared" si="3"/>
        <v>1</v>
      </c>
      <c r="P18" s="188" t="s">
        <v>245</v>
      </c>
      <c r="Q18" s="136">
        <v>15</v>
      </c>
      <c r="R18" s="136">
        <v>16</v>
      </c>
      <c r="S18" s="187">
        <f>+R18-Q18</f>
        <v>1</v>
      </c>
      <c r="T18" s="186">
        <f t="shared" si="15"/>
        <v>1</v>
      </c>
      <c r="U18" s="185" t="s">
        <v>771</v>
      </c>
      <c r="V18" s="184" t="str">
        <f t="shared" si="13"/>
        <v>0</v>
      </c>
      <c r="W18" s="184" t="str">
        <f t="shared" si="14"/>
        <v>0</v>
      </c>
      <c r="X18" s="184">
        <f t="shared" si="11"/>
        <v>1</v>
      </c>
      <c r="Y18" s="183">
        <f t="shared" si="8"/>
        <v>0</v>
      </c>
      <c r="Z18" s="183">
        <f t="shared" si="9"/>
        <v>0</v>
      </c>
      <c r="AA18" s="182">
        <f>+Z18/$Z$3</f>
        <v>0</v>
      </c>
      <c r="AB18" s="181">
        <f t="shared" si="12"/>
        <v>6.2606474123275149E-2</v>
      </c>
      <c r="AC18" s="30"/>
    </row>
    <row r="19" spans="1:29" x14ac:dyDescent="0.35">
      <c r="A19" s="134" t="s">
        <v>668</v>
      </c>
      <c r="B19" s="134" t="s">
        <v>669</v>
      </c>
      <c r="C19" s="134" t="s">
        <v>670</v>
      </c>
      <c r="D19" s="191">
        <v>14403.347</v>
      </c>
      <c r="E19" s="135">
        <v>302</v>
      </c>
      <c r="F19" s="136">
        <v>300</v>
      </c>
      <c r="G19" s="187">
        <f t="shared" si="0"/>
        <v>-2</v>
      </c>
      <c r="H19" s="190">
        <f t="shared" si="1"/>
        <v>-28806.694</v>
      </c>
      <c r="I19" s="194" t="s">
        <v>41</v>
      </c>
      <c r="J19" s="194" t="s">
        <v>41</v>
      </c>
      <c r="K19" s="189" t="s">
        <v>747</v>
      </c>
      <c r="L19" s="189" t="s">
        <v>134</v>
      </c>
      <c r="M19" s="189"/>
      <c r="N19" s="189">
        <f t="shared" si="2"/>
        <v>0</v>
      </c>
      <c r="O19" s="238">
        <f t="shared" si="3"/>
        <v>-2</v>
      </c>
      <c r="P19" s="188" t="s">
        <v>245</v>
      </c>
      <c r="Q19" s="136">
        <v>336</v>
      </c>
      <c r="R19" s="136">
        <v>336</v>
      </c>
      <c r="S19" s="187">
        <f t="shared" si="4"/>
        <v>0</v>
      </c>
      <c r="T19" s="186">
        <f t="shared" si="15"/>
        <v>0</v>
      </c>
      <c r="U19" s="185" t="s">
        <v>770</v>
      </c>
      <c r="V19" s="184" t="str">
        <f t="shared" si="13"/>
        <v>0</v>
      </c>
      <c r="W19" s="184" t="str">
        <f t="shared" si="14"/>
        <v>0</v>
      </c>
      <c r="X19" s="184">
        <f t="shared" si="11"/>
        <v>0</v>
      </c>
      <c r="Y19" s="183">
        <f t="shared" si="8"/>
        <v>0</v>
      </c>
      <c r="Z19" s="183">
        <f t="shared" si="9"/>
        <v>4349810.7939999998</v>
      </c>
      <c r="AA19" s="182">
        <f t="shared" si="10"/>
        <v>2.368018757494551E-2</v>
      </c>
      <c r="AB19" s="181">
        <f t="shared" si="12"/>
        <v>8.6286661698220662E-2</v>
      </c>
      <c r="AC19" s="30"/>
    </row>
    <row r="20" spans="1:29" x14ac:dyDescent="0.35">
      <c r="A20" s="134" t="s">
        <v>665</v>
      </c>
      <c r="B20" s="134" t="s">
        <v>666</v>
      </c>
      <c r="C20" s="134" t="s">
        <v>667</v>
      </c>
      <c r="D20" s="191">
        <v>19677.231</v>
      </c>
      <c r="E20" s="135">
        <v>247</v>
      </c>
      <c r="F20" s="136">
        <v>246</v>
      </c>
      <c r="G20" s="187">
        <f t="shared" si="0"/>
        <v>-1</v>
      </c>
      <c r="H20" s="190">
        <f t="shared" si="1"/>
        <v>-19677.231</v>
      </c>
      <c r="I20" s="194" t="s">
        <v>41</v>
      </c>
      <c r="J20" s="194" t="s">
        <v>41</v>
      </c>
      <c r="K20" s="189" t="s">
        <v>747</v>
      </c>
      <c r="L20" s="189" t="s">
        <v>134</v>
      </c>
      <c r="M20" s="189"/>
      <c r="N20" s="189">
        <f t="shared" si="2"/>
        <v>0</v>
      </c>
      <c r="O20" s="238">
        <f t="shared" si="3"/>
        <v>-1</v>
      </c>
      <c r="P20" s="188" t="s">
        <v>245</v>
      </c>
      <c r="Q20" s="136">
        <v>243</v>
      </c>
      <c r="R20" s="136">
        <v>243</v>
      </c>
      <c r="S20" s="187">
        <f t="shared" si="4"/>
        <v>0</v>
      </c>
      <c r="T20" s="186">
        <f t="shared" si="15"/>
        <v>0</v>
      </c>
      <c r="U20" s="185" t="s">
        <v>770</v>
      </c>
      <c r="V20" s="184" t="str">
        <f t="shared" si="13"/>
        <v>0</v>
      </c>
      <c r="W20" s="184" t="str">
        <f t="shared" si="14"/>
        <v>0</v>
      </c>
      <c r="X20" s="184">
        <f t="shared" si="11"/>
        <v>0</v>
      </c>
      <c r="Y20" s="183">
        <f t="shared" si="8"/>
        <v>0</v>
      </c>
      <c r="Z20" s="183">
        <f t="shared" si="9"/>
        <v>4860276.057</v>
      </c>
      <c r="AA20" s="182">
        <f t="shared" si="10"/>
        <v>2.6459139062906232E-2</v>
      </c>
      <c r="AB20" s="181">
        <f t="shared" si="12"/>
        <v>0.11274580076112689</v>
      </c>
      <c r="AC20" s="30"/>
    </row>
    <row r="21" spans="1:29" x14ac:dyDescent="0.35">
      <c r="A21" s="192" t="s">
        <v>460</v>
      </c>
      <c r="B21" s="192" t="s">
        <v>461</v>
      </c>
      <c r="C21" s="192" t="s">
        <v>455</v>
      </c>
      <c r="D21" s="191">
        <v>6541.9690000000001</v>
      </c>
      <c r="E21" s="135">
        <v>-1</v>
      </c>
      <c r="F21" s="136">
        <v>0</v>
      </c>
      <c r="G21" s="187">
        <f t="shared" si="0"/>
        <v>1</v>
      </c>
      <c r="H21" s="190">
        <f t="shared" si="1"/>
        <v>6541.9690000000001</v>
      </c>
      <c r="I21" s="194" t="s">
        <v>41</v>
      </c>
      <c r="J21" s="194" t="s">
        <v>41</v>
      </c>
      <c r="K21" s="189" t="s">
        <v>748</v>
      </c>
      <c r="L21" s="189" t="s">
        <v>134</v>
      </c>
      <c r="M21" s="189"/>
      <c r="N21" s="189">
        <f t="shared" si="2"/>
        <v>0</v>
      </c>
      <c r="O21" s="238">
        <f t="shared" si="3"/>
        <v>1</v>
      </c>
      <c r="P21" s="188" t="s">
        <v>245</v>
      </c>
      <c r="Q21" s="136">
        <v>-1</v>
      </c>
      <c r="R21" s="136">
        <v>0</v>
      </c>
      <c r="S21" s="187">
        <f t="shared" si="4"/>
        <v>1</v>
      </c>
      <c r="T21" s="186">
        <f t="shared" si="15"/>
        <v>1</v>
      </c>
      <c r="U21" s="185" t="s">
        <v>244</v>
      </c>
      <c r="V21" s="184" t="str">
        <f t="shared" si="13"/>
        <v>0</v>
      </c>
      <c r="W21" s="184">
        <f t="shared" si="14"/>
        <v>1</v>
      </c>
      <c r="X21" s="184">
        <f t="shared" si="11"/>
        <v>0</v>
      </c>
      <c r="Y21" s="183">
        <f t="shared" si="8"/>
        <v>6541.9690000000001</v>
      </c>
      <c r="Z21" s="183">
        <f t="shared" si="9"/>
        <v>-6541.9690000000001</v>
      </c>
      <c r="AA21" s="182">
        <f t="shared" si="10"/>
        <v>-3.5614204931203892E-5</v>
      </c>
      <c r="AB21" s="181">
        <f t="shared" si="12"/>
        <v>0.11271018655619569</v>
      </c>
      <c r="AC21" s="223" t="s">
        <v>775</v>
      </c>
    </row>
    <row r="22" spans="1:29" x14ac:dyDescent="0.35">
      <c r="A22" s="134" t="s">
        <v>458</v>
      </c>
      <c r="B22" s="134" t="s">
        <v>459</v>
      </c>
      <c r="C22" s="134" t="s">
        <v>456</v>
      </c>
      <c r="D22" s="191">
        <v>40100.144</v>
      </c>
      <c r="E22" s="135">
        <v>1</v>
      </c>
      <c r="F22" s="136">
        <v>0</v>
      </c>
      <c r="G22" s="187">
        <f>+F22-E22</f>
        <v>-1</v>
      </c>
      <c r="H22" s="190">
        <f>+D22*G22</f>
        <v>-40100.144</v>
      </c>
      <c r="I22" s="194" t="s">
        <v>41</v>
      </c>
      <c r="J22" s="194" t="s">
        <v>41</v>
      </c>
      <c r="K22" s="189" t="s">
        <v>748</v>
      </c>
      <c r="L22" s="189" t="s">
        <v>134</v>
      </c>
      <c r="M22" s="189"/>
      <c r="N22" s="189">
        <f t="shared" si="2"/>
        <v>0</v>
      </c>
      <c r="O22" s="238">
        <f t="shared" si="3"/>
        <v>-1</v>
      </c>
      <c r="P22" s="188" t="s">
        <v>245</v>
      </c>
      <c r="Q22" s="136">
        <v>154</v>
      </c>
      <c r="R22" s="136">
        <f>152+1</f>
        <v>153</v>
      </c>
      <c r="S22" s="187">
        <f>+R22-Q22</f>
        <v>-1</v>
      </c>
      <c r="T22" s="186">
        <f t="shared" si="15"/>
        <v>-1</v>
      </c>
      <c r="U22" s="185" t="s">
        <v>243</v>
      </c>
      <c r="V22" s="184">
        <f t="shared" si="13"/>
        <v>-1</v>
      </c>
      <c r="W22" s="184" t="str">
        <f t="shared" si="14"/>
        <v>0</v>
      </c>
      <c r="X22" s="184">
        <f t="shared" si="11"/>
        <v>0</v>
      </c>
      <c r="Y22" s="183">
        <f t="shared" si="8"/>
        <v>-40100.144</v>
      </c>
      <c r="Z22" s="183">
        <f t="shared" si="9"/>
        <v>40100.144</v>
      </c>
      <c r="AA22" s="182">
        <f>+Z22/$Z$3</f>
        <v>2.1830350253674178E-4</v>
      </c>
      <c r="AB22" s="181">
        <f t="shared" si="12"/>
        <v>0.11292849005873243</v>
      </c>
      <c r="AC22" s="30"/>
    </row>
    <row r="23" spans="1:29" x14ac:dyDescent="0.35">
      <c r="A23" s="134" t="s">
        <v>706</v>
      </c>
      <c r="B23" s="134" t="s">
        <v>707</v>
      </c>
      <c r="C23" s="134" t="s">
        <v>705</v>
      </c>
      <c r="D23" s="191">
        <v>8285.9279999999999</v>
      </c>
      <c r="E23" s="135">
        <v>424</v>
      </c>
      <c r="F23" s="193">
        <f>503-50-60</f>
        <v>393</v>
      </c>
      <c r="G23" s="187">
        <f t="shared" si="0"/>
        <v>-31</v>
      </c>
      <c r="H23" s="190">
        <f t="shared" si="1"/>
        <v>-256863.76799999998</v>
      </c>
      <c r="I23" s="194" t="s">
        <v>41</v>
      </c>
      <c r="J23" s="194" t="s">
        <v>41</v>
      </c>
      <c r="K23" s="189" t="s">
        <v>749</v>
      </c>
      <c r="L23" s="189" t="s">
        <v>134</v>
      </c>
      <c r="M23" s="189"/>
      <c r="N23" s="189">
        <f t="shared" si="2"/>
        <v>0</v>
      </c>
      <c r="O23" s="238">
        <f t="shared" si="3"/>
        <v>-31</v>
      </c>
      <c r="P23" s="188" t="s">
        <v>245</v>
      </c>
      <c r="Q23" s="136">
        <v>504</v>
      </c>
      <c r="R23" s="136">
        <f>176+39+260+29+1</f>
        <v>505</v>
      </c>
      <c r="S23" s="187">
        <f t="shared" si="4"/>
        <v>1</v>
      </c>
      <c r="T23" s="186">
        <f t="shared" si="15"/>
        <v>1</v>
      </c>
      <c r="U23" s="185" t="s">
        <v>244</v>
      </c>
      <c r="V23" s="184" t="str">
        <f t="shared" si="13"/>
        <v>0</v>
      </c>
      <c r="W23" s="184">
        <f t="shared" si="14"/>
        <v>1</v>
      </c>
      <c r="X23" s="184">
        <f t="shared" si="11"/>
        <v>0</v>
      </c>
      <c r="Y23" s="183">
        <f t="shared" si="8"/>
        <v>8285.9279999999999</v>
      </c>
      <c r="Z23" s="183">
        <f t="shared" si="9"/>
        <v>3513233.4720000001</v>
      </c>
      <c r="AA23" s="182">
        <f t="shared" si="10"/>
        <v>1.912589571166922E-2</v>
      </c>
      <c r="AB23" s="181">
        <f t="shared" si="12"/>
        <v>0.13205438577040166</v>
      </c>
      <c r="AC23" s="30"/>
    </row>
    <row r="24" spans="1:29" hidden="1" x14ac:dyDescent="0.35">
      <c r="A24" s="134" t="s">
        <v>447</v>
      </c>
      <c r="B24" s="134" t="s">
        <v>448</v>
      </c>
      <c r="C24" s="134" t="s">
        <v>442</v>
      </c>
      <c r="D24" s="191">
        <v>18412.912</v>
      </c>
      <c r="E24" s="135">
        <v>51</v>
      </c>
      <c r="F24" s="136">
        <v>51</v>
      </c>
      <c r="G24" s="187">
        <f t="shared" si="0"/>
        <v>0</v>
      </c>
      <c r="H24" s="190">
        <f t="shared" si="1"/>
        <v>0</v>
      </c>
      <c r="I24" s="194" t="s">
        <v>41</v>
      </c>
      <c r="J24" s="194" t="s">
        <v>41</v>
      </c>
      <c r="K24" s="189" t="s">
        <v>134</v>
      </c>
      <c r="L24" s="189" t="s">
        <v>134</v>
      </c>
      <c r="M24" s="189"/>
      <c r="N24" s="189">
        <f t="shared" si="2"/>
        <v>0</v>
      </c>
      <c r="O24" s="238">
        <f t="shared" si="3"/>
        <v>0</v>
      </c>
      <c r="P24" s="188" t="s">
        <v>134</v>
      </c>
      <c r="Q24" s="136"/>
      <c r="R24" s="136"/>
      <c r="S24" s="187">
        <f t="shared" si="4"/>
        <v>0</v>
      </c>
      <c r="T24" s="186">
        <f t="shared" si="15"/>
        <v>0</v>
      </c>
      <c r="U24" s="185" t="s">
        <v>134</v>
      </c>
      <c r="V24" s="184" t="str">
        <f t="shared" si="13"/>
        <v>0</v>
      </c>
      <c r="W24" s="184" t="str">
        <f t="shared" si="14"/>
        <v>0</v>
      </c>
      <c r="X24" s="184">
        <f t="shared" si="11"/>
        <v>0</v>
      </c>
      <c r="Y24" s="183">
        <f t="shared" si="8"/>
        <v>0</v>
      </c>
      <c r="Z24" s="183">
        <f t="shared" si="9"/>
        <v>939058.51199999999</v>
      </c>
      <c r="AA24" s="182">
        <f t="shared" si="10"/>
        <v>5.112195164599433E-3</v>
      </c>
      <c r="AB24" s="181">
        <f t="shared" si="12"/>
        <v>0.13716658093500109</v>
      </c>
      <c r="AC24" s="30"/>
    </row>
    <row r="25" spans="1:29" x14ac:dyDescent="0.35">
      <c r="A25" s="134" t="s">
        <v>360</v>
      </c>
      <c r="B25" s="134" t="s">
        <v>361</v>
      </c>
      <c r="C25" s="134" t="s">
        <v>362</v>
      </c>
      <c r="D25" s="191">
        <v>12765.606000000002</v>
      </c>
      <c r="E25" s="135">
        <v>183</v>
      </c>
      <c r="F25" s="193">
        <v>178</v>
      </c>
      <c r="G25" s="187">
        <f t="shared" si="0"/>
        <v>-5</v>
      </c>
      <c r="H25" s="190">
        <f t="shared" si="1"/>
        <v>-63828.030000000006</v>
      </c>
      <c r="I25" s="194" t="s">
        <v>41</v>
      </c>
      <c r="J25" s="194" t="s">
        <v>41</v>
      </c>
      <c r="K25" s="189" t="s">
        <v>750</v>
      </c>
      <c r="L25" s="189" t="s">
        <v>134</v>
      </c>
      <c r="M25" s="189"/>
      <c r="N25" s="189">
        <f t="shared" si="2"/>
        <v>0</v>
      </c>
      <c r="O25" s="238">
        <f t="shared" si="3"/>
        <v>-5</v>
      </c>
      <c r="P25" s="188" t="s">
        <v>245</v>
      </c>
      <c r="Q25" s="136">
        <v>208</v>
      </c>
      <c r="R25" s="136">
        <f>175+7+10+15</f>
        <v>207</v>
      </c>
      <c r="S25" s="187">
        <f t="shared" si="4"/>
        <v>-1</v>
      </c>
      <c r="T25" s="186">
        <f t="shared" si="15"/>
        <v>-1</v>
      </c>
      <c r="U25" s="185" t="s">
        <v>243</v>
      </c>
      <c r="V25" s="184">
        <f t="shared" si="13"/>
        <v>-1</v>
      </c>
      <c r="W25" s="184" t="str">
        <f t="shared" si="14"/>
        <v>0</v>
      </c>
      <c r="X25" s="184">
        <f t="shared" si="11"/>
        <v>0</v>
      </c>
      <c r="Y25" s="183">
        <f t="shared" si="8"/>
        <v>-12765.606000000002</v>
      </c>
      <c r="Z25" s="183">
        <f t="shared" si="9"/>
        <v>2336105.8980000005</v>
      </c>
      <c r="AA25" s="182">
        <f t="shared" si="10"/>
        <v>1.2717662555778867E-2</v>
      </c>
      <c r="AB25" s="181">
        <f t="shared" si="12"/>
        <v>0.14988424349077994</v>
      </c>
      <c r="AC25" s="30"/>
    </row>
    <row r="26" spans="1:29" hidden="1" x14ac:dyDescent="0.35">
      <c r="A26" s="134" t="s">
        <v>462</v>
      </c>
      <c r="B26" s="134" t="s">
        <v>463</v>
      </c>
      <c r="C26" s="134" t="s">
        <v>455</v>
      </c>
      <c r="D26" s="191">
        <v>39055.632000000005</v>
      </c>
      <c r="E26" s="135">
        <v>4</v>
      </c>
      <c r="F26" s="136">
        <v>4</v>
      </c>
      <c r="G26" s="187">
        <f t="shared" si="0"/>
        <v>0</v>
      </c>
      <c r="H26" s="190">
        <f t="shared" si="1"/>
        <v>0</v>
      </c>
      <c r="I26" s="194" t="s">
        <v>41</v>
      </c>
      <c r="J26" s="194" t="s">
        <v>41</v>
      </c>
      <c r="K26" s="189" t="s">
        <v>134</v>
      </c>
      <c r="L26" s="189" t="s">
        <v>134</v>
      </c>
      <c r="M26" s="189"/>
      <c r="N26" s="189">
        <f t="shared" si="2"/>
        <v>0</v>
      </c>
      <c r="O26" s="238">
        <f t="shared" si="3"/>
        <v>0</v>
      </c>
      <c r="P26" s="188" t="s">
        <v>134</v>
      </c>
      <c r="Q26" s="136"/>
      <c r="R26" s="136"/>
      <c r="S26" s="187">
        <f t="shared" si="4"/>
        <v>0</v>
      </c>
      <c r="T26" s="186">
        <f t="shared" si="15"/>
        <v>0</v>
      </c>
      <c r="U26" s="185" t="s">
        <v>134</v>
      </c>
      <c r="V26" s="184" t="str">
        <f t="shared" si="13"/>
        <v>0</v>
      </c>
      <c r="W26" s="184" t="str">
        <f t="shared" si="14"/>
        <v>0</v>
      </c>
      <c r="X26" s="184">
        <f t="shared" si="11"/>
        <v>0</v>
      </c>
      <c r="Y26" s="183">
        <f t="shared" si="8"/>
        <v>0</v>
      </c>
      <c r="Z26" s="183">
        <f t="shared" si="9"/>
        <v>156222.52800000002</v>
      </c>
      <c r="AA26" s="182">
        <f t="shared" si="10"/>
        <v>8.5046889202054288E-4</v>
      </c>
      <c r="AB26" s="181">
        <f t="shared" si="12"/>
        <v>0.15073471238280048</v>
      </c>
      <c r="AC26" s="30"/>
    </row>
    <row r="27" spans="1:29" hidden="1" x14ac:dyDescent="0.35">
      <c r="A27" s="134" t="s">
        <v>450</v>
      </c>
      <c r="B27" s="134" t="s">
        <v>451</v>
      </c>
      <c r="C27" s="134" t="s">
        <v>452</v>
      </c>
      <c r="D27" s="191">
        <v>36648.717000000004</v>
      </c>
      <c r="E27" s="135">
        <v>11</v>
      </c>
      <c r="F27" s="136">
        <v>11</v>
      </c>
      <c r="G27" s="187">
        <f t="shared" si="0"/>
        <v>0</v>
      </c>
      <c r="H27" s="190">
        <f t="shared" si="1"/>
        <v>0</v>
      </c>
      <c r="I27" s="194" t="s">
        <v>41</v>
      </c>
      <c r="J27" s="194" t="s">
        <v>41</v>
      </c>
      <c r="K27" s="189" t="s">
        <v>134</v>
      </c>
      <c r="L27" s="189" t="s">
        <v>134</v>
      </c>
      <c r="M27" s="189"/>
      <c r="N27" s="189">
        <f t="shared" si="2"/>
        <v>0</v>
      </c>
      <c r="O27" s="238">
        <f t="shared" si="3"/>
        <v>0</v>
      </c>
      <c r="P27" s="188" t="s">
        <v>134</v>
      </c>
      <c r="Q27" s="136"/>
      <c r="R27" s="136"/>
      <c r="S27" s="187">
        <f t="shared" si="4"/>
        <v>0</v>
      </c>
      <c r="T27" s="186">
        <f t="shared" si="15"/>
        <v>0</v>
      </c>
      <c r="U27" s="185" t="s">
        <v>134</v>
      </c>
      <c r="V27" s="184" t="str">
        <f t="shared" si="13"/>
        <v>0</v>
      </c>
      <c r="W27" s="184" t="str">
        <f t="shared" si="14"/>
        <v>0</v>
      </c>
      <c r="X27" s="184">
        <f t="shared" si="11"/>
        <v>0</v>
      </c>
      <c r="Y27" s="183">
        <f t="shared" si="8"/>
        <v>0</v>
      </c>
      <c r="Z27" s="183">
        <f t="shared" si="9"/>
        <v>403135.88700000005</v>
      </c>
      <c r="AA27" s="182">
        <f t="shared" si="10"/>
        <v>2.1946548653380437E-3</v>
      </c>
      <c r="AB27" s="181">
        <f t="shared" si="12"/>
        <v>0.15292936724813852</v>
      </c>
      <c r="AC27" s="30"/>
    </row>
    <row r="28" spans="1:29" x14ac:dyDescent="0.35">
      <c r="A28" s="134" t="s">
        <v>636</v>
      </c>
      <c r="B28" s="134" t="s">
        <v>637</v>
      </c>
      <c r="C28" s="134" t="s">
        <v>638</v>
      </c>
      <c r="D28" s="191">
        <v>120562.701</v>
      </c>
      <c r="E28" s="135">
        <v>10</v>
      </c>
      <c r="F28" s="136">
        <v>11</v>
      </c>
      <c r="G28" s="187">
        <f t="shared" si="0"/>
        <v>1</v>
      </c>
      <c r="H28" s="190">
        <f t="shared" si="1"/>
        <v>120562.701</v>
      </c>
      <c r="I28" s="194" t="s">
        <v>41</v>
      </c>
      <c r="J28" s="194" t="s">
        <v>41</v>
      </c>
      <c r="K28" s="189" t="s">
        <v>773</v>
      </c>
      <c r="L28" s="189" t="s">
        <v>134</v>
      </c>
      <c r="M28" s="189"/>
      <c r="N28" s="189">
        <f t="shared" si="2"/>
        <v>0</v>
      </c>
      <c r="O28" s="238">
        <f t="shared" si="3"/>
        <v>1</v>
      </c>
      <c r="P28" s="188" t="s">
        <v>245</v>
      </c>
      <c r="Q28" s="136">
        <v>13</v>
      </c>
      <c r="R28" s="136">
        <f>5+9</f>
        <v>14</v>
      </c>
      <c r="S28" s="187">
        <f t="shared" si="4"/>
        <v>1</v>
      </c>
      <c r="T28" s="186">
        <f t="shared" si="15"/>
        <v>1</v>
      </c>
      <c r="U28" s="185" t="s">
        <v>244</v>
      </c>
      <c r="V28" s="184" t="str">
        <f t="shared" si="13"/>
        <v>0</v>
      </c>
      <c r="W28" s="184">
        <f t="shared" si="14"/>
        <v>1</v>
      </c>
      <c r="X28" s="184">
        <f t="shared" si="11"/>
        <v>0</v>
      </c>
      <c r="Y28" s="183">
        <f t="shared" si="8"/>
        <v>120562.701</v>
      </c>
      <c r="Z28" s="183">
        <f t="shared" si="9"/>
        <v>1205627.01</v>
      </c>
      <c r="AA28" s="182">
        <f t="shared" si="10"/>
        <v>6.5633828904928474E-3</v>
      </c>
      <c r="AB28" s="181">
        <f t="shared" si="12"/>
        <v>0.15949275013863137</v>
      </c>
      <c r="AC28" s="30"/>
    </row>
    <row r="29" spans="1:29" x14ac:dyDescent="0.35">
      <c r="A29" s="134" t="s">
        <v>366</v>
      </c>
      <c r="B29" s="134" t="s">
        <v>367</v>
      </c>
      <c r="C29" s="134" t="s">
        <v>365</v>
      </c>
      <c r="D29" s="191">
        <v>95837.308000000005</v>
      </c>
      <c r="E29" s="135">
        <v>31</v>
      </c>
      <c r="F29" s="136">
        <f>35-3</f>
        <v>32</v>
      </c>
      <c r="G29" s="187">
        <f t="shared" si="0"/>
        <v>1</v>
      </c>
      <c r="H29" s="190">
        <f t="shared" si="1"/>
        <v>95837.308000000005</v>
      </c>
      <c r="I29" s="194" t="s">
        <v>41</v>
      </c>
      <c r="J29" s="194" t="s">
        <v>41</v>
      </c>
      <c r="K29" s="189" t="s">
        <v>752</v>
      </c>
      <c r="L29" s="189" t="s">
        <v>134</v>
      </c>
      <c r="M29" s="189"/>
      <c r="N29" s="189">
        <f t="shared" si="2"/>
        <v>0</v>
      </c>
      <c r="O29" s="238">
        <f t="shared" si="3"/>
        <v>1</v>
      </c>
      <c r="P29" s="188" t="s">
        <v>245</v>
      </c>
      <c r="Q29" s="136">
        <v>37</v>
      </c>
      <c r="R29" s="136">
        <v>38</v>
      </c>
      <c r="S29" s="187">
        <f t="shared" si="4"/>
        <v>1</v>
      </c>
      <c r="T29" s="186">
        <f t="shared" si="15"/>
        <v>1</v>
      </c>
      <c r="U29" s="185" t="s">
        <v>244</v>
      </c>
      <c r="V29" s="184" t="str">
        <f t="shared" si="13"/>
        <v>0</v>
      </c>
      <c r="W29" s="184">
        <f t="shared" si="14"/>
        <v>1</v>
      </c>
      <c r="X29" s="184">
        <f t="shared" si="11"/>
        <v>0</v>
      </c>
      <c r="Y29" s="183">
        <f t="shared" si="8"/>
        <v>95837.308000000005</v>
      </c>
      <c r="Z29" s="183">
        <f t="shared" si="9"/>
        <v>2970956.548</v>
      </c>
      <c r="AA29" s="182">
        <f t="shared" si="10"/>
        <v>1.6173762875087622E-2</v>
      </c>
      <c r="AB29" s="181">
        <f t="shared" si="12"/>
        <v>0.17566651301371899</v>
      </c>
      <c r="AC29" s="30"/>
    </row>
    <row r="30" spans="1:29" x14ac:dyDescent="0.35">
      <c r="A30" s="134" t="s">
        <v>368</v>
      </c>
      <c r="B30" s="134" t="s">
        <v>369</v>
      </c>
      <c r="C30" s="134" t="s">
        <v>365</v>
      </c>
      <c r="D30" s="191">
        <v>107733.38099999998</v>
      </c>
      <c r="E30" s="135">
        <v>1</v>
      </c>
      <c r="F30" s="136">
        <v>0</v>
      </c>
      <c r="G30" s="187">
        <f>+F30-E30</f>
        <v>-1</v>
      </c>
      <c r="H30" s="190">
        <f>+D30*G30</f>
        <v>-107733.38099999998</v>
      </c>
      <c r="I30" s="194" t="s">
        <v>41</v>
      </c>
      <c r="J30" s="194" t="s">
        <v>41</v>
      </c>
      <c r="K30" s="189" t="s">
        <v>752</v>
      </c>
      <c r="L30" s="189" t="s">
        <v>134</v>
      </c>
      <c r="M30" s="189"/>
      <c r="N30" s="189">
        <f t="shared" si="2"/>
        <v>0</v>
      </c>
      <c r="O30" s="238">
        <f t="shared" si="3"/>
        <v>-1</v>
      </c>
      <c r="P30" s="188" t="s">
        <v>245</v>
      </c>
      <c r="Q30" s="136">
        <v>8</v>
      </c>
      <c r="R30" s="136">
        <v>7</v>
      </c>
      <c r="S30" s="187">
        <f>+R30-Q30</f>
        <v>-1</v>
      </c>
      <c r="T30" s="186">
        <f t="shared" si="15"/>
        <v>-1</v>
      </c>
      <c r="U30" s="185" t="s">
        <v>243</v>
      </c>
      <c r="V30" s="184">
        <f t="shared" si="13"/>
        <v>-1</v>
      </c>
      <c r="W30" s="184" t="str">
        <f t="shared" si="14"/>
        <v>0</v>
      </c>
      <c r="X30" s="184">
        <f t="shared" si="11"/>
        <v>0</v>
      </c>
      <c r="Y30" s="183">
        <f t="shared" si="8"/>
        <v>-107733.38099999998</v>
      </c>
      <c r="Z30" s="183">
        <f t="shared" si="9"/>
        <v>107733.38099999998</v>
      </c>
      <c r="AA30" s="182">
        <f>+Z30/$Z$3</f>
        <v>5.8649600890274274E-4</v>
      </c>
      <c r="AB30" s="181">
        <f t="shared" si="12"/>
        <v>0.17625300902262173</v>
      </c>
      <c r="AC30" s="30"/>
    </row>
    <row r="31" spans="1:29" x14ac:dyDescent="0.35">
      <c r="A31" s="134" t="s">
        <v>733</v>
      </c>
      <c r="B31" s="134" t="s">
        <v>734</v>
      </c>
      <c r="C31" s="134" t="s">
        <v>735</v>
      </c>
      <c r="D31" s="191">
        <v>59066.896000000001</v>
      </c>
      <c r="E31" s="135">
        <v>44</v>
      </c>
      <c r="F31" s="193">
        <v>43</v>
      </c>
      <c r="G31" s="187">
        <f t="shared" si="0"/>
        <v>-1</v>
      </c>
      <c r="H31" s="190">
        <f t="shared" si="1"/>
        <v>-59066.896000000001</v>
      </c>
      <c r="I31" s="194" t="s">
        <v>41</v>
      </c>
      <c r="J31" s="194" t="s">
        <v>41</v>
      </c>
      <c r="K31" s="189" t="s">
        <v>753</v>
      </c>
      <c r="L31" s="189" t="s">
        <v>134</v>
      </c>
      <c r="M31" s="189"/>
      <c r="N31" s="189">
        <f t="shared" si="2"/>
        <v>0</v>
      </c>
      <c r="O31" s="238">
        <f t="shared" si="3"/>
        <v>-1</v>
      </c>
      <c r="P31" s="188" t="s">
        <v>245</v>
      </c>
      <c r="Q31" s="136">
        <v>42</v>
      </c>
      <c r="R31" s="136">
        <v>42</v>
      </c>
      <c r="S31" s="187">
        <f t="shared" si="4"/>
        <v>0</v>
      </c>
      <c r="T31" s="186">
        <f t="shared" si="15"/>
        <v>0</v>
      </c>
      <c r="U31" s="185" t="s">
        <v>770</v>
      </c>
      <c r="V31" s="184" t="str">
        <f t="shared" si="13"/>
        <v>0</v>
      </c>
      <c r="W31" s="184" t="str">
        <f t="shared" si="14"/>
        <v>0</v>
      </c>
      <c r="X31" s="184">
        <f t="shared" si="11"/>
        <v>0</v>
      </c>
      <c r="Y31" s="183">
        <f t="shared" si="8"/>
        <v>0</v>
      </c>
      <c r="Z31" s="183">
        <f t="shared" si="9"/>
        <v>2598943.4240000001</v>
      </c>
      <c r="AA31" s="182">
        <f t="shared" si="10"/>
        <v>1.4148539026543954E-2</v>
      </c>
      <c r="AB31" s="181">
        <f t="shared" si="12"/>
        <v>0.19040154804916568</v>
      </c>
      <c r="AC31" s="30"/>
    </row>
    <row r="32" spans="1:29" hidden="1" x14ac:dyDescent="0.35">
      <c r="A32" s="134" t="s">
        <v>719</v>
      </c>
      <c r="B32" s="134" t="s">
        <v>720</v>
      </c>
      <c r="C32" s="134" t="s">
        <v>721</v>
      </c>
      <c r="D32" s="191">
        <v>97355.979000000007</v>
      </c>
      <c r="E32" s="135">
        <v>37</v>
      </c>
      <c r="F32" s="136">
        <v>37</v>
      </c>
      <c r="G32" s="187">
        <f t="shared" si="0"/>
        <v>0</v>
      </c>
      <c r="H32" s="190">
        <f t="shared" si="1"/>
        <v>0</v>
      </c>
      <c r="I32" s="194" t="s">
        <v>41</v>
      </c>
      <c r="J32" s="194" t="s">
        <v>41</v>
      </c>
      <c r="K32" s="189" t="s">
        <v>134</v>
      </c>
      <c r="L32" s="189" t="s">
        <v>134</v>
      </c>
      <c r="M32" s="189"/>
      <c r="N32" s="189">
        <f t="shared" si="2"/>
        <v>0</v>
      </c>
      <c r="O32" s="238">
        <f t="shared" si="3"/>
        <v>0</v>
      </c>
      <c r="P32" s="188" t="s">
        <v>134</v>
      </c>
      <c r="Q32" s="136"/>
      <c r="R32" s="136"/>
      <c r="S32" s="187">
        <f t="shared" si="4"/>
        <v>0</v>
      </c>
      <c r="T32" s="186">
        <f t="shared" si="15"/>
        <v>0</v>
      </c>
      <c r="U32" s="185" t="s">
        <v>134</v>
      </c>
      <c r="V32" s="184" t="str">
        <f t="shared" si="13"/>
        <v>0</v>
      </c>
      <c r="W32" s="184" t="str">
        <f t="shared" si="14"/>
        <v>0</v>
      </c>
      <c r="X32" s="184">
        <f t="shared" si="11"/>
        <v>0</v>
      </c>
      <c r="Y32" s="183">
        <f t="shared" si="8"/>
        <v>0</v>
      </c>
      <c r="Z32" s="183">
        <f t="shared" si="9"/>
        <v>3602171.2230000002</v>
      </c>
      <c r="AA32" s="182">
        <f t="shared" si="10"/>
        <v>1.9610069098952833E-2</v>
      </c>
      <c r="AB32" s="181">
        <f t="shared" si="12"/>
        <v>0.2100116171481185</v>
      </c>
      <c r="AC32" s="30"/>
    </row>
    <row r="33" spans="1:29" x14ac:dyDescent="0.35">
      <c r="A33" s="134" t="s">
        <v>633</v>
      </c>
      <c r="B33" s="134" t="s">
        <v>634</v>
      </c>
      <c r="C33" s="134" t="s">
        <v>635</v>
      </c>
      <c r="D33" s="191">
        <v>94946.488000000012</v>
      </c>
      <c r="E33" s="135">
        <v>9</v>
      </c>
      <c r="F33" s="136">
        <v>8</v>
      </c>
      <c r="G33" s="187">
        <f t="shared" si="0"/>
        <v>-1</v>
      </c>
      <c r="H33" s="190">
        <f t="shared" si="1"/>
        <v>-94946.488000000012</v>
      </c>
      <c r="I33" s="194" t="s">
        <v>41</v>
      </c>
      <c r="J33" s="194" t="s">
        <v>41</v>
      </c>
      <c r="K33" s="189" t="s">
        <v>751</v>
      </c>
      <c r="L33" s="189" t="s">
        <v>134</v>
      </c>
      <c r="M33" s="189"/>
      <c r="N33" s="189">
        <f t="shared" si="2"/>
        <v>0</v>
      </c>
      <c r="O33" s="238">
        <f t="shared" si="3"/>
        <v>-1</v>
      </c>
      <c r="P33" s="188" t="s">
        <v>245</v>
      </c>
      <c r="Q33" s="136">
        <v>11</v>
      </c>
      <c r="R33" s="136">
        <f>5+3+2</f>
        <v>10</v>
      </c>
      <c r="S33" s="187">
        <f t="shared" si="4"/>
        <v>-1</v>
      </c>
      <c r="T33" s="186">
        <f t="shared" si="15"/>
        <v>-1</v>
      </c>
      <c r="U33" s="185" t="s">
        <v>243</v>
      </c>
      <c r="V33" s="184">
        <f t="shared" si="13"/>
        <v>-1</v>
      </c>
      <c r="W33" s="184" t="str">
        <f t="shared" si="14"/>
        <v>0</v>
      </c>
      <c r="X33" s="184">
        <f t="shared" si="11"/>
        <v>0</v>
      </c>
      <c r="Y33" s="183">
        <f t="shared" si="8"/>
        <v>-94946.488000000012</v>
      </c>
      <c r="Z33" s="183">
        <f t="shared" si="9"/>
        <v>854518.39200000011</v>
      </c>
      <c r="AA33" s="182">
        <f t="shared" si="10"/>
        <v>4.6519622960871296E-3</v>
      </c>
      <c r="AB33" s="181">
        <f t="shared" si="12"/>
        <v>0.21466357944420564</v>
      </c>
      <c r="AC33" s="30"/>
    </row>
    <row r="34" spans="1:29" hidden="1" x14ac:dyDescent="0.35">
      <c r="A34" s="134" t="s">
        <v>526</v>
      </c>
      <c r="B34" s="134" t="s">
        <v>527</v>
      </c>
      <c r="C34" s="134" t="s">
        <v>525</v>
      </c>
      <c r="D34" s="191">
        <v>112959.79800000001</v>
      </c>
      <c r="E34" s="135">
        <v>4</v>
      </c>
      <c r="F34" s="136">
        <v>4</v>
      </c>
      <c r="G34" s="187">
        <f t="shared" si="0"/>
        <v>0</v>
      </c>
      <c r="H34" s="190">
        <f t="shared" si="1"/>
        <v>0</v>
      </c>
      <c r="I34" s="194" t="s">
        <v>41</v>
      </c>
      <c r="J34" s="194" t="s">
        <v>41</v>
      </c>
      <c r="K34" s="189" t="s">
        <v>134</v>
      </c>
      <c r="L34" s="189" t="s">
        <v>134</v>
      </c>
      <c r="M34" s="189"/>
      <c r="N34" s="189">
        <f t="shared" si="2"/>
        <v>0</v>
      </c>
      <c r="O34" s="238">
        <f t="shared" si="3"/>
        <v>0</v>
      </c>
      <c r="P34" s="188" t="s">
        <v>134</v>
      </c>
      <c r="Q34" s="136"/>
      <c r="R34" s="136"/>
      <c r="S34" s="187">
        <f t="shared" si="4"/>
        <v>0</v>
      </c>
      <c r="T34" s="186">
        <f t="shared" si="15"/>
        <v>0</v>
      </c>
      <c r="U34" s="185" t="s">
        <v>134</v>
      </c>
      <c r="V34" s="184" t="str">
        <f t="shared" si="13"/>
        <v>0</v>
      </c>
      <c r="W34" s="184" t="str">
        <f t="shared" si="14"/>
        <v>0</v>
      </c>
      <c r="X34" s="184">
        <f t="shared" si="11"/>
        <v>0</v>
      </c>
      <c r="Y34" s="183">
        <f t="shared" si="8"/>
        <v>0</v>
      </c>
      <c r="Z34" s="183">
        <f t="shared" si="9"/>
        <v>451839.19200000004</v>
      </c>
      <c r="AA34" s="182">
        <f t="shared" si="10"/>
        <v>2.4597936156281973E-3</v>
      </c>
      <c r="AB34" s="181">
        <f t="shared" si="12"/>
        <v>0.21712337305983384</v>
      </c>
      <c r="AC34" s="30"/>
    </row>
    <row r="35" spans="1:29" x14ac:dyDescent="0.35">
      <c r="A35" s="134" t="s">
        <v>505</v>
      </c>
      <c r="B35" s="134" t="s">
        <v>506</v>
      </c>
      <c r="C35" s="134" t="s">
        <v>507</v>
      </c>
      <c r="D35" s="191">
        <v>107041.501</v>
      </c>
      <c r="E35" s="135">
        <v>9</v>
      </c>
      <c r="F35" s="136">
        <v>8</v>
      </c>
      <c r="G35" s="187">
        <f t="shared" si="0"/>
        <v>-1</v>
      </c>
      <c r="H35" s="190">
        <f t="shared" si="1"/>
        <v>-107041.501</v>
      </c>
      <c r="I35" s="194" t="s">
        <v>41</v>
      </c>
      <c r="J35" s="194" t="s">
        <v>41</v>
      </c>
      <c r="K35" s="189" t="s">
        <v>754</v>
      </c>
      <c r="L35" s="189" t="s">
        <v>134</v>
      </c>
      <c r="M35" s="189"/>
      <c r="N35" s="189">
        <f t="shared" si="2"/>
        <v>0</v>
      </c>
      <c r="O35" s="238">
        <f t="shared" si="3"/>
        <v>-1</v>
      </c>
      <c r="P35" s="188" t="s">
        <v>245</v>
      </c>
      <c r="Q35" s="136">
        <v>11</v>
      </c>
      <c r="R35" s="136">
        <v>10</v>
      </c>
      <c r="S35" s="187">
        <f t="shared" si="4"/>
        <v>-1</v>
      </c>
      <c r="T35" s="186">
        <f t="shared" si="15"/>
        <v>-1</v>
      </c>
      <c r="U35" s="185" t="s">
        <v>243</v>
      </c>
      <c r="V35" s="184">
        <f t="shared" si="13"/>
        <v>-1</v>
      </c>
      <c r="W35" s="184" t="str">
        <f t="shared" si="14"/>
        <v>0</v>
      </c>
      <c r="X35" s="184">
        <f t="shared" si="11"/>
        <v>0</v>
      </c>
      <c r="Y35" s="183">
        <f t="shared" si="8"/>
        <v>-107041.501</v>
      </c>
      <c r="Z35" s="183">
        <f t="shared" si="9"/>
        <v>963373.50900000008</v>
      </c>
      <c r="AA35" s="182">
        <f t="shared" si="10"/>
        <v>5.2445649887394759E-3</v>
      </c>
      <c r="AB35" s="181">
        <f t="shared" si="12"/>
        <v>0.22236793804857333</v>
      </c>
      <c r="AC35" s="30"/>
    </row>
    <row r="36" spans="1:29" hidden="1" x14ac:dyDescent="0.35">
      <c r="A36" s="134" t="s">
        <v>650</v>
      </c>
      <c r="B36" s="134" t="s">
        <v>651</v>
      </c>
      <c r="C36" s="134" t="s">
        <v>652</v>
      </c>
      <c r="D36" s="191">
        <v>155295.16099999999</v>
      </c>
      <c r="E36" s="135">
        <v>9</v>
      </c>
      <c r="F36" s="136">
        <f>10-1</f>
        <v>9</v>
      </c>
      <c r="G36" s="187">
        <f t="shared" si="0"/>
        <v>0</v>
      </c>
      <c r="H36" s="190">
        <f t="shared" si="1"/>
        <v>0</v>
      </c>
      <c r="I36" s="194" t="s">
        <v>41</v>
      </c>
      <c r="J36" s="194" t="s">
        <v>41</v>
      </c>
      <c r="K36" s="189" t="s">
        <v>134</v>
      </c>
      <c r="L36" s="189" t="s">
        <v>134</v>
      </c>
      <c r="M36" s="189"/>
      <c r="N36" s="189">
        <f t="shared" si="2"/>
        <v>0</v>
      </c>
      <c r="O36" s="238">
        <f t="shared" si="3"/>
        <v>0</v>
      </c>
      <c r="P36" s="188" t="s">
        <v>134</v>
      </c>
      <c r="Q36" s="136"/>
      <c r="R36" s="136"/>
      <c r="S36" s="187">
        <f t="shared" si="4"/>
        <v>0</v>
      </c>
      <c r="T36" s="186">
        <f t="shared" si="15"/>
        <v>0</v>
      </c>
      <c r="U36" s="185" t="s">
        <v>134</v>
      </c>
      <c r="V36" s="184" t="str">
        <f t="shared" si="13"/>
        <v>0</v>
      </c>
      <c r="W36" s="184" t="str">
        <f t="shared" si="14"/>
        <v>0</v>
      </c>
      <c r="X36" s="184">
        <f t="shared" si="11"/>
        <v>0</v>
      </c>
      <c r="Y36" s="183">
        <f t="shared" si="8"/>
        <v>0</v>
      </c>
      <c r="Z36" s="183">
        <f t="shared" si="9"/>
        <v>1397656.449</v>
      </c>
      <c r="AA36" s="182">
        <f t="shared" si="10"/>
        <v>7.6087831046134152E-3</v>
      </c>
      <c r="AB36" s="181">
        <f t="shared" si="12"/>
        <v>0.22997672115318674</v>
      </c>
      <c r="AC36" s="30"/>
    </row>
    <row r="37" spans="1:29" hidden="1" x14ac:dyDescent="0.35">
      <c r="A37" s="134" t="s">
        <v>648</v>
      </c>
      <c r="B37" s="134" t="s">
        <v>649</v>
      </c>
      <c r="C37" s="134" t="s">
        <v>647</v>
      </c>
      <c r="D37" s="191">
        <v>161658.02100000001</v>
      </c>
      <c r="E37" s="135">
        <v>4</v>
      </c>
      <c r="F37" s="193">
        <v>4</v>
      </c>
      <c r="G37" s="187">
        <f t="shared" si="0"/>
        <v>0</v>
      </c>
      <c r="H37" s="190">
        <f t="shared" si="1"/>
        <v>0</v>
      </c>
      <c r="I37" s="194" t="s">
        <v>41</v>
      </c>
      <c r="J37" s="194" t="s">
        <v>41</v>
      </c>
      <c r="K37" s="189" t="s">
        <v>134</v>
      </c>
      <c r="L37" s="189" t="s">
        <v>134</v>
      </c>
      <c r="M37" s="189"/>
      <c r="N37" s="189">
        <f t="shared" ref="N37:N68" si="16">+SUM(L37:M37)</f>
        <v>0</v>
      </c>
      <c r="O37" s="238">
        <f t="shared" ref="O37:O68" si="17">-E37-N37+F37</f>
        <v>0</v>
      </c>
      <c r="P37" s="188" t="s">
        <v>134</v>
      </c>
      <c r="Q37" s="136"/>
      <c r="R37" s="136"/>
      <c r="S37" s="187">
        <f t="shared" si="4"/>
        <v>0</v>
      </c>
      <c r="T37" s="186">
        <f t="shared" si="15"/>
        <v>0</v>
      </c>
      <c r="U37" s="185" t="s">
        <v>134</v>
      </c>
      <c r="V37" s="184" t="str">
        <f t="shared" si="13"/>
        <v>0</v>
      </c>
      <c r="W37" s="184" t="str">
        <f t="shared" si="14"/>
        <v>0</v>
      </c>
      <c r="X37" s="184">
        <f t="shared" si="11"/>
        <v>0</v>
      </c>
      <c r="Y37" s="183">
        <f t="shared" ref="Y37:Y68" si="18">+V37*D37+W37*D37</f>
        <v>0</v>
      </c>
      <c r="Z37" s="183">
        <f t="shared" ref="Z37:Z68" si="19">+E37*D37</f>
        <v>646632.08400000003</v>
      </c>
      <c r="AA37" s="182">
        <f t="shared" si="10"/>
        <v>3.5202379520091658E-3</v>
      </c>
      <c r="AB37" s="181">
        <f t="shared" si="12"/>
        <v>0.23349695910519591</v>
      </c>
      <c r="AC37" s="30"/>
    </row>
    <row r="38" spans="1:29" hidden="1" x14ac:dyDescent="0.35">
      <c r="A38" s="134" t="s">
        <v>482</v>
      </c>
      <c r="B38" s="134" t="s">
        <v>483</v>
      </c>
      <c r="C38" s="134" t="s">
        <v>258</v>
      </c>
      <c r="D38" s="191">
        <v>426421.68099999992</v>
      </c>
      <c r="E38" s="135">
        <v>23</v>
      </c>
      <c r="F38" s="136">
        <v>22</v>
      </c>
      <c r="G38" s="187">
        <f t="shared" si="0"/>
        <v>-1</v>
      </c>
      <c r="H38" s="190">
        <f t="shared" si="1"/>
        <v>-426421.68099999992</v>
      </c>
      <c r="I38" s="194" t="s">
        <v>41</v>
      </c>
      <c r="J38" s="194" t="s">
        <v>41</v>
      </c>
      <c r="K38" s="189" t="s">
        <v>755</v>
      </c>
      <c r="L38" s="189" t="s">
        <v>134</v>
      </c>
      <c r="M38" s="189"/>
      <c r="N38" s="189">
        <f t="shared" si="16"/>
        <v>0</v>
      </c>
      <c r="O38" s="238">
        <f t="shared" si="17"/>
        <v>-1</v>
      </c>
      <c r="P38" s="188" t="s">
        <v>245</v>
      </c>
      <c r="Q38" s="136">
        <v>21</v>
      </c>
      <c r="R38" s="136">
        <f>11+9</f>
        <v>20</v>
      </c>
      <c r="S38" s="187">
        <f t="shared" si="4"/>
        <v>-1</v>
      </c>
      <c r="T38" s="186">
        <f t="shared" si="15"/>
        <v>-1</v>
      </c>
      <c r="U38" s="185" t="s">
        <v>772</v>
      </c>
      <c r="V38" s="184" t="str">
        <f t="shared" si="13"/>
        <v>0</v>
      </c>
      <c r="W38" s="184" t="str">
        <f t="shared" si="14"/>
        <v>0</v>
      </c>
      <c r="X38" s="184">
        <f t="shared" si="11"/>
        <v>-1</v>
      </c>
      <c r="Y38" s="183">
        <f t="shared" si="18"/>
        <v>0</v>
      </c>
      <c r="Z38" s="183">
        <f t="shared" si="19"/>
        <v>9807698.6629999988</v>
      </c>
      <c r="AA38" s="182">
        <f t="shared" si="10"/>
        <v>5.3392700284513178E-2</v>
      </c>
      <c r="AB38" s="181">
        <f t="shared" si="12"/>
        <v>0.28688965938970912</v>
      </c>
      <c r="AC38" s="30"/>
    </row>
    <row r="39" spans="1:29" hidden="1" x14ac:dyDescent="0.35">
      <c r="A39" s="134" t="s">
        <v>260</v>
      </c>
      <c r="B39" s="134" t="s">
        <v>259</v>
      </c>
      <c r="C39" s="134" t="s">
        <v>258</v>
      </c>
      <c r="D39" s="191">
        <v>402642.52700000006</v>
      </c>
      <c r="E39" s="135">
        <v>0</v>
      </c>
      <c r="F39" s="136">
        <v>1</v>
      </c>
      <c r="G39" s="187">
        <f>+F39-E39</f>
        <v>1</v>
      </c>
      <c r="H39" s="190">
        <f>+D39*G39</f>
        <v>402642.52700000006</v>
      </c>
      <c r="I39" s="194" t="s">
        <v>41</v>
      </c>
      <c r="J39" s="194" t="s">
        <v>41</v>
      </c>
      <c r="K39" s="189" t="s">
        <v>755</v>
      </c>
      <c r="L39" s="189" t="s">
        <v>134</v>
      </c>
      <c r="M39" s="189"/>
      <c r="N39" s="189">
        <f t="shared" si="16"/>
        <v>0</v>
      </c>
      <c r="O39" s="238">
        <f t="shared" si="17"/>
        <v>1</v>
      </c>
      <c r="P39" s="188" t="s">
        <v>245</v>
      </c>
      <c r="Q39" s="136">
        <v>10</v>
      </c>
      <c r="R39" s="136">
        <f>7+4</f>
        <v>11</v>
      </c>
      <c r="S39" s="187">
        <f>+R39-Q39</f>
        <v>1</v>
      </c>
      <c r="T39" s="186">
        <f t="shared" si="15"/>
        <v>1</v>
      </c>
      <c r="U39" s="185" t="s">
        <v>772</v>
      </c>
      <c r="V39" s="184" t="str">
        <f t="shared" si="13"/>
        <v>0</v>
      </c>
      <c r="W39" s="184" t="str">
        <f t="shared" si="14"/>
        <v>0</v>
      </c>
      <c r="X39" s="184">
        <f t="shared" si="11"/>
        <v>1</v>
      </c>
      <c r="Y39" s="183">
        <f t="shared" si="18"/>
        <v>0</v>
      </c>
      <c r="Z39" s="183">
        <f t="shared" si="19"/>
        <v>0</v>
      </c>
      <c r="AA39" s="182">
        <f>+Z39/$Z$3</f>
        <v>0</v>
      </c>
      <c r="AB39" s="181">
        <f t="shared" si="12"/>
        <v>0.28688965938970912</v>
      </c>
      <c r="AC39" s="30"/>
    </row>
    <row r="40" spans="1:29" hidden="1" x14ac:dyDescent="0.35">
      <c r="A40" s="134" t="s">
        <v>543</v>
      </c>
      <c r="B40" s="134" t="s">
        <v>544</v>
      </c>
      <c r="C40" s="134" t="s">
        <v>545</v>
      </c>
      <c r="D40" s="191">
        <v>189483.40600000002</v>
      </c>
      <c r="E40" s="135">
        <v>13</v>
      </c>
      <c r="F40" s="136">
        <v>13</v>
      </c>
      <c r="G40" s="187">
        <f t="shared" si="0"/>
        <v>0</v>
      </c>
      <c r="H40" s="190">
        <f t="shared" si="1"/>
        <v>0</v>
      </c>
      <c r="I40" s="194" t="s">
        <v>41</v>
      </c>
      <c r="J40" s="194" t="s">
        <v>41</v>
      </c>
      <c r="K40" s="189" t="s">
        <v>134</v>
      </c>
      <c r="L40" s="189" t="s">
        <v>134</v>
      </c>
      <c r="M40" s="189"/>
      <c r="N40" s="189">
        <f t="shared" si="16"/>
        <v>0</v>
      </c>
      <c r="O40" s="238">
        <f t="shared" si="17"/>
        <v>0</v>
      </c>
      <c r="P40" s="188" t="s">
        <v>134</v>
      </c>
      <c r="Q40" s="136"/>
      <c r="R40" s="136"/>
      <c r="S40" s="187">
        <f t="shared" si="4"/>
        <v>0</v>
      </c>
      <c r="T40" s="186">
        <f t="shared" si="15"/>
        <v>0</v>
      </c>
      <c r="U40" s="185" t="s">
        <v>134</v>
      </c>
      <c r="V40" s="184" t="str">
        <f t="shared" si="13"/>
        <v>0</v>
      </c>
      <c r="W40" s="184" t="str">
        <f t="shared" si="14"/>
        <v>0</v>
      </c>
      <c r="X40" s="184">
        <f t="shared" si="11"/>
        <v>0</v>
      </c>
      <c r="Y40" s="183">
        <f t="shared" si="18"/>
        <v>0</v>
      </c>
      <c r="Z40" s="183">
        <f t="shared" si="19"/>
        <v>2463284.2780000004</v>
      </c>
      <c r="AA40" s="182">
        <f t="shared" si="10"/>
        <v>1.3410016323908694E-2</v>
      </c>
      <c r="AB40" s="181">
        <f t="shared" si="12"/>
        <v>0.30029967571361782</v>
      </c>
      <c r="AC40" s="30"/>
    </row>
    <row r="41" spans="1:29" hidden="1" x14ac:dyDescent="0.35">
      <c r="A41" s="134" t="s">
        <v>370</v>
      </c>
      <c r="B41" s="134" t="s">
        <v>371</v>
      </c>
      <c r="C41" s="134" t="s">
        <v>365</v>
      </c>
      <c r="D41" s="191">
        <v>106043.99400000001</v>
      </c>
      <c r="E41" s="135">
        <v>8</v>
      </c>
      <c r="F41" s="193">
        <f>9-1</f>
        <v>8</v>
      </c>
      <c r="G41" s="187">
        <f t="shared" si="0"/>
        <v>0</v>
      </c>
      <c r="H41" s="190">
        <f t="shared" si="1"/>
        <v>0</v>
      </c>
      <c r="I41" s="194" t="s">
        <v>41</v>
      </c>
      <c r="J41" s="194" t="s">
        <v>41</v>
      </c>
      <c r="K41" s="189" t="s">
        <v>134</v>
      </c>
      <c r="L41" s="189" t="s">
        <v>134</v>
      </c>
      <c r="M41" s="189"/>
      <c r="N41" s="189">
        <f t="shared" si="16"/>
        <v>0</v>
      </c>
      <c r="O41" s="238">
        <f t="shared" si="17"/>
        <v>0</v>
      </c>
      <c r="P41" s="188" t="s">
        <v>134</v>
      </c>
      <c r="Q41" s="136"/>
      <c r="R41" s="136"/>
      <c r="S41" s="187">
        <f t="shared" si="4"/>
        <v>0</v>
      </c>
      <c r="T41" s="186">
        <f t="shared" si="15"/>
        <v>0</v>
      </c>
      <c r="U41" s="185" t="s">
        <v>134</v>
      </c>
      <c r="V41" s="184" t="str">
        <f t="shared" si="13"/>
        <v>0</v>
      </c>
      <c r="W41" s="184" t="str">
        <f t="shared" si="14"/>
        <v>0</v>
      </c>
      <c r="X41" s="184">
        <f t="shared" si="11"/>
        <v>0</v>
      </c>
      <c r="Y41" s="183">
        <f t="shared" si="18"/>
        <v>0</v>
      </c>
      <c r="Z41" s="183">
        <f t="shared" si="19"/>
        <v>848351.95200000005</v>
      </c>
      <c r="AA41" s="182">
        <f t="shared" si="10"/>
        <v>4.6183924552859927E-3</v>
      </c>
      <c r="AB41" s="181">
        <f t="shared" si="12"/>
        <v>0.30491806816890382</v>
      </c>
      <c r="AC41" s="30"/>
    </row>
    <row r="42" spans="1:29" x14ac:dyDescent="0.35">
      <c r="A42" s="134" t="s">
        <v>420</v>
      </c>
      <c r="B42" s="134" t="s">
        <v>421</v>
      </c>
      <c r="C42" s="134" t="s">
        <v>422</v>
      </c>
      <c r="D42" s="191">
        <v>131526.66099999999</v>
      </c>
      <c r="E42" s="135">
        <v>36</v>
      </c>
      <c r="F42" s="136">
        <f>38-3</f>
        <v>35</v>
      </c>
      <c r="G42" s="187">
        <f t="shared" ref="G42:G74" si="20">+F42-E42</f>
        <v>-1</v>
      </c>
      <c r="H42" s="190">
        <f t="shared" ref="H42:H74" si="21">+D42*G42</f>
        <v>-131526.66099999999</v>
      </c>
      <c r="I42" s="194" t="s">
        <v>41</v>
      </c>
      <c r="J42" s="194" t="s">
        <v>41</v>
      </c>
      <c r="K42" s="189" t="s">
        <v>756</v>
      </c>
      <c r="L42" s="189" t="s">
        <v>134</v>
      </c>
      <c r="M42" s="189"/>
      <c r="N42" s="189">
        <f t="shared" si="16"/>
        <v>0</v>
      </c>
      <c r="O42" s="238">
        <f t="shared" si="17"/>
        <v>-1</v>
      </c>
      <c r="P42" s="188" t="s">
        <v>257</v>
      </c>
      <c r="Q42" s="136"/>
      <c r="R42" s="136"/>
      <c r="S42" s="187">
        <f t="shared" ref="S42:S74" si="22">+R42-Q42</f>
        <v>0</v>
      </c>
      <c r="T42" s="186">
        <f t="shared" si="15"/>
        <v>-1</v>
      </c>
      <c r="U42" s="185" t="s">
        <v>243</v>
      </c>
      <c r="V42" s="184">
        <f t="shared" si="13"/>
        <v>-1</v>
      </c>
      <c r="W42" s="184" t="str">
        <f t="shared" si="14"/>
        <v>0</v>
      </c>
      <c r="X42" s="184">
        <f t="shared" si="11"/>
        <v>0</v>
      </c>
      <c r="Y42" s="183">
        <f t="shared" si="18"/>
        <v>-131526.66099999999</v>
      </c>
      <c r="Z42" s="183">
        <f t="shared" si="19"/>
        <v>4734959.7960000001</v>
      </c>
      <c r="AA42" s="182">
        <f t="shared" ref="AA42:AA74" si="23">+Z42/$Z$3</f>
        <v>2.5776922592533742E-2</v>
      </c>
      <c r="AB42" s="181">
        <f t="shared" si="12"/>
        <v>0.33069499076143755</v>
      </c>
      <c r="AC42" s="30"/>
    </row>
    <row r="43" spans="1:29" hidden="1" x14ac:dyDescent="0.35">
      <c r="A43" s="134" t="s">
        <v>703</v>
      </c>
      <c r="B43" s="134" t="s">
        <v>704</v>
      </c>
      <c r="C43" s="134" t="s">
        <v>596</v>
      </c>
      <c r="D43" s="191">
        <v>1181.6980000000001</v>
      </c>
      <c r="E43" s="135">
        <v>118</v>
      </c>
      <c r="F43" s="136">
        <v>118</v>
      </c>
      <c r="G43" s="187">
        <f t="shared" si="20"/>
        <v>0</v>
      </c>
      <c r="H43" s="190">
        <f t="shared" si="21"/>
        <v>0</v>
      </c>
      <c r="I43" s="194" t="s">
        <v>41</v>
      </c>
      <c r="J43" s="194" t="s">
        <v>41</v>
      </c>
      <c r="K43" s="189" t="s">
        <v>134</v>
      </c>
      <c r="L43" s="189" t="s">
        <v>134</v>
      </c>
      <c r="M43" s="189"/>
      <c r="N43" s="189">
        <f t="shared" si="16"/>
        <v>0</v>
      </c>
      <c r="O43" s="238">
        <f t="shared" si="17"/>
        <v>0</v>
      </c>
      <c r="P43" s="188" t="s">
        <v>134</v>
      </c>
      <c r="Q43" s="136"/>
      <c r="R43" s="136"/>
      <c r="S43" s="187">
        <f t="shared" si="22"/>
        <v>0</v>
      </c>
      <c r="T43" s="186">
        <f t="shared" si="15"/>
        <v>0</v>
      </c>
      <c r="U43" s="185" t="s">
        <v>134</v>
      </c>
      <c r="V43" s="184" t="str">
        <f t="shared" si="13"/>
        <v>0</v>
      </c>
      <c r="W43" s="184" t="str">
        <f t="shared" si="14"/>
        <v>0</v>
      </c>
      <c r="X43" s="184">
        <f t="shared" si="11"/>
        <v>0</v>
      </c>
      <c r="Y43" s="183">
        <f t="shared" si="18"/>
        <v>0</v>
      </c>
      <c r="Z43" s="183">
        <f t="shared" si="19"/>
        <v>139440.364</v>
      </c>
      <c r="AA43" s="182">
        <f t="shared" si="23"/>
        <v>7.5910749488077153E-4</v>
      </c>
      <c r="AB43" s="181">
        <f t="shared" si="12"/>
        <v>0.33145409825631833</v>
      </c>
      <c r="AC43" s="30"/>
    </row>
    <row r="44" spans="1:29" hidden="1" x14ac:dyDescent="0.35">
      <c r="A44" s="134" t="s">
        <v>546</v>
      </c>
      <c r="B44" s="134" t="s">
        <v>547</v>
      </c>
      <c r="C44" s="134" t="s">
        <v>548</v>
      </c>
      <c r="D44" s="191">
        <v>256186.79800000001</v>
      </c>
      <c r="E44" s="135">
        <v>45</v>
      </c>
      <c r="F44" s="136">
        <f>49-4</f>
        <v>45</v>
      </c>
      <c r="G44" s="187">
        <f t="shared" si="20"/>
        <v>0</v>
      </c>
      <c r="H44" s="190">
        <f t="shared" si="21"/>
        <v>0</v>
      </c>
      <c r="I44" s="194" t="s">
        <v>41</v>
      </c>
      <c r="J44" s="194" t="s">
        <v>41</v>
      </c>
      <c r="K44" s="189" t="s">
        <v>134</v>
      </c>
      <c r="L44" s="189" t="s">
        <v>134</v>
      </c>
      <c r="M44" s="189"/>
      <c r="N44" s="189">
        <f t="shared" si="16"/>
        <v>0</v>
      </c>
      <c r="O44" s="238">
        <f t="shared" si="17"/>
        <v>0</v>
      </c>
      <c r="P44" s="188" t="s">
        <v>134</v>
      </c>
      <c r="Q44" s="136"/>
      <c r="R44" s="136"/>
      <c r="S44" s="187">
        <f t="shared" si="22"/>
        <v>0</v>
      </c>
      <c r="T44" s="186">
        <f t="shared" si="15"/>
        <v>0</v>
      </c>
      <c r="U44" s="185" t="s">
        <v>134</v>
      </c>
      <c r="V44" s="184" t="str">
        <f t="shared" si="13"/>
        <v>0</v>
      </c>
      <c r="W44" s="184" t="str">
        <f t="shared" si="14"/>
        <v>0</v>
      </c>
      <c r="X44" s="184">
        <f t="shared" si="11"/>
        <v>0</v>
      </c>
      <c r="Y44" s="183">
        <f t="shared" si="18"/>
        <v>0</v>
      </c>
      <c r="Z44" s="183">
        <f t="shared" si="19"/>
        <v>11528405.91</v>
      </c>
      <c r="AA44" s="182">
        <f t="shared" si="23"/>
        <v>6.2760158387916862E-2</v>
      </c>
      <c r="AB44" s="181">
        <f t="shared" si="12"/>
        <v>0.39421425664423521</v>
      </c>
      <c r="AC44" s="30"/>
    </row>
    <row r="45" spans="1:29" x14ac:dyDescent="0.35">
      <c r="A45" s="134" t="s">
        <v>594</v>
      </c>
      <c r="B45" s="134" t="s">
        <v>595</v>
      </c>
      <c r="C45" s="134" t="s">
        <v>596</v>
      </c>
      <c r="D45" s="191">
        <v>2229.9829999999997</v>
      </c>
      <c r="E45" s="135">
        <v>123</v>
      </c>
      <c r="F45" s="193">
        <v>115</v>
      </c>
      <c r="G45" s="187">
        <f t="shared" si="20"/>
        <v>-8</v>
      </c>
      <c r="H45" s="190">
        <f t="shared" si="21"/>
        <v>-17839.863999999998</v>
      </c>
      <c r="I45" s="194" t="s">
        <v>41</v>
      </c>
      <c r="J45" s="194" t="s">
        <v>41</v>
      </c>
      <c r="K45" s="189" t="s">
        <v>756</v>
      </c>
      <c r="L45" s="189" t="s">
        <v>134</v>
      </c>
      <c r="M45" s="189"/>
      <c r="N45" s="189">
        <f t="shared" si="16"/>
        <v>0</v>
      </c>
      <c r="O45" s="238">
        <f t="shared" si="17"/>
        <v>-8</v>
      </c>
      <c r="P45" s="188" t="s">
        <v>257</v>
      </c>
      <c r="Q45" s="136"/>
      <c r="R45" s="136"/>
      <c r="S45" s="187">
        <f t="shared" si="22"/>
        <v>0</v>
      </c>
      <c r="T45" s="186">
        <f t="shared" si="15"/>
        <v>-8</v>
      </c>
      <c r="U45" s="185" t="s">
        <v>243</v>
      </c>
      <c r="V45" s="184">
        <f t="shared" si="13"/>
        <v>-8</v>
      </c>
      <c r="W45" s="184" t="str">
        <f t="shared" si="14"/>
        <v>0</v>
      </c>
      <c r="X45" s="184">
        <f t="shared" si="11"/>
        <v>0</v>
      </c>
      <c r="Y45" s="183">
        <f t="shared" si="18"/>
        <v>-17839.863999999998</v>
      </c>
      <c r="Z45" s="183">
        <f t="shared" si="19"/>
        <v>274287.90899999999</v>
      </c>
      <c r="AA45" s="182">
        <f t="shared" si="23"/>
        <v>1.4932118757024688E-3</v>
      </c>
      <c r="AB45" s="181">
        <f t="shared" si="12"/>
        <v>0.39570746851993766</v>
      </c>
      <c r="AC45" s="30"/>
    </row>
    <row r="46" spans="1:29" hidden="1" x14ac:dyDescent="0.35">
      <c r="A46" s="134" t="s">
        <v>540</v>
      </c>
      <c r="B46" s="134" t="s">
        <v>541</v>
      </c>
      <c r="C46" s="134" t="s">
        <v>542</v>
      </c>
      <c r="D46" s="191">
        <v>94520.013000000006</v>
      </c>
      <c r="E46" s="135">
        <v>2</v>
      </c>
      <c r="F46" s="193">
        <f>5-3</f>
        <v>2</v>
      </c>
      <c r="G46" s="187">
        <f t="shared" si="20"/>
        <v>0</v>
      </c>
      <c r="H46" s="190">
        <f t="shared" si="21"/>
        <v>0</v>
      </c>
      <c r="I46" s="194" t="s">
        <v>41</v>
      </c>
      <c r="J46" s="194" t="s">
        <v>41</v>
      </c>
      <c r="K46" s="189" t="s">
        <v>134</v>
      </c>
      <c r="L46" s="189" t="s">
        <v>134</v>
      </c>
      <c r="M46" s="189"/>
      <c r="N46" s="189">
        <f t="shared" si="16"/>
        <v>0</v>
      </c>
      <c r="O46" s="238">
        <f t="shared" si="17"/>
        <v>0</v>
      </c>
      <c r="P46" s="188" t="s">
        <v>134</v>
      </c>
      <c r="Q46" s="136"/>
      <c r="R46" s="136"/>
      <c r="S46" s="187">
        <f t="shared" si="22"/>
        <v>0</v>
      </c>
      <c r="T46" s="186">
        <f t="shared" si="15"/>
        <v>0</v>
      </c>
      <c r="U46" s="185" t="s">
        <v>134</v>
      </c>
      <c r="V46" s="184" t="str">
        <f t="shared" si="13"/>
        <v>0</v>
      </c>
      <c r="W46" s="184" t="str">
        <f t="shared" si="14"/>
        <v>0</v>
      </c>
      <c r="X46" s="184">
        <f t="shared" si="11"/>
        <v>0</v>
      </c>
      <c r="Y46" s="183">
        <f t="shared" si="18"/>
        <v>0</v>
      </c>
      <c r="Z46" s="183">
        <f t="shared" si="19"/>
        <v>189040.02600000001</v>
      </c>
      <c r="AA46" s="182">
        <f t="shared" si="23"/>
        <v>1.0291259750946713E-3</v>
      </c>
      <c r="AB46" s="181">
        <f t="shared" si="12"/>
        <v>0.39673659449503235</v>
      </c>
      <c r="AC46" s="30"/>
    </row>
    <row r="47" spans="1:29" x14ac:dyDescent="0.35">
      <c r="A47" s="134" t="s">
        <v>693</v>
      </c>
      <c r="B47" s="134" t="s">
        <v>694</v>
      </c>
      <c r="C47" s="134" t="s">
        <v>677</v>
      </c>
      <c r="D47" s="191">
        <v>111974.98899999999</v>
      </c>
      <c r="E47" s="135">
        <v>31</v>
      </c>
      <c r="F47" s="136">
        <v>30</v>
      </c>
      <c r="G47" s="187">
        <f t="shared" si="20"/>
        <v>-1</v>
      </c>
      <c r="H47" s="190">
        <f t="shared" si="21"/>
        <v>-111974.98899999999</v>
      </c>
      <c r="I47" s="194" t="s">
        <v>41</v>
      </c>
      <c r="J47" s="194" t="s">
        <v>41</v>
      </c>
      <c r="K47" s="189" t="s">
        <v>756</v>
      </c>
      <c r="L47" s="189" t="s">
        <v>134</v>
      </c>
      <c r="M47" s="189"/>
      <c r="N47" s="189">
        <f t="shared" si="16"/>
        <v>0</v>
      </c>
      <c r="O47" s="238">
        <f t="shared" si="17"/>
        <v>-1</v>
      </c>
      <c r="P47" s="188" t="s">
        <v>257</v>
      </c>
      <c r="Q47" s="136"/>
      <c r="R47" s="136"/>
      <c r="S47" s="187">
        <f t="shared" si="22"/>
        <v>0</v>
      </c>
      <c r="T47" s="186">
        <f t="shared" si="15"/>
        <v>-1</v>
      </c>
      <c r="U47" s="185" t="s">
        <v>243</v>
      </c>
      <c r="V47" s="184">
        <f t="shared" si="13"/>
        <v>-1</v>
      </c>
      <c r="W47" s="184" t="str">
        <f t="shared" si="14"/>
        <v>0</v>
      </c>
      <c r="X47" s="184">
        <f t="shared" si="11"/>
        <v>0</v>
      </c>
      <c r="Y47" s="183">
        <f t="shared" si="18"/>
        <v>-111974.98899999999</v>
      </c>
      <c r="Z47" s="183">
        <f t="shared" si="19"/>
        <v>3471224.6589999995</v>
      </c>
      <c r="AA47" s="182">
        <f t="shared" si="23"/>
        <v>1.8897201495126977E-2</v>
      </c>
      <c r="AB47" s="181">
        <f t="shared" si="12"/>
        <v>0.41563379599015932</v>
      </c>
      <c r="AC47" s="30"/>
    </row>
    <row r="48" spans="1:29" x14ac:dyDescent="0.35">
      <c r="A48" s="134" t="s">
        <v>712</v>
      </c>
      <c r="B48" s="134" t="s">
        <v>713</v>
      </c>
      <c r="C48" s="134" t="s">
        <v>676</v>
      </c>
      <c r="D48" s="191">
        <v>4300.9259999999995</v>
      </c>
      <c r="E48" s="135">
        <v>119</v>
      </c>
      <c r="F48" s="136">
        <f>158-40</f>
        <v>118</v>
      </c>
      <c r="G48" s="187">
        <f t="shared" si="20"/>
        <v>-1</v>
      </c>
      <c r="H48" s="190">
        <f t="shared" si="21"/>
        <v>-4300.9259999999995</v>
      </c>
      <c r="I48" s="194" t="s">
        <v>41</v>
      </c>
      <c r="J48" s="194" t="s">
        <v>41</v>
      </c>
      <c r="K48" s="189" t="s">
        <v>756</v>
      </c>
      <c r="L48" s="189" t="s">
        <v>134</v>
      </c>
      <c r="M48" s="189"/>
      <c r="N48" s="189">
        <f t="shared" si="16"/>
        <v>0</v>
      </c>
      <c r="O48" s="238">
        <f t="shared" si="17"/>
        <v>-1</v>
      </c>
      <c r="P48" s="188" t="s">
        <v>257</v>
      </c>
      <c r="Q48" s="136"/>
      <c r="R48" s="136"/>
      <c r="S48" s="187">
        <f t="shared" si="22"/>
        <v>0</v>
      </c>
      <c r="T48" s="186">
        <f t="shared" si="15"/>
        <v>-1</v>
      </c>
      <c r="U48" s="185" t="s">
        <v>243</v>
      </c>
      <c r="V48" s="184">
        <f t="shared" si="13"/>
        <v>-1</v>
      </c>
      <c r="W48" s="184" t="str">
        <f t="shared" si="14"/>
        <v>0</v>
      </c>
      <c r="X48" s="184">
        <f t="shared" si="11"/>
        <v>0</v>
      </c>
      <c r="Y48" s="183">
        <f t="shared" si="18"/>
        <v>-4300.9259999999995</v>
      </c>
      <c r="Z48" s="183">
        <f t="shared" si="19"/>
        <v>511810.19399999996</v>
      </c>
      <c r="AA48" s="182">
        <f t="shared" si="23"/>
        <v>2.7862732359317539E-3</v>
      </c>
      <c r="AB48" s="181">
        <f t="shared" si="12"/>
        <v>0.4184200692260911</v>
      </c>
      <c r="AC48" s="30"/>
    </row>
    <row r="49" spans="1:29" x14ac:dyDescent="0.35">
      <c r="A49" s="134" t="s">
        <v>582</v>
      </c>
      <c r="B49" s="134" t="s">
        <v>583</v>
      </c>
      <c r="C49" s="134" t="s">
        <v>584</v>
      </c>
      <c r="D49" s="191">
        <v>144483.14300000001</v>
      </c>
      <c r="E49" s="135">
        <v>56</v>
      </c>
      <c r="F49" s="136">
        <v>55</v>
      </c>
      <c r="G49" s="187">
        <f t="shared" si="20"/>
        <v>-1</v>
      </c>
      <c r="H49" s="190">
        <f t="shared" si="21"/>
        <v>-144483.14300000001</v>
      </c>
      <c r="I49" s="194" t="s">
        <v>41</v>
      </c>
      <c r="J49" s="194" t="s">
        <v>41</v>
      </c>
      <c r="K49" s="189" t="s">
        <v>756</v>
      </c>
      <c r="L49" s="189" t="s">
        <v>134</v>
      </c>
      <c r="M49" s="189"/>
      <c r="N49" s="189">
        <f t="shared" si="16"/>
        <v>0</v>
      </c>
      <c r="O49" s="238">
        <f t="shared" si="17"/>
        <v>-1</v>
      </c>
      <c r="P49" s="188" t="s">
        <v>257</v>
      </c>
      <c r="Q49" s="136"/>
      <c r="R49" s="136"/>
      <c r="S49" s="187">
        <f t="shared" si="22"/>
        <v>0</v>
      </c>
      <c r="T49" s="186">
        <f t="shared" si="15"/>
        <v>-1</v>
      </c>
      <c r="U49" s="185" t="s">
        <v>243</v>
      </c>
      <c r="V49" s="184">
        <f t="shared" si="13"/>
        <v>-1</v>
      </c>
      <c r="W49" s="184" t="str">
        <f t="shared" si="14"/>
        <v>0</v>
      </c>
      <c r="X49" s="184">
        <f t="shared" si="11"/>
        <v>0</v>
      </c>
      <c r="Y49" s="183">
        <f t="shared" si="18"/>
        <v>-144483.14300000001</v>
      </c>
      <c r="Z49" s="183">
        <f t="shared" si="19"/>
        <v>8091056.0080000004</v>
      </c>
      <c r="AA49" s="182">
        <f t="shared" si="23"/>
        <v>4.4047369649529142E-2</v>
      </c>
      <c r="AB49" s="181">
        <f t="shared" si="12"/>
        <v>0.46246743887562025</v>
      </c>
      <c r="AC49" s="30"/>
    </row>
    <row r="50" spans="1:29" hidden="1" x14ac:dyDescent="0.35">
      <c r="A50" s="134" t="s">
        <v>577</v>
      </c>
      <c r="B50" s="134" t="s">
        <v>578</v>
      </c>
      <c r="C50" s="134" t="s">
        <v>579</v>
      </c>
      <c r="D50" s="191">
        <v>144483.14300000001</v>
      </c>
      <c r="E50" s="135">
        <v>30</v>
      </c>
      <c r="F50" s="193">
        <v>30</v>
      </c>
      <c r="G50" s="187">
        <f t="shared" si="20"/>
        <v>0</v>
      </c>
      <c r="H50" s="190">
        <f t="shared" si="21"/>
        <v>0</v>
      </c>
      <c r="I50" s="194" t="s">
        <v>41</v>
      </c>
      <c r="J50" s="194" t="s">
        <v>41</v>
      </c>
      <c r="K50" s="189" t="s">
        <v>134</v>
      </c>
      <c r="L50" s="189" t="s">
        <v>134</v>
      </c>
      <c r="M50" s="189"/>
      <c r="N50" s="189">
        <f t="shared" si="16"/>
        <v>0</v>
      </c>
      <c r="O50" s="238">
        <f t="shared" si="17"/>
        <v>0</v>
      </c>
      <c r="P50" s="188" t="s">
        <v>134</v>
      </c>
      <c r="Q50" s="136"/>
      <c r="R50" s="136"/>
      <c r="S50" s="187">
        <f t="shared" si="22"/>
        <v>0</v>
      </c>
      <c r="T50" s="186">
        <f t="shared" si="15"/>
        <v>0</v>
      </c>
      <c r="U50" s="185" t="s">
        <v>134</v>
      </c>
      <c r="V50" s="184" t="str">
        <f t="shared" si="13"/>
        <v>0</v>
      </c>
      <c r="W50" s="184" t="str">
        <f t="shared" si="14"/>
        <v>0</v>
      </c>
      <c r="X50" s="184">
        <f t="shared" si="11"/>
        <v>0</v>
      </c>
      <c r="Y50" s="183">
        <f t="shared" si="18"/>
        <v>0</v>
      </c>
      <c r="Z50" s="183">
        <f t="shared" si="19"/>
        <v>4334494.29</v>
      </c>
      <c r="AA50" s="182">
        <f t="shared" si="23"/>
        <v>2.3596805169390608E-2</v>
      </c>
      <c r="AB50" s="181">
        <f t="shared" si="12"/>
        <v>0.48606424404501086</v>
      </c>
      <c r="AC50" s="30"/>
    </row>
    <row r="51" spans="1:29" x14ac:dyDescent="0.35">
      <c r="A51" s="134" t="s">
        <v>574</v>
      </c>
      <c r="B51" s="134" t="s">
        <v>575</v>
      </c>
      <c r="C51" s="134" t="s">
        <v>576</v>
      </c>
      <c r="D51" s="191">
        <v>80272.955000000002</v>
      </c>
      <c r="E51" s="135">
        <v>66</v>
      </c>
      <c r="F51" s="136">
        <f>69-6</f>
        <v>63</v>
      </c>
      <c r="G51" s="187">
        <f t="shared" si="20"/>
        <v>-3</v>
      </c>
      <c r="H51" s="190">
        <f t="shared" si="21"/>
        <v>-240818.86499999999</v>
      </c>
      <c r="I51" s="194" t="s">
        <v>41</v>
      </c>
      <c r="J51" s="194" t="s">
        <v>41</v>
      </c>
      <c r="K51" s="189" t="s">
        <v>756</v>
      </c>
      <c r="L51" s="189" t="s">
        <v>134</v>
      </c>
      <c r="M51" s="189"/>
      <c r="N51" s="189">
        <f t="shared" si="16"/>
        <v>0</v>
      </c>
      <c r="O51" s="238">
        <f t="shared" si="17"/>
        <v>-3</v>
      </c>
      <c r="P51" s="188" t="s">
        <v>257</v>
      </c>
      <c r="Q51" s="136"/>
      <c r="R51" s="136"/>
      <c r="S51" s="187">
        <f t="shared" si="22"/>
        <v>0</v>
      </c>
      <c r="T51" s="186">
        <f t="shared" si="15"/>
        <v>-3</v>
      </c>
      <c r="U51" s="185" t="s">
        <v>243</v>
      </c>
      <c r="V51" s="184">
        <f t="shared" si="13"/>
        <v>-3</v>
      </c>
      <c r="W51" s="184" t="str">
        <f t="shared" si="14"/>
        <v>0</v>
      </c>
      <c r="X51" s="184">
        <f t="shared" si="11"/>
        <v>0</v>
      </c>
      <c r="Y51" s="183">
        <f t="shared" si="18"/>
        <v>-240818.86499999999</v>
      </c>
      <c r="Z51" s="183">
        <f t="shared" si="19"/>
        <v>5298015.03</v>
      </c>
      <c r="AA51" s="182">
        <f t="shared" si="23"/>
        <v>2.8842171677520689E-2</v>
      </c>
      <c r="AB51" s="181">
        <f t="shared" si="12"/>
        <v>0.5149064157225316</v>
      </c>
      <c r="AC51" s="30"/>
    </row>
    <row r="52" spans="1:29" hidden="1" x14ac:dyDescent="0.35">
      <c r="A52" s="134" t="s">
        <v>514</v>
      </c>
      <c r="B52" s="134" t="s">
        <v>515</v>
      </c>
      <c r="C52" s="134" t="s">
        <v>510</v>
      </c>
      <c r="D52" s="191">
        <v>69053.285000000003</v>
      </c>
      <c r="E52" s="135">
        <v>13</v>
      </c>
      <c r="F52" s="136">
        <f>12+1</f>
        <v>13</v>
      </c>
      <c r="G52" s="187">
        <f t="shared" si="20"/>
        <v>0</v>
      </c>
      <c r="H52" s="190">
        <f t="shared" si="21"/>
        <v>0</v>
      </c>
      <c r="I52" s="194" t="s">
        <v>41</v>
      </c>
      <c r="J52" s="194" t="s">
        <v>41</v>
      </c>
      <c r="K52" s="189" t="s">
        <v>134</v>
      </c>
      <c r="L52" s="189" t="s">
        <v>134</v>
      </c>
      <c r="M52" s="189"/>
      <c r="N52" s="189">
        <f t="shared" si="16"/>
        <v>0</v>
      </c>
      <c r="O52" s="238">
        <f t="shared" si="17"/>
        <v>0</v>
      </c>
      <c r="P52" s="188" t="s">
        <v>134</v>
      </c>
      <c r="Q52" s="136"/>
      <c r="R52" s="136"/>
      <c r="S52" s="187">
        <f t="shared" si="22"/>
        <v>0</v>
      </c>
      <c r="T52" s="186">
        <f t="shared" si="15"/>
        <v>0</v>
      </c>
      <c r="U52" s="185" t="s">
        <v>134</v>
      </c>
      <c r="V52" s="184" t="str">
        <f t="shared" si="13"/>
        <v>0</v>
      </c>
      <c r="W52" s="184" t="str">
        <f t="shared" si="14"/>
        <v>0</v>
      </c>
      <c r="X52" s="184">
        <f t="shared" si="11"/>
        <v>0</v>
      </c>
      <c r="Y52" s="183">
        <f t="shared" si="18"/>
        <v>0</v>
      </c>
      <c r="Z52" s="183">
        <f t="shared" si="19"/>
        <v>897692.70500000007</v>
      </c>
      <c r="AA52" s="182">
        <f t="shared" si="23"/>
        <v>4.8870014457599482E-3</v>
      </c>
      <c r="AB52" s="181">
        <f t="shared" si="12"/>
        <v>0.51979341716829153</v>
      </c>
      <c r="AC52" s="30"/>
    </row>
    <row r="53" spans="1:29" hidden="1" x14ac:dyDescent="0.35">
      <c r="A53" s="134" t="s">
        <v>511</v>
      </c>
      <c r="B53" s="134" t="s">
        <v>512</v>
      </c>
      <c r="C53" s="134" t="s">
        <v>513</v>
      </c>
      <c r="D53" s="191">
        <v>31570.350000000002</v>
      </c>
      <c r="E53" s="135">
        <v>18</v>
      </c>
      <c r="F53" s="136">
        <v>18</v>
      </c>
      <c r="G53" s="187">
        <f t="shared" si="20"/>
        <v>0</v>
      </c>
      <c r="H53" s="190">
        <f t="shared" si="21"/>
        <v>0</v>
      </c>
      <c r="I53" s="194" t="s">
        <v>41</v>
      </c>
      <c r="J53" s="194" t="s">
        <v>41</v>
      </c>
      <c r="K53" s="189" t="s">
        <v>134</v>
      </c>
      <c r="L53" s="189" t="s">
        <v>134</v>
      </c>
      <c r="M53" s="189"/>
      <c r="N53" s="189">
        <f t="shared" si="16"/>
        <v>0</v>
      </c>
      <c r="O53" s="238">
        <f t="shared" si="17"/>
        <v>0</v>
      </c>
      <c r="P53" s="188" t="s">
        <v>134</v>
      </c>
      <c r="Q53" s="136"/>
      <c r="R53" s="136"/>
      <c r="S53" s="187">
        <f t="shared" si="22"/>
        <v>0</v>
      </c>
      <c r="T53" s="186">
        <f t="shared" si="15"/>
        <v>0</v>
      </c>
      <c r="U53" s="185" t="s">
        <v>134</v>
      </c>
      <c r="V53" s="184" t="str">
        <f t="shared" si="13"/>
        <v>0</v>
      </c>
      <c r="W53" s="184" t="str">
        <f t="shared" si="14"/>
        <v>0</v>
      </c>
      <c r="X53" s="184">
        <f t="shared" si="11"/>
        <v>0</v>
      </c>
      <c r="Y53" s="183">
        <f t="shared" si="18"/>
        <v>0</v>
      </c>
      <c r="Z53" s="183">
        <f t="shared" si="19"/>
        <v>568266.30000000005</v>
      </c>
      <c r="AA53" s="182">
        <f t="shared" si="23"/>
        <v>3.0936179097909196E-3</v>
      </c>
      <c r="AB53" s="181">
        <f t="shared" si="12"/>
        <v>0.52288703507808243</v>
      </c>
      <c r="AC53" s="30"/>
    </row>
    <row r="54" spans="1:29" hidden="1" x14ac:dyDescent="0.35">
      <c r="A54" s="134" t="s">
        <v>363</v>
      </c>
      <c r="B54" s="134" t="s">
        <v>364</v>
      </c>
      <c r="C54" s="134" t="s">
        <v>365</v>
      </c>
      <c r="D54" s="191">
        <v>107733.38099999998</v>
      </c>
      <c r="E54" s="135">
        <v>29</v>
      </c>
      <c r="F54" s="136">
        <v>29</v>
      </c>
      <c r="G54" s="187">
        <f t="shared" si="20"/>
        <v>0</v>
      </c>
      <c r="H54" s="190">
        <f t="shared" si="21"/>
        <v>0</v>
      </c>
      <c r="I54" s="194" t="s">
        <v>41</v>
      </c>
      <c r="J54" s="194" t="s">
        <v>41</v>
      </c>
      <c r="K54" s="189" t="s">
        <v>134</v>
      </c>
      <c r="L54" s="189" t="s">
        <v>134</v>
      </c>
      <c r="M54" s="189"/>
      <c r="N54" s="189">
        <f t="shared" si="16"/>
        <v>0</v>
      </c>
      <c r="O54" s="238">
        <f t="shared" si="17"/>
        <v>0</v>
      </c>
      <c r="P54" s="188" t="s">
        <v>134</v>
      </c>
      <c r="Q54" s="136"/>
      <c r="R54" s="136"/>
      <c r="S54" s="187">
        <f t="shared" si="22"/>
        <v>0</v>
      </c>
      <c r="T54" s="186">
        <f t="shared" si="15"/>
        <v>0</v>
      </c>
      <c r="U54" s="185" t="s">
        <v>134</v>
      </c>
      <c r="V54" s="184" t="str">
        <f t="shared" si="13"/>
        <v>0</v>
      </c>
      <c r="W54" s="184" t="str">
        <f t="shared" si="14"/>
        <v>0</v>
      </c>
      <c r="X54" s="184">
        <f t="shared" si="11"/>
        <v>0</v>
      </c>
      <c r="Y54" s="183">
        <f t="shared" si="18"/>
        <v>0</v>
      </c>
      <c r="Z54" s="183">
        <f t="shared" si="19"/>
        <v>3124268.0489999992</v>
      </c>
      <c r="AA54" s="182">
        <f t="shared" si="23"/>
        <v>1.7008384258179538E-2</v>
      </c>
      <c r="AB54" s="181">
        <f t="shared" si="12"/>
        <v>0.53989541933626195</v>
      </c>
      <c r="AC54" s="30"/>
    </row>
    <row r="55" spans="1:29" hidden="1" x14ac:dyDescent="0.35">
      <c r="A55" s="134" t="s">
        <v>495</v>
      </c>
      <c r="B55" s="134" t="s">
        <v>496</v>
      </c>
      <c r="C55" s="134" t="s">
        <v>497</v>
      </c>
      <c r="D55" s="191">
        <v>796230.86199999985</v>
      </c>
      <c r="E55" s="135">
        <v>5</v>
      </c>
      <c r="F55" s="136">
        <f>6-1</f>
        <v>5</v>
      </c>
      <c r="G55" s="187">
        <f t="shared" si="20"/>
        <v>0</v>
      </c>
      <c r="H55" s="190">
        <f t="shared" si="21"/>
        <v>0</v>
      </c>
      <c r="I55" s="194" t="s">
        <v>41</v>
      </c>
      <c r="J55" s="194" t="s">
        <v>41</v>
      </c>
      <c r="K55" s="189" t="s">
        <v>134</v>
      </c>
      <c r="L55" s="189" t="s">
        <v>134</v>
      </c>
      <c r="M55" s="189"/>
      <c r="N55" s="189">
        <f t="shared" si="16"/>
        <v>0</v>
      </c>
      <c r="O55" s="238">
        <f t="shared" si="17"/>
        <v>0</v>
      </c>
      <c r="P55" s="188" t="s">
        <v>134</v>
      </c>
      <c r="Q55" s="136"/>
      <c r="R55" s="136"/>
      <c r="S55" s="187">
        <f t="shared" si="22"/>
        <v>0</v>
      </c>
      <c r="T55" s="186">
        <f t="shared" si="15"/>
        <v>0</v>
      </c>
      <c r="U55" s="185" t="s">
        <v>134</v>
      </c>
      <c r="V55" s="184" t="str">
        <f t="shared" si="13"/>
        <v>0</v>
      </c>
      <c r="W55" s="184" t="str">
        <f t="shared" si="14"/>
        <v>0</v>
      </c>
      <c r="X55" s="184">
        <f t="shared" si="11"/>
        <v>0</v>
      </c>
      <c r="Y55" s="183">
        <f t="shared" si="18"/>
        <v>0</v>
      </c>
      <c r="Z55" s="183">
        <f t="shared" si="19"/>
        <v>3981154.3099999991</v>
      </c>
      <c r="AA55" s="182">
        <f t="shared" si="23"/>
        <v>2.1673237133817906E-2</v>
      </c>
      <c r="AB55" s="181">
        <f t="shared" si="12"/>
        <v>0.56156865647007981</v>
      </c>
      <c r="AC55" s="30"/>
    </row>
    <row r="56" spans="1:29" hidden="1" x14ac:dyDescent="0.35">
      <c r="A56" s="134" t="s">
        <v>689</v>
      </c>
      <c r="B56" s="134" t="s">
        <v>690</v>
      </c>
      <c r="C56" s="134" t="s">
        <v>677</v>
      </c>
      <c r="D56" s="191">
        <v>44959.565000000002</v>
      </c>
      <c r="E56" s="135">
        <v>2</v>
      </c>
      <c r="F56" s="136">
        <v>2</v>
      </c>
      <c r="G56" s="187">
        <f t="shared" si="20"/>
        <v>0</v>
      </c>
      <c r="H56" s="190">
        <f t="shared" si="21"/>
        <v>0</v>
      </c>
      <c r="I56" s="194" t="s">
        <v>41</v>
      </c>
      <c r="J56" s="194" t="s">
        <v>41</v>
      </c>
      <c r="K56" s="189" t="s">
        <v>134</v>
      </c>
      <c r="L56" s="189" t="s">
        <v>134</v>
      </c>
      <c r="M56" s="189"/>
      <c r="N56" s="189">
        <f t="shared" si="16"/>
        <v>0</v>
      </c>
      <c r="O56" s="238">
        <f t="shared" si="17"/>
        <v>0</v>
      </c>
      <c r="P56" s="188" t="s">
        <v>134</v>
      </c>
      <c r="Q56" s="136"/>
      <c r="R56" s="136"/>
      <c r="S56" s="187">
        <f t="shared" si="22"/>
        <v>0</v>
      </c>
      <c r="T56" s="186">
        <f t="shared" si="15"/>
        <v>0</v>
      </c>
      <c r="U56" s="185" t="s">
        <v>134</v>
      </c>
      <c r="V56" s="184" t="str">
        <f t="shared" si="13"/>
        <v>0</v>
      </c>
      <c r="W56" s="184" t="str">
        <f t="shared" si="14"/>
        <v>0</v>
      </c>
      <c r="X56" s="184">
        <f t="shared" si="11"/>
        <v>0</v>
      </c>
      <c r="Y56" s="183">
        <f t="shared" si="18"/>
        <v>0</v>
      </c>
      <c r="Z56" s="183">
        <f t="shared" si="19"/>
        <v>89919.13</v>
      </c>
      <c r="AA56" s="182">
        <f t="shared" si="23"/>
        <v>4.8951597341038511E-4</v>
      </c>
      <c r="AB56" s="181">
        <f t="shared" si="12"/>
        <v>0.56205817244349021</v>
      </c>
      <c r="AC56" s="30"/>
    </row>
    <row r="57" spans="1:29" hidden="1" x14ac:dyDescent="0.35">
      <c r="A57" s="134" t="s">
        <v>661</v>
      </c>
      <c r="B57" s="134" t="s">
        <v>662</v>
      </c>
      <c r="C57" s="134" t="s">
        <v>663</v>
      </c>
      <c r="D57" s="191">
        <v>119584.815</v>
      </c>
      <c r="E57" s="135">
        <v>1</v>
      </c>
      <c r="F57" s="136">
        <v>1</v>
      </c>
      <c r="G57" s="187">
        <f t="shared" si="20"/>
        <v>0</v>
      </c>
      <c r="H57" s="190">
        <f t="shared" si="21"/>
        <v>0</v>
      </c>
      <c r="I57" s="194" t="s">
        <v>41</v>
      </c>
      <c r="J57" s="194" t="s">
        <v>41</v>
      </c>
      <c r="K57" s="189" t="s">
        <v>134</v>
      </c>
      <c r="L57" s="189" t="s">
        <v>134</v>
      </c>
      <c r="M57" s="189"/>
      <c r="N57" s="189">
        <f t="shared" si="16"/>
        <v>0</v>
      </c>
      <c r="O57" s="238">
        <f t="shared" si="17"/>
        <v>0</v>
      </c>
      <c r="P57" s="188" t="s">
        <v>134</v>
      </c>
      <c r="Q57" s="136"/>
      <c r="R57" s="136"/>
      <c r="S57" s="187">
        <f t="shared" si="22"/>
        <v>0</v>
      </c>
      <c r="T57" s="186">
        <f t="shared" si="15"/>
        <v>0</v>
      </c>
      <c r="U57" s="185" t="s">
        <v>134</v>
      </c>
      <c r="V57" s="184" t="str">
        <f t="shared" si="13"/>
        <v>0</v>
      </c>
      <c r="W57" s="184" t="str">
        <f t="shared" si="14"/>
        <v>0</v>
      </c>
      <c r="X57" s="184">
        <f t="shared" si="11"/>
        <v>0</v>
      </c>
      <c r="Y57" s="183">
        <f t="shared" si="18"/>
        <v>0</v>
      </c>
      <c r="Z57" s="183">
        <f t="shared" si="19"/>
        <v>119584.815</v>
      </c>
      <c r="AA57" s="182">
        <f t="shared" si="23"/>
        <v>6.5101471866805009E-4</v>
      </c>
      <c r="AB57" s="181">
        <f t="shared" si="12"/>
        <v>0.56270918716215823</v>
      </c>
      <c r="AC57" s="30"/>
    </row>
    <row r="58" spans="1:29" hidden="1" x14ac:dyDescent="0.35">
      <c r="A58" s="134" t="s">
        <v>535</v>
      </c>
      <c r="B58" s="134" t="s">
        <v>536</v>
      </c>
      <c r="C58" s="134" t="s">
        <v>537</v>
      </c>
      <c r="D58" s="191">
        <v>118017.046</v>
      </c>
      <c r="E58" s="135">
        <v>6</v>
      </c>
      <c r="F58" s="136">
        <v>8</v>
      </c>
      <c r="G58" s="187">
        <f t="shared" si="20"/>
        <v>2</v>
      </c>
      <c r="H58" s="190">
        <f t="shared" si="21"/>
        <v>236034.092</v>
      </c>
      <c r="I58" s="194" t="s">
        <v>41</v>
      </c>
      <c r="J58" s="194" t="s">
        <v>41</v>
      </c>
      <c r="K58" s="189" t="s">
        <v>757</v>
      </c>
      <c r="L58" s="189" t="s">
        <v>134</v>
      </c>
      <c r="M58" s="189"/>
      <c r="N58" s="189">
        <f t="shared" si="16"/>
        <v>0</v>
      </c>
      <c r="O58" s="238">
        <f t="shared" si="17"/>
        <v>2</v>
      </c>
      <c r="P58" s="188" t="s">
        <v>245</v>
      </c>
      <c r="Q58" s="136">
        <v>6</v>
      </c>
      <c r="R58" s="136">
        <v>8</v>
      </c>
      <c r="S58" s="187">
        <f t="shared" si="22"/>
        <v>2</v>
      </c>
      <c r="T58" s="186">
        <f t="shared" si="15"/>
        <v>2</v>
      </c>
      <c r="U58" s="185" t="s">
        <v>774</v>
      </c>
      <c r="V58" s="184" t="str">
        <f t="shared" si="13"/>
        <v>0</v>
      </c>
      <c r="W58" s="184" t="str">
        <f t="shared" si="14"/>
        <v>0</v>
      </c>
      <c r="X58" s="184">
        <f t="shared" si="11"/>
        <v>2</v>
      </c>
      <c r="Y58" s="183">
        <f t="shared" si="18"/>
        <v>0</v>
      </c>
      <c r="Z58" s="183">
        <f t="shared" si="19"/>
        <v>708102.27600000007</v>
      </c>
      <c r="AA58" s="182">
        <f t="shared" si="23"/>
        <v>3.8548790998116779E-3</v>
      </c>
      <c r="AB58" s="181">
        <f t="shared" si="12"/>
        <v>0.56656406626196987</v>
      </c>
      <c r="AC58" s="30"/>
    </row>
    <row r="59" spans="1:29" hidden="1" x14ac:dyDescent="0.35">
      <c r="A59" s="134" t="s">
        <v>538</v>
      </c>
      <c r="B59" s="134" t="s">
        <v>539</v>
      </c>
      <c r="C59" s="134" t="s">
        <v>537</v>
      </c>
      <c r="D59" s="191">
        <v>126300.47500000001</v>
      </c>
      <c r="E59" s="135">
        <v>2</v>
      </c>
      <c r="F59" s="136">
        <v>0</v>
      </c>
      <c r="G59" s="187">
        <f>+F59-E59</f>
        <v>-2</v>
      </c>
      <c r="H59" s="190">
        <f>+D59*G59</f>
        <v>-252600.95</v>
      </c>
      <c r="I59" s="194" t="s">
        <v>41</v>
      </c>
      <c r="J59" s="194" t="s">
        <v>41</v>
      </c>
      <c r="K59" s="189" t="s">
        <v>757</v>
      </c>
      <c r="L59" s="189" t="s">
        <v>134</v>
      </c>
      <c r="M59" s="189"/>
      <c r="N59" s="189">
        <f t="shared" si="16"/>
        <v>0</v>
      </c>
      <c r="O59" s="238">
        <f t="shared" si="17"/>
        <v>-2</v>
      </c>
      <c r="P59" s="188" t="s">
        <v>245</v>
      </c>
      <c r="Q59" s="136">
        <v>20</v>
      </c>
      <c r="R59" s="136">
        <f>12+6</f>
        <v>18</v>
      </c>
      <c r="S59" s="187">
        <f>+R59-Q59</f>
        <v>-2</v>
      </c>
      <c r="T59" s="186">
        <f t="shared" si="15"/>
        <v>-2</v>
      </c>
      <c r="U59" s="185" t="s">
        <v>774</v>
      </c>
      <c r="V59" s="184" t="str">
        <f t="shared" si="13"/>
        <v>0</v>
      </c>
      <c r="W59" s="184" t="str">
        <f t="shared" si="14"/>
        <v>0</v>
      </c>
      <c r="X59" s="184">
        <f t="shared" si="11"/>
        <v>-2</v>
      </c>
      <c r="Y59" s="183">
        <f t="shared" si="18"/>
        <v>0</v>
      </c>
      <c r="Z59" s="183">
        <f t="shared" si="19"/>
        <v>252600.95</v>
      </c>
      <c r="AA59" s="182">
        <f>+Z59/$Z$3</f>
        <v>1.3751489802407788E-3</v>
      </c>
      <c r="AB59" s="181">
        <f t="shared" si="12"/>
        <v>0.56793921524221069</v>
      </c>
      <c r="AC59" s="30"/>
    </row>
    <row r="60" spans="1:29" hidden="1" x14ac:dyDescent="0.35">
      <c r="A60" s="134" t="s">
        <v>439</v>
      </c>
      <c r="B60" s="134" t="s">
        <v>440</v>
      </c>
      <c r="C60" s="134" t="s">
        <v>422</v>
      </c>
      <c r="D60" s="191">
        <v>154143.73800000001</v>
      </c>
      <c r="E60" s="135">
        <v>7</v>
      </c>
      <c r="F60" s="136">
        <v>7</v>
      </c>
      <c r="G60" s="187">
        <f t="shared" si="20"/>
        <v>0</v>
      </c>
      <c r="H60" s="190">
        <f t="shared" si="21"/>
        <v>0</v>
      </c>
      <c r="I60" s="194" t="s">
        <v>41</v>
      </c>
      <c r="J60" s="194" t="s">
        <v>41</v>
      </c>
      <c r="K60" s="189" t="s">
        <v>134</v>
      </c>
      <c r="L60" s="189" t="s">
        <v>134</v>
      </c>
      <c r="M60" s="189"/>
      <c r="N60" s="189">
        <f t="shared" si="16"/>
        <v>0</v>
      </c>
      <c r="O60" s="238">
        <f t="shared" si="17"/>
        <v>0</v>
      </c>
      <c r="P60" s="188" t="s">
        <v>134</v>
      </c>
      <c r="Q60" s="136"/>
      <c r="R60" s="136"/>
      <c r="S60" s="187">
        <f t="shared" si="22"/>
        <v>0</v>
      </c>
      <c r="T60" s="186">
        <f t="shared" si="15"/>
        <v>0</v>
      </c>
      <c r="U60" s="185" t="s">
        <v>134</v>
      </c>
      <c r="V60" s="184" t="str">
        <f t="shared" si="13"/>
        <v>0</v>
      </c>
      <c r="W60" s="184" t="str">
        <f t="shared" si="14"/>
        <v>0</v>
      </c>
      <c r="X60" s="184">
        <f t="shared" si="11"/>
        <v>0</v>
      </c>
      <c r="Y60" s="183">
        <f t="shared" si="18"/>
        <v>0</v>
      </c>
      <c r="Z60" s="183">
        <f t="shared" si="19"/>
        <v>1079006.1660000002</v>
      </c>
      <c r="AA60" s="182">
        <f t="shared" si="23"/>
        <v>5.8740643249695331E-3</v>
      </c>
      <c r="AB60" s="181">
        <f t="shared" si="12"/>
        <v>0.5738132795671802</v>
      </c>
      <c r="AC60" s="30"/>
    </row>
    <row r="61" spans="1:29" x14ac:dyDescent="0.35">
      <c r="A61" s="134" t="s">
        <v>639</v>
      </c>
      <c r="B61" s="134" t="s">
        <v>640</v>
      </c>
      <c r="C61" s="134" t="s">
        <v>641</v>
      </c>
      <c r="D61" s="191">
        <v>96845.42</v>
      </c>
      <c r="E61" s="135">
        <v>7</v>
      </c>
      <c r="F61" s="136">
        <v>6</v>
      </c>
      <c r="G61" s="187">
        <f t="shared" si="20"/>
        <v>-1</v>
      </c>
      <c r="H61" s="190">
        <f t="shared" si="21"/>
        <v>-96845.42</v>
      </c>
      <c r="I61" s="194" t="s">
        <v>41</v>
      </c>
      <c r="J61" s="194" t="s">
        <v>41</v>
      </c>
      <c r="K61" s="189" t="s">
        <v>758</v>
      </c>
      <c r="L61" s="189" t="s">
        <v>134</v>
      </c>
      <c r="M61" s="189"/>
      <c r="N61" s="189">
        <f t="shared" si="16"/>
        <v>0</v>
      </c>
      <c r="O61" s="238">
        <f t="shared" si="17"/>
        <v>-1</v>
      </c>
      <c r="P61" s="188" t="s">
        <v>245</v>
      </c>
      <c r="Q61" s="136">
        <v>8</v>
      </c>
      <c r="R61" s="136">
        <v>7</v>
      </c>
      <c r="S61" s="187">
        <f t="shared" si="22"/>
        <v>-1</v>
      </c>
      <c r="T61" s="186">
        <f t="shared" si="15"/>
        <v>-1</v>
      </c>
      <c r="U61" s="185" t="s">
        <v>243</v>
      </c>
      <c r="V61" s="184">
        <f t="shared" si="13"/>
        <v>-1</v>
      </c>
      <c r="W61" s="184" t="str">
        <f t="shared" si="14"/>
        <v>0</v>
      </c>
      <c r="X61" s="184">
        <f t="shared" si="11"/>
        <v>0</v>
      </c>
      <c r="Y61" s="183">
        <f t="shared" si="18"/>
        <v>-96845.42</v>
      </c>
      <c r="Z61" s="183">
        <f t="shared" si="19"/>
        <v>677917.94</v>
      </c>
      <c r="AA61" s="182">
        <f t="shared" si="23"/>
        <v>3.6905568402570512E-3</v>
      </c>
      <c r="AB61" s="181">
        <f t="shared" si="12"/>
        <v>0.5775038364074373</v>
      </c>
      <c r="AC61" s="30"/>
    </row>
    <row r="62" spans="1:29" x14ac:dyDescent="0.35">
      <c r="A62" s="134" t="s">
        <v>530</v>
      </c>
      <c r="B62" s="134" t="s">
        <v>531</v>
      </c>
      <c r="C62" s="134" t="s">
        <v>525</v>
      </c>
      <c r="D62" s="191">
        <v>117864.45300000001</v>
      </c>
      <c r="E62" s="135">
        <v>18</v>
      </c>
      <c r="F62" s="193">
        <f>10+8+2</f>
        <v>20</v>
      </c>
      <c r="G62" s="187">
        <f t="shared" si="20"/>
        <v>2</v>
      </c>
      <c r="H62" s="190">
        <f t="shared" si="21"/>
        <v>235728.90600000002</v>
      </c>
      <c r="I62" s="194" t="s">
        <v>41</v>
      </c>
      <c r="J62" s="194" t="s">
        <v>41</v>
      </c>
      <c r="K62" s="189" t="s">
        <v>759</v>
      </c>
      <c r="L62" s="189" t="s">
        <v>134</v>
      </c>
      <c r="M62" s="189"/>
      <c r="N62" s="189">
        <f t="shared" si="16"/>
        <v>0</v>
      </c>
      <c r="O62" s="238">
        <f t="shared" si="17"/>
        <v>2</v>
      </c>
      <c r="P62" s="188" t="s">
        <v>245</v>
      </c>
      <c r="Q62" s="136">
        <v>18</v>
      </c>
      <c r="R62" s="136">
        <v>19</v>
      </c>
      <c r="S62" s="187">
        <f t="shared" si="22"/>
        <v>1</v>
      </c>
      <c r="T62" s="186">
        <f t="shared" si="15"/>
        <v>1</v>
      </c>
      <c r="U62" s="185" t="s">
        <v>244</v>
      </c>
      <c r="V62" s="184" t="str">
        <f t="shared" si="13"/>
        <v>0</v>
      </c>
      <c r="W62" s="184">
        <f t="shared" si="14"/>
        <v>1</v>
      </c>
      <c r="X62" s="184">
        <f t="shared" si="11"/>
        <v>0</v>
      </c>
      <c r="Y62" s="183">
        <f t="shared" si="18"/>
        <v>117864.45300000001</v>
      </c>
      <c r="Z62" s="183">
        <f t="shared" si="19"/>
        <v>2121560.1540000001</v>
      </c>
      <c r="AA62" s="182">
        <f t="shared" si="23"/>
        <v>1.1549684521347088E-2</v>
      </c>
      <c r="AB62" s="181">
        <f t="shared" si="12"/>
        <v>0.58905352092878438</v>
      </c>
      <c r="AC62" s="30"/>
    </row>
    <row r="63" spans="1:29" hidden="1" x14ac:dyDescent="0.35">
      <c r="A63" s="134" t="s">
        <v>372</v>
      </c>
      <c r="B63" s="134" t="s">
        <v>373</v>
      </c>
      <c r="C63" s="134" t="s">
        <v>374</v>
      </c>
      <c r="D63" s="191">
        <v>114421.65699999999</v>
      </c>
      <c r="E63" s="135">
        <v>12</v>
      </c>
      <c r="F63" s="136">
        <v>12</v>
      </c>
      <c r="G63" s="187">
        <f t="shared" si="20"/>
        <v>0</v>
      </c>
      <c r="H63" s="190">
        <f t="shared" si="21"/>
        <v>0</v>
      </c>
      <c r="I63" s="194" t="s">
        <v>41</v>
      </c>
      <c r="J63" s="194" t="s">
        <v>41</v>
      </c>
      <c r="K63" s="189" t="s">
        <v>134</v>
      </c>
      <c r="L63" s="189" t="s">
        <v>134</v>
      </c>
      <c r="M63" s="189"/>
      <c r="N63" s="189">
        <f t="shared" si="16"/>
        <v>0</v>
      </c>
      <c r="O63" s="238">
        <f t="shared" si="17"/>
        <v>0</v>
      </c>
      <c r="P63" s="188" t="s">
        <v>134</v>
      </c>
      <c r="Q63" s="136"/>
      <c r="R63" s="136"/>
      <c r="S63" s="187">
        <f t="shared" si="22"/>
        <v>0</v>
      </c>
      <c r="T63" s="186">
        <f t="shared" si="15"/>
        <v>0</v>
      </c>
      <c r="U63" s="185" t="s">
        <v>134</v>
      </c>
      <c r="V63" s="184" t="str">
        <f t="shared" si="13"/>
        <v>0</v>
      </c>
      <c r="W63" s="184" t="str">
        <f t="shared" si="14"/>
        <v>0</v>
      </c>
      <c r="X63" s="184">
        <f t="shared" si="11"/>
        <v>0</v>
      </c>
      <c r="Y63" s="183">
        <f t="shared" si="18"/>
        <v>0</v>
      </c>
      <c r="Z63" s="183">
        <f t="shared" si="19"/>
        <v>1373059.8839999998</v>
      </c>
      <c r="AA63" s="182">
        <f t="shared" si="23"/>
        <v>7.47488043608752E-3</v>
      </c>
      <c r="AB63" s="181">
        <f t="shared" si="12"/>
        <v>0.59652840136487195</v>
      </c>
      <c r="AC63" s="30"/>
    </row>
    <row r="64" spans="1:29" hidden="1" x14ac:dyDescent="0.35">
      <c r="A64" s="134" t="s">
        <v>375</v>
      </c>
      <c r="B64" s="134" t="s">
        <v>376</v>
      </c>
      <c r="C64" s="134" t="s">
        <v>377</v>
      </c>
      <c r="D64" s="191">
        <v>97727.413000000015</v>
      </c>
      <c r="E64" s="135">
        <v>9</v>
      </c>
      <c r="F64" s="193">
        <v>9</v>
      </c>
      <c r="G64" s="187">
        <f t="shared" si="20"/>
        <v>0</v>
      </c>
      <c r="H64" s="190">
        <f t="shared" si="21"/>
        <v>0</v>
      </c>
      <c r="I64" s="194" t="s">
        <v>41</v>
      </c>
      <c r="J64" s="194" t="s">
        <v>41</v>
      </c>
      <c r="K64" s="189" t="s">
        <v>134</v>
      </c>
      <c r="L64" s="189" t="s">
        <v>134</v>
      </c>
      <c r="M64" s="189"/>
      <c r="N64" s="189">
        <f t="shared" si="16"/>
        <v>0</v>
      </c>
      <c r="O64" s="238">
        <f t="shared" si="17"/>
        <v>0</v>
      </c>
      <c r="P64" s="188" t="s">
        <v>134</v>
      </c>
      <c r="Q64" s="136"/>
      <c r="R64" s="136"/>
      <c r="S64" s="187">
        <f t="shared" si="22"/>
        <v>0</v>
      </c>
      <c r="T64" s="186">
        <f t="shared" si="15"/>
        <v>0</v>
      </c>
      <c r="U64" s="185" t="s">
        <v>134</v>
      </c>
      <c r="V64" s="184" t="str">
        <f t="shared" si="13"/>
        <v>0</v>
      </c>
      <c r="W64" s="184" t="str">
        <f t="shared" si="14"/>
        <v>0</v>
      </c>
      <c r="X64" s="184">
        <f t="shared" si="11"/>
        <v>0</v>
      </c>
      <c r="Y64" s="183">
        <f t="shared" si="18"/>
        <v>0</v>
      </c>
      <c r="Z64" s="183">
        <f t="shared" si="19"/>
        <v>879546.71700000018</v>
      </c>
      <c r="AA64" s="182">
        <f t="shared" si="23"/>
        <v>4.7882154479493254E-3</v>
      </c>
      <c r="AB64" s="181">
        <f t="shared" si="12"/>
        <v>0.60131661681282123</v>
      </c>
      <c r="AC64" s="30"/>
    </row>
    <row r="65" spans="1:29" x14ac:dyDescent="0.35">
      <c r="A65" s="134" t="s">
        <v>399</v>
      </c>
      <c r="B65" s="134" t="s">
        <v>400</v>
      </c>
      <c r="C65" s="134" t="s">
        <v>401</v>
      </c>
      <c r="D65" s="191">
        <v>224915.11000000002</v>
      </c>
      <c r="E65" s="135">
        <v>55</v>
      </c>
      <c r="F65" s="136">
        <f>35+19</f>
        <v>54</v>
      </c>
      <c r="G65" s="187">
        <f t="shared" si="20"/>
        <v>-1</v>
      </c>
      <c r="H65" s="190">
        <f t="shared" si="21"/>
        <v>-224915.11000000002</v>
      </c>
      <c r="I65" s="194" t="s">
        <v>41</v>
      </c>
      <c r="J65" s="194" t="s">
        <v>41</v>
      </c>
      <c r="K65" s="189" t="s">
        <v>760</v>
      </c>
      <c r="L65" s="189" t="s">
        <v>134</v>
      </c>
      <c r="M65" s="189"/>
      <c r="N65" s="189">
        <f t="shared" si="16"/>
        <v>0</v>
      </c>
      <c r="O65" s="238">
        <f t="shared" si="17"/>
        <v>-1</v>
      </c>
      <c r="P65" s="188" t="s">
        <v>245</v>
      </c>
      <c r="Q65" s="136">
        <v>59</v>
      </c>
      <c r="R65" s="136">
        <v>59</v>
      </c>
      <c r="S65" s="187">
        <f t="shared" si="22"/>
        <v>0</v>
      </c>
      <c r="T65" s="186">
        <v>0</v>
      </c>
      <c r="U65" s="185" t="s">
        <v>770</v>
      </c>
      <c r="V65" s="184" t="str">
        <f t="shared" si="13"/>
        <v>0</v>
      </c>
      <c r="W65" s="184" t="str">
        <f t="shared" si="14"/>
        <v>0</v>
      </c>
      <c r="X65" s="184">
        <f t="shared" si="11"/>
        <v>0</v>
      </c>
      <c r="Y65" s="183">
        <f t="shared" si="18"/>
        <v>0</v>
      </c>
      <c r="Z65" s="183">
        <f t="shared" si="19"/>
        <v>12370331.050000001</v>
      </c>
      <c r="AA65" s="182">
        <f t="shared" si="23"/>
        <v>6.7343563548151117E-2</v>
      </c>
      <c r="AB65" s="181">
        <f t="shared" si="12"/>
        <v>0.6686601803609723</v>
      </c>
      <c r="AC65" s="30"/>
    </row>
    <row r="66" spans="1:29" hidden="1" x14ac:dyDescent="0.35">
      <c r="A66" s="134" t="s">
        <v>736</v>
      </c>
      <c r="B66" s="134" t="s">
        <v>737</v>
      </c>
      <c r="C66" s="134" t="s">
        <v>738</v>
      </c>
      <c r="D66" s="191">
        <v>2976.8147999999997</v>
      </c>
      <c r="E66" s="135">
        <v>42</v>
      </c>
      <c r="F66" s="136">
        <v>42</v>
      </c>
      <c r="G66" s="187">
        <f t="shared" si="20"/>
        <v>0</v>
      </c>
      <c r="H66" s="190">
        <f t="shared" si="21"/>
        <v>0</v>
      </c>
      <c r="I66" s="194" t="s">
        <v>41</v>
      </c>
      <c r="J66" s="194" t="s">
        <v>41</v>
      </c>
      <c r="K66" s="189" t="s">
        <v>134</v>
      </c>
      <c r="L66" s="189" t="s">
        <v>134</v>
      </c>
      <c r="M66" s="189"/>
      <c r="N66" s="189">
        <f t="shared" si="16"/>
        <v>0</v>
      </c>
      <c r="O66" s="238">
        <f t="shared" si="17"/>
        <v>0</v>
      </c>
      <c r="P66" s="188" t="s">
        <v>134</v>
      </c>
      <c r="Q66" s="136"/>
      <c r="R66" s="136"/>
      <c r="S66" s="187">
        <f t="shared" si="22"/>
        <v>0</v>
      </c>
      <c r="T66" s="186">
        <f t="shared" ref="T66:T90" si="24">IF(G66=0,0,IF(P66="Recontar",S66,IF(P66="Ajustar",O66,IF(P66="Canje",G66))))</f>
        <v>0</v>
      </c>
      <c r="U66" s="185" t="s">
        <v>134</v>
      </c>
      <c r="V66" s="184" t="str">
        <f t="shared" si="13"/>
        <v>0</v>
      </c>
      <c r="W66" s="184" t="str">
        <f t="shared" si="14"/>
        <v>0</v>
      </c>
      <c r="X66" s="184">
        <f t="shared" si="11"/>
        <v>0</v>
      </c>
      <c r="Y66" s="183">
        <f t="shared" si="18"/>
        <v>0</v>
      </c>
      <c r="Z66" s="183">
        <f t="shared" si="19"/>
        <v>125026.22159999999</v>
      </c>
      <c r="AA66" s="182">
        <f t="shared" si="23"/>
        <v>6.8063750804024138E-4</v>
      </c>
      <c r="AB66" s="181">
        <f t="shared" si="12"/>
        <v>0.66934081786901256</v>
      </c>
      <c r="AC66" s="30"/>
    </row>
    <row r="67" spans="1:29" x14ac:dyDescent="0.35">
      <c r="A67" s="134" t="s">
        <v>696</v>
      </c>
      <c r="B67" s="134" t="s">
        <v>697</v>
      </c>
      <c r="C67" s="134" t="s">
        <v>698</v>
      </c>
      <c r="D67" s="191">
        <v>1140.328</v>
      </c>
      <c r="E67" s="135">
        <v>1284</v>
      </c>
      <c r="F67" s="136">
        <f>1290+75</f>
        <v>1365</v>
      </c>
      <c r="G67" s="187">
        <f t="shared" si="20"/>
        <v>81</v>
      </c>
      <c r="H67" s="190">
        <f t="shared" si="21"/>
        <v>92366.567999999999</v>
      </c>
      <c r="I67" s="194" t="s">
        <v>41</v>
      </c>
      <c r="J67" s="194" t="s">
        <v>41</v>
      </c>
      <c r="K67" s="189" t="s">
        <v>761</v>
      </c>
      <c r="L67" s="189" t="s">
        <v>134</v>
      </c>
      <c r="M67" s="189"/>
      <c r="N67" s="189">
        <f t="shared" si="16"/>
        <v>0</v>
      </c>
      <c r="O67" s="238">
        <f t="shared" si="17"/>
        <v>81</v>
      </c>
      <c r="P67" s="188" t="s">
        <v>245</v>
      </c>
      <c r="Q67" s="136">
        <v>1623</v>
      </c>
      <c r="R67" s="136">
        <v>1610</v>
      </c>
      <c r="S67" s="187">
        <f t="shared" si="22"/>
        <v>-13</v>
      </c>
      <c r="T67" s="186">
        <f t="shared" si="24"/>
        <v>-13</v>
      </c>
      <c r="U67" s="185" t="s">
        <v>243</v>
      </c>
      <c r="V67" s="184">
        <f t="shared" si="13"/>
        <v>-13</v>
      </c>
      <c r="W67" s="184" t="str">
        <f t="shared" si="14"/>
        <v>0</v>
      </c>
      <c r="X67" s="184">
        <f t="shared" si="11"/>
        <v>0</v>
      </c>
      <c r="Y67" s="183">
        <f t="shared" si="18"/>
        <v>-14824.263999999999</v>
      </c>
      <c r="Z67" s="183">
        <f t="shared" si="19"/>
        <v>1464181.152</v>
      </c>
      <c r="AA67" s="182">
        <f t="shared" si="23"/>
        <v>7.9709407983642525E-3</v>
      </c>
      <c r="AB67" s="181">
        <f t="shared" si="12"/>
        <v>0.67731175866737681</v>
      </c>
      <c r="AC67" s="30"/>
    </row>
    <row r="68" spans="1:29" x14ac:dyDescent="0.35">
      <c r="A68" s="134" t="s">
        <v>699</v>
      </c>
      <c r="B68" s="134" t="s">
        <v>700</v>
      </c>
      <c r="C68" s="134" t="s">
        <v>701</v>
      </c>
      <c r="D68" s="191">
        <v>1177.1200000000001</v>
      </c>
      <c r="E68" s="135">
        <v>1472</v>
      </c>
      <c r="F68" s="136">
        <f>1427+71</f>
        <v>1498</v>
      </c>
      <c r="G68" s="187">
        <f t="shared" si="20"/>
        <v>26</v>
      </c>
      <c r="H68" s="190">
        <f t="shared" si="21"/>
        <v>30605.120000000003</v>
      </c>
      <c r="I68" s="194" t="s">
        <v>41</v>
      </c>
      <c r="J68" s="194" t="s">
        <v>41</v>
      </c>
      <c r="K68" s="189" t="s">
        <v>761</v>
      </c>
      <c r="L68" s="189" t="s">
        <v>134</v>
      </c>
      <c r="M68" s="189"/>
      <c r="N68" s="189">
        <f t="shared" si="16"/>
        <v>0</v>
      </c>
      <c r="O68" s="238">
        <f t="shared" si="17"/>
        <v>26</v>
      </c>
      <c r="P68" s="188" t="s">
        <v>245</v>
      </c>
      <c r="Q68" s="136">
        <v>2082</v>
      </c>
      <c r="R68" s="136">
        <v>2008</v>
      </c>
      <c r="S68" s="187">
        <f t="shared" si="22"/>
        <v>-74</v>
      </c>
      <c r="T68" s="186">
        <f t="shared" si="24"/>
        <v>-74</v>
      </c>
      <c r="U68" s="185" t="s">
        <v>243</v>
      </c>
      <c r="V68" s="184">
        <f t="shared" si="13"/>
        <v>-74</v>
      </c>
      <c r="W68" s="184" t="str">
        <f t="shared" si="14"/>
        <v>0</v>
      </c>
      <c r="X68" s="184">
        <f t="shared" si="11"/>
        <v>0</v>
      </c>
      <c r="Y68" s="183">
        <f t="shared" si="18"/>
        <v>-87106.880000000005</v>
      </c>
      <c r="Z68" s="183">
        <f t="shared" si="19"/>
        <v>1732720.6400000001</v>
      </c>
      <c r="AA68" s="182">
        <f t="shared" si="23"/>
        <v>9.4328585111740464E-3</v>
      </c>
      <c r="AB68" s="181">
        <f t="shared" si="12"/>
        <v>0.68674461717855084</v>
      </c>
      <c r="AC68" s="30"/>
    </row>
    <row r="69" spans="1:29" x14ac:dyDescent="0.35">
      <c r="A69" s="134" t="s">
        <v>630</v>
      </c>
      <c r="B69" s="134" t="s">
        <v>631</v>
      </c>
      <c r="C69" s="134" t="s">
        <v>632</v>
      </c>
      <c r="D69" s="191">
        <v>125850.52900000001</v>
      </c>
      <c r="E69" s="135">
        <v>9</v>
      </c>
      <c r="F69" s="136">
        <v>10</v>
      </c>
      <c r="G69" s="187">
        <f t="shared" si="20"/>
        <v>1</v>
      </c>
      <c r="H69" s="190">
        <f t="shared" si="21"/>
        <v>125850.52900000001</v>
      </c>
      <c r="I69" s="194" t="s">
        <v>41</v>
      </c>
      <c r="J69" s="194" t="s">
        <v>41</v>
      </c>
      <c r="K69" s="189" t="s">
        <v>762</v>
      </c>
      <c r="L69" s="189" t="s">
        <v>134</v>
      </c>
      <c r="M69" s="189"/>
      <c r="N69" s="189">
        <f t="shared" ref="N69:N90" si="25">+SUM(L69:M69)</f>
        <v>0</v>
      </c>
      <c r="O69" s="238">
        <f t="shared" ref="O69:O90" si="26">-E69-N69+F69</f>
        <v>1</v>
      </c>
      <c r="P69" s="188" t="s">
        <v>245</v>
      </c>
      <c r="Q69" s="136">
        <v>9</v>
      </c>
      <c r="R69" s="136">
        <v>10</v>
      </c>
      <c r="S69" s="187">
        <f t="shared" si="22"/>
        <v>1</v>
      </c>
      <c r="T69" s="186">
        <f t="shared" si="24"/>
        <v>1</v>
      </c>
      <c r="U69" s="185" t="s">
        <v>244</v>
      </c>
      <c r="V69" s="184" t="str">
        <f t="shared" si="13"/>
        <v>0</v>
      </c>
      <c r="W69" s="184">
        <f t="shared" si="14"/>
        <v>1</v>
      </c>
      <c r="X69" s="184">
        <f t="shared" si="11"/>
        <v>0</v>
      </c>
      <c r="Y69" s="183">
        <f t="shared" ref="Y69:Y90" si="27">+V69*D69+W69*D69</f>
        <v>125850.52900000001</v>
      </c>
      <c r="Z69" s="183">
        <f t="shared" ref="Z69:Z90" si="28">+E69*D69</f>
        <v>1132654.7610000002</v>
      </c>
      <c r="AA69" s="182">
        <f t="shared" si="23"/>
        <v>6.1661250266636502E-3</v>
      </c>
      <c r="AB69" s="181">
        <f t="shared" si="12"/>
        <v>0.69291074220521454</v>
      </c>
      <c r="AC69" s="30"/>
    </row>
    <row r="70" spans="1:29" hidden="1" x14ac:dyDescent="0.35">
      <c r="A70" s="134" t="s">
        <v>532</v>
      </c>
      <c r="B70" s="134" t="s">
        <v>533</v>
      </c>
      <c r="C70" s="134" t="s">
        <v>534</v>
      </c>
      <c r="D70" s="191">
        <v>118017.046</v>
      </c>
      <c r="E70" s="135">
        <v>18</v>
      </c>
      <c r="F70" s="136">
        <f>10+8</f>
        <v>18</v>
      </c>
      <c r="G70" s="187">
        <f t="shared" si="20"/>
        <v>0</v>
      </c>
      <c r="H70" s="190">
        <f t="shared" si="21"/>
        <v>0</v>
      </c>
      <c r="I70" s="194" t="s">
        <v>41</v>
      </c>
      <c r="J70" s="194" t="s">
        <v>41</v>
      </c>
      <c r="K70" s="189" t="s">
        <v>134</v>
      </c>
      <c r="L70" s="189" t="s">
        <v>134</v>
      </c>
      <c r="M70" s="189"/>
      <c r="N70" s="189">
        <f t="shared" si="25"/>
        <v>0</v>
      </c>
      <c r="O70" s="238">
        <f t="shared" si="26"/>
        <v>0</v>
      </c>
      <c r="P70" s="188" t="s">
        <v>134</v>
      </c>
      <c r="Q70" s="136"/>
      <c r="R70" s="136"/>
      <c r="S70" s="187">
        <f t="shared" si="22"/>
        <v>0</v>
      </c>
      <c r="T70" s="186">
        <f t="shared" si="24"/>
        <v>0</v>
      </c>
      <c r="U70" s="185" t="s">
        <v>134</v>
      </c>
      <c r="V70" s="184" t="str">
        <f t="shared" si="13"/>
        <v>0</v>
      </c>
      <c r="W70" s="184" t="str">
        <f t="shared" si="14"/>
        <v>0</v>
      </c>
      <c r="X70" s="184">
        <f t="shared" ref="X70:X90" si="29">IF(U70=$V$4,0,IF(U70=$W$4,0,IF(U70="-",0,IF(U70="Sin Ajuste",0,T70))))</f>
        <v>0</v>
      </c>
      <c r="Y70" s="183">
        <f t="shared" si="27"/>
        <v>0</v>
      </c>
      <c r="Z70" s="183">
        <f t="shared" si="28"/>
        <v>2124306.8280000002</v>
      </c>
      <c r="AA70" s="182">
        <f t="shared" si="23"/>
        <v>1.1564637299435033E-2</v>
      </c>
      <c r="AB70" s="181">
        <f t="shared" si="12"/>
        <v>0.70447537950464956</v>
      </c>
      <c r="AC70" s="30"/>
    </row>
    <row r="71" spans="1:29" hidden="1" x14ac:dyDescent="0.35">
      <c r="A71" s="134" t="s">
        <v>528</v>
      </c>
      <c r="B71" s="134" t="s">
        <v>529</v>
      </c>
      <c r="C71" s="134" t="s">
        <v>525</v>
      </c>
      <c r="D71" s="191">
        <v>113112.38400000001</v>
      </c>
      <c r="E71" s="135">
        <v>6</v>
      </c>
      <c r="F71" s="136">
        <v>6</v>
      </c>
      <c r="G71" s="187">
        <f t="shared" si="20"/>
        <v>0</v>
      </c>
      <c r="H71" s="190">
        <f t="shared" si="21"/>
        <v>0</v>
      </c>
      <c r="I71" s="194" t="s">
        <v>41</v>
      </c>
      <c r="J71" s="194" t="s">
        <v>41</v>
      </c>
      <c r="K71" s="189" t="s">
        <v>134</v>
      </c>
      <c r="L71" s="189" t="s">
        <v>134</v>
      </c>
      <c r="M71" s="189"/>
      <c r="N71" s="189">
        <f t="shared" si="25"/>
        <v>0</v>
      </c>
      <c r="O71" s="238">
        <f t="shared" si="26"/>
        <v>0</v>
      </c>
      <c r="P71" s="188" t="s">
        <v>134</v>
      </c>
      <c r="Q71" s="136"/>
      <c r="R71" s="136"/>
      <c r="S71" s="187">
        <f t="shared" si="22"/>
        <v>0</v>
      </c>
      <c r="T71" s="186">
        <f t="shared" si="24"/>
        <v>0</v>
      </c>
      <c r="U71" s="185" t="s">
        <v>134</v>
      </c>
      <c r="V71" s="184" t="str">
        <f t="shared" si="13"/>
        <v>0</v>
      </c>
      <c r="W71" s="184" t="str">
        <f t="shared" si="14"/>
        <v>0</v>
      </c>
      <c r="X71" s="184">
        <f t="shared" si="29"/>
        <v>0</v>
      </c>
      <c r="Y71" s="183">
        <f t="shared" si="27"/>
        <v>0</v>
      </c>
      <c r="Z71" s="183">
        <f t="shared" si="28"/>
        <v>678674.304</v>
      </c>
      <c r="AA71" s="182">
        <f t="shared" si="23"/>
        <v>3.6946744541587052E-3</v>
      </c>
      <c r="AB71" s="181">
        <f t="shared" si="12"/>
        <v>0.70817005395880828</v>
      </c>
      <c r="AC71" s="30"/>
    </row>
    <row r="72" spans="1:29" hidden="1" x14ac:dyDescent="0.35">
      <c r="A72" s="134" t="s">
        <v>478</v>
      </c>
      <c r="B72" s="134" t="s">
        <v>479</v>
      </c>
      <c r="C72" s="134" t="s">
        <v>480</v>
      </c>
      <c r="D72" s="191">
        <v>115831.74400000001</v>
      </c>
      <c r="E72" s="135">
        <v>24</v>
      </c>
      <c r="F72" s="136">
        <v>24</v>
      </c>
      <c r="G72" s="187">
        <f t="shared" si="20"/>
        <v>0</v>
      </c>
      <c r="H72" s="190">
        <f t="shared" si="21"/>
        <v>0</v>
      </c>
      <c r="I72" s="194" t="s">
        <v>41</v>
      </c>
      <c r="J72" s="194" t="s">
        <v>41</v>
      </c>
      <c r="K72" s="189" t="s">
        <v>134</v>
      </c>
      <c r="L72" s="189" t="s">
        <v>134</v>
      </c>
      <c r="M72" s="189"/>
      <c r="N72" s="189">
        <f t="shared" si="25"/>
        <v>0</v>
      </c>
      <c r="O72" s="238">
        <f t="shared" si="26"/>
        <v>0</v>
      </c>
      <c r="P72" s="188" t="s">
        <v>134</v>
      </c>
      <c r="Q72" s="136"/>
      <c r="R72" s="136"/>
      <c r="S72" s="187">
        <f t="shared" si="22"/>
        <v>0</v>
      </c>
      <c r="T72" s="186">
        <f t="shared" si="24"/>
        <v>0</v>
      </c>
      <c r="U72" s="185" t="s">
        <v>134</v>
      </c>
      <c r="V72" s="184" t="str">
        <f t="shared" si="13"/>
        <v>0</v>
      </c>
      <c r="W72" s="184" t="str">
        <f t="shared" si="14"/>
        <v>0</v>
      </c>
      <c r="X72" s="184">
        <f t="shared" si="29"/>
        <v>0</v>
      </c>
      <c r="Y72" s="183">
        <f t="shared" si="27"/>
        <v>0</v>
      </c>
      <c r="Z72" s="183">
        <f t="shared" si="28"/>
        <v>2779961.8560000001</v>
      </c>
      <c r="AA72" s="182">
        <f t="shared" si="23"/>
        <v>1.5133995780248106E-2</v>
      </c>
      <c r="AB72" s="181">
        <f t="shared" si="12"/>
        <v>0.72330404973905638</v>
      </c>
      <c r="AC72" s="30"/>
    </row>
    <row r="73" spans="1:29" hidden="1" x14ac:dyDescent="0.35">
      <c r="A73" s="134" t="s">
        <v>714</v>
      </c>
      <c r="B73" s="134" t="s">
        <v>715</v>
      </c>
      <c r="C73" s="134" t="s">
        <v>716</v>
      </c>
      <c r="D73" s="191">
        <v>186885.573</v>
      </c>
      <c r="E73" s="135">
        <v>3</v>
      </c>
      <c r="F73" s="136">
        <v>3</v>
      </c>
      <c r="G73" s="187">
        <f t="shared" si="20"/>
        <v>0</v>
      </c>
      <c r="H73" s="190">
        <f t="shared" si="21"/>
        <v>0</v>
      </c>
      <c r="I73" s="194" t="s">
        <v>41</v>
      </c>
      <c r="J73" s="194" t="s">
        <v>41</v>
      </c>
      <c r="K73" s="189" t="s">
        <v>134</v>
      </c>
      <c r="L73" s="189" t="s">
        <v>134</v>
      </c>
      <c r="M73" s="189"/>
      <c r="N73" s="189">
        <f t="shared" si="25"/>
        <v>0</v>
      </c>
      <c r="O73" s="238">
        <f t="shared" si="26"/>
        <v>0</v>
      </c>
      <c r="P73" s="188" t="s">
        <v>134</v>
      </c>
      <c r="Q73" s="136"/>
      <c r="R73" s="136"/>
      <c r="S73" s="187">
        <f t="shared" si="22"/>
        <v>0</v>
      </c>
      <c r="T73" s="186">
        <f t="shared" si="24"/>
        <v>0</v>
      </c>
      <c r="U73" s="185" t="s">
        <v>134</v>
      </c>
      <c r="V73" s="184" t="str">
        <f t="shared" si="13"/>
        <v>0</v>
      </c>
      <c r="W73" s="184" t="str">
        <f t="shared" si="14"/>
        <v>0</v>
      </c>
      <c r="X73" s="184">
        <f t="shared" si="29"/>
        <v>0</v>
      </c>
      <c r="Y73" s="183">
        <f t="shared" si="27"/>
        <v>0</v>
      </c>
      <c r="Z73" s="183">
        <f t="shared" si="28"/>
        <v>560656.71900000004</v>
      </c>
      <c r="AA73" s="182">
        <f t="shared" si="23"/>
        <v>3.0521916698966925E-3</v>
      </c>
      <c r="AB73" s="181">
        <f t="shared" si="12"/>
        <v>0.72635624140895305</v>
      </c>
      <c r="AC73" s="30"/>
    </row>
    <row r="74" spans="1:29" hidden="1" x14ac:dyDescent="0.35">
      <c r="A74" s="134" t="s">
        <v>568</v>
      </c>
      <c r="B74" s="134" t="s">
        <v>569</v>
      </c>
      <c r="C74" s="134" t="s">
        <v>567</v>
      </c>
      <c r="D74" s="191">
        <v>58221.281999999992</v>
      </c>
      <c r="E74" s="135">
        <v>52</v>
      </c>
      <c r="F74" s="193">
        <f>41+13-2</f>
        <v>52</v>
      </c>
      <c r="G74" s="187">
        <f t="shared" si="20"/>
        <v>0</v>
      </c>
      <c r="H74" s="190">
        <f t="shared" si="21"/>
        <v>0</v>
      </c>
      <c r="I74" s="194" t="s">
        <v>41</v>
      </c>
      <c r="J74" s="194" t="s">
        <v>41</v>
      </c>
      <c r="K74" s="189" t="s">
        <v>134</v>
      </c>
      <c r="L74" s="189" t="s">
        <v>134</v>
      </c>
      <c r="M74" s="189"/>
      <c r="N74" s="189">
        <f t="shared" si="25"/>
        <v>0</v>
      </c>
      <c r="O74" s="238">
        <f t="shared" si="26"/>
        <v>0</v>
      </c>
      <c r="P74" s="188" t="s">
        <v>134</v>
      </c>
      <c r="Q74" s="136"/>
      <c r="R74" s="136"/>
      <c r="S74" s="187">
        <f t="shared" si="22"/>
        <v>0</v>
      </c>
      <c r="T74" s="186">
        <f t="shared" si="24"/>
        <v>0</v>
      </c>
      <c r="U74" s="185" t="s">
        <v>134</v>
      </c>
      <c r="V74" s="184" t="str">
        <f t="shared" si="13"/>
        <v>0</v>
      </c>
      <c r="W74" s="184" t="str">
        <f t="shared" si="14"/>
        <v>0</v>
      </c>
      <c r="X74" s="184">
        <f t="shared" si="29"/>
        <v>0</v>
      </c>
      <c r="Y74" s="183">
        <f t="shared" si="27"/>
        <v>0</v>
      </c>
      <c r="Z74" s="183">
        <f t="shared" si="28"/>
        <v>3027506.6639999994</v>
      </c>
      <c r="AA74" s="182">
        <f t="shared" si="23"/>
        <v>1.6481619335444942E-2</v>
      </c>
      <c r="AB74" s="181">
        <f t="shared" ref="AB74:AB90" si="30">+AB73+AA74</f>
        <v>0.74283786074439795</v>
      </c>
      <c r="AC74" s="30"/>
    </row>
    <row r="75" spans="1:29" hidden="1" x14ac:dyDescent="0.35">
      <c r="A75" s="134" t="s">
        <v>571</v>
      </c>
      <c r="B75" s="134" t="s">
        <v>572</v>
      </c>
      <c r="C75" s="134" t="s">
        <v>570</v>
      </c>
      <c r="D75" s="191">
        <v>55651.554000000004</v>
      </c>
      <c r="E75" s="135">
        <v>31</v>
      </c>
      <c r="F75" s="193">
        <v>31</v>
      </c>
      <c r="G75" s="187">
        <f t="shared" ref="G75:G90" si="31">+F75-E75</f>
        <v>0</v>
      </c>
      <c r="H75" s="190">
        <f t="shared" ref="H75:H90" si="32">+D75*G75</f>
        <v>0</v>
      </c>
      <c r="I75" s="194" t="s">
        <v>41</v>
      </c>
      <c r="J75" s="194" t="s">
        <v>41</v>
      </c>
      <c r="K75" s="189" t="s">
        <v>134</v>
      </c>
      <c r="L75" s="189" t="s">
        <v>134</v>
      </c>
      <c r="M75" s="189"/>
      <c r="N75" s="189">
        <f t="shared" si="25"/>
        <v>0</v>
      </c>
      <c r="O75" s="238">
        <f t="shared" si="26"/>
        <v>0</v>
      </c>
      <c r="P75" s="188" t="s">
        <v>134</v>
      </c>
      <c r="Q75" s="136"/>
      <c r="R75" s="136"/>
      <c r="S75" s="187">
        <f t="shared" ref="S75:S90" si="33">+R75-Q75</f>
        <v>0</v>
      </c>
      <c r="T75" s="186">
        <f t="shared" si="24"/>
        <v>0</v>
      </c>
      <c r="U75" s="185" t="s">
        <v>134</v>
      </c>
      <c r="V75" s="184" t="str">
        <f t="shared" ref="V75:V90" si="34">IF(U75=$V$4,T75,"0")</f>
        <v>0</v>
      </c>
      <c r="W75" s="184" t="str">
        <f t="shared" ref="W75:W90" si="35">IF(U75=$W$4,T75,"0")</f>
        <v>0</v>
      </c>
      <c r="X75" s="184">
        <f t="shared" si="29"/>
        <v>0</v>
      </c>
      <c r="Y75" s="183">
        <f t="shared" si="27"/>
        <v>0</v>
      </c>
      <c r="Z75" s="183">
        <f t="shared" si="28"/>
        <v>1725198.1740000001</v>
      </c>
      <c r="AA75" s="182">
        <f t="shared" ref="AA75:AA90" si="36">+Z75/$Z$3</f>
        <v>9.3919065216870878E-3</v>
      </c>
      <c r="AB75" s="181">
        <f t="shared" si="30"/>
        <v>0.75222976726608504</v>
      </c>
      <c r="AC75" s="30"/>
    </row>
    <row r="76" spans="1:29" hidden="1" x14ac:dyDescent="0.35">
      <c r="A76" s="134" t="s">
        <v>561</v>
      </c>
      <c r="B76" s="134" t="s">
        <v>562</v>
      </c>
      <c r="C76" s="134" t="s">
        <v>563</v>
      </c>
      <c r="D76" s="191">
        <v>129244.087</v>
      </c>
      <c r="E76" s="135">
        <v>19</v>
      </c>
      <c r="F76" s="136">
        <v>19</v>
      </c>
      <c r="G76" s="187">
        <f t="shared" si="31"/>
        <v>0</v>
      </c>
      <c r="H76" s="190">
        <f t="shared" si="32"/>
        <v>0</v>
      </c>
      <c r="I76" s="194" t="s">
        <v>41</v>
      </c>
      <c r="J76" s="194" t="s">
        <v>41</v>
      </c>
      <c r="K76" s="189" t="s">
        <v>134</v>
      </c>
      <c r="L76" s="189" t="s">
        <v>134</v>
      </c>
      <c r="M76" s="189"/>
      <c r="N76" s="189">
        <f t="shared" si="25"/>
        <v>0</v>
      </c>
      <c r="O76" s="238">
        <f t="shared" si="26"/>
        <v>0</v>
      </c>
      <c r="P76" s="188" t="s">
        <v>134</v>
      </c>
      <c r="Q76" s="136"/>
      <c r="R76" s="136"/>
      <c r="S76" s="187">
        <f t="shared" si="33"/>
        <v>0</v>
      </c>
      <c r="T76" s="186">
        <f t="shared" si="24"/>
        <v>0</v>
      </c>
      <c r="U76" s="185" t="s">
        <v>134</v>
      </c>
      <c r="V76" s="184" t="str">
        <f t="shared" si="34"/>
        <v>0</v>
      </c>
      <c r="W76" s="184" t="str">
        <f t="shared" si="35"/>
        <v>0</v>
      </c>
      <c r="X76" s="184">
        <f t="shared" si="29"/>
        <v>0</v>
      </c>
      <c r="Y76" s="183">
        <f t="shared" si="27"/>
        <v>0</v>
      </c>
      <c r="Z76" s="183">
        <f t="shared" si="28"/>
        <v>2455637.6529999999</v>
      </c>
      <c r="AA76" s="182">
        <f t="shared" si="36"/>
        <v>1.3368388418031719E-2</v>
      </c>
      <c r="AB76" s="181">
        <f t="shared" si="30"/>
        <v>0.76559815568411671</v>
      </c>
      <c r="AC76" s="30"/>
    </row>
    <row r="77" spans="1:29" hidden="1" x14ac:dyDescent="0.35">
      <c r="A77" s="134" t="s">
        <v>498</v>
      </c>
      <c r="B77" s="134" t="s">
        <v>499</v>
      </c>
      <c r="C77" s="134" t="s">
        <v>500</v>
      </c>
      <c r="D77" s="191">
        <v>168228.64800000002</v>
      </c>
      <c r="E77" s="135">
        <v>10</v>
      </c>
      <c r="F77" s="136">
        <v>10</v>
      </c>
      <c r="G77" s="187">
        <f t="shared" si="31"/>
        <v>0</v>
      </c>
      <c r="H77" s="190">
        <f t="shared" si="32"/>
        <v>0</v>
      </c>
      <c r="I77" s="194" t="s">
        <v>41</v>
      </c>
      <c r="J77" s="194" t="s">
        <v>41</v>
      </c>
      <c r="K77" s="189" t="s">
        <v>134</v>
      </c>
      <c r="L77" s="189" t="s">
        <v>134</v>
      </c>
      <c r="M77" s="189"/>
      <c r="N77" s="189">
        <f t="shared" si="25"/>
        <v>0</v>
      </c>
      <c r="O77" s="238">
        <f t="shared" si="26"/>
        <v>0</v>
      </c>
      <c r="P77" s="188" t="s">
        <v>134</v>
      </c>
      <c r="Q77" s="136"/>
      <c r="R77" s="136"/>
      <c r="S77" s="187">
        <f t="shared" si="33"/>
        <v>0</v>
      </c>
      <c r="T77" s="186">
        <f t="shared" si="24"/>
        <v>0</v>
      </c>
      <c r="U77" s="185" t="s">
        <v>134</v>
      </c>
      <c r="V77" s="184" t="str">
        <f t="shared" si="34"/>
        <v>0</v>
      </c>
      <c r="W77" s="184" t="str">
        <f t="shared" si="35"/>
        <v>0</v>
      </c>
      <c r="X77" s="184">
        <f t="shared" si="29"/>
        <v>0</v>
      </c>
      <c r="Y77" s="183">
        <f t="shared" si="27"/>
        <v>0</v>
      </c>
      <c r="Z77" s="183">
        <f t="shared" si="28"/>
        <v>1682286.4800000002</v>
      </c>
      <c r="AA77" s="182">
        <f t="shared" si="36"/>
        <v>9.1582970588386537E-3</v>
      </c>
      <c r="AB77" s="181">
        <f t="shared" si="30"/>
        <v>0.77475645274295535</v>
      </c>
      <c r="AC77" s="30"/>
    </row>
    <row r="78" spans="1:29" x14ac:dyDescent="0.35">
      <c r="A78" s="134" t="s">
        <v>485</v>
      </c>
      <c r="B78" s="134" t="s">
        <v>486</v>
      </c>
      <c r="C78" s="134" t="s">
        <v>484</v>
      </c>
      <c r="D78" s="191">
        <v>106612.47100000001</v>
      </c>
      <c r="E78" s="135">
        <v>26</v>
      </c>
      <c r="F78" s="136">
        <v>25</v>
      </c>
      <c r="G78" s="187">
        <f t="shared" si="31"/>
        <v>-1</v>
      </c>
      <c r="H78" s="190">
        <f t="shared" si="32"/>
        <v>-106612.47100000001</v>
      </c>
      <c r="I78" s="194" t="s">
        <v>41</v>
      </c>
      <c r="J78" s="194" t="s">
        <v>41</v>
      </c>
      <c r="K78" s="189" t="s">
        <v>756</v>
      </c>
      <c r="L78" s="189" t="s">
        <v>134</v>
      </c>
      <c r="M78" s="189"/>
      <c r="N78" s="189">
        <f t="shared" si="25"/>
        <v>0</v>
      </c>
      <c r="O78" s="238">
        <f t="shared" si="26"/>
        <v>-1</v>
      </c>
      <c r="P78" s="188" t="s">
        <v>257</v>
      </c>
      <c r="Q78" s="136"/>
      <c r="R78" s="136"/>
      <c r="S78" s="187">
        <f t="shared" si="33"/>
        <v>0</v>
      </c>
      <c r="T78" s="186">
        <f t="shared" si="24"/>
        <v>-1</v>
      </c>
      <c r="U78" s="185" t="s">
        <v>243</v>
      </c>
      <c r="V78" s="184">
        <f t="shared" si="34"/>
        <v>-1</v>
      </c>
      <c r="W78" s="184" t="str">
        <f t="shared" si="35"/>
        <v>0</v>
      </c>
      <c r="X78" s="184">
        <f t="shared" si="29"/>
        <v>0</v>
      </c>
      <c r="Y78" s="183">
        <f t="shared" si="27"/>
        <v>-106612.47100000001</v>
      </c>
      <c r="Z78" s="183">
        <f t="shared" si="28"/>
        <v>2771924.2460000003</v>
      </c>
      <c r="AA78" s="182">
        <f t="shared" si="36"/>
        <v>1.5090239368425139E-2</v>
      </c>
      <c r="AB78" s="181">
        <f t="shared" si="30"/>
        <v>0.78984669211138048</v>
      </c>
      <c r="AC78" s="30"/>
    </row>
    <row r="79" spans="1:29" hidden="1" x14ac:dyDescent="0.35">
      <c r="A79" s="134" t="s">
        <v>388</v>
      </c>
      <c r="B79" s="134" t="s">
        <v>389</v>
      </c>
      <c r="C79" s="134" t="s">
        <v>390</v>
      </c>
      <c r="D79" s="191">
        <v>145362.66500000001</v>
      </c>
      <c r="E79" s="135">
        <v>71</v>
      </c>
      <c r="F79" s="193">
        <f>72-1</f>
        <v>71</v>
      </c>
      <c r="G79" s="187">
        <f t="shared" si="31"/>
        <v>0</v>
      </c>
      <c r="H79" s="190">
        <f t="shared" si="32"/>
        <v>0</v>
      </c>
      <c r="I79" s="194" t="s">
        <v>41</v>
      </c>
      <c r="J79" s="194" t="s">
        <v>41</v>
      </c>
      <c r="K79" s="189" t="s">
        <v>134</v>
      </c>
      <c r="L79" s="189" t="s">
        <v>134</v>
      </c>
      <c r="M79" s="189"/>
      <c r="N79" s="189">
        <f t="shared" si="25"/>
        <v>0</v>
      </c>
      <c r="O79" s="238">
        <f t="shared" si="26"/>
        <v>0</v>
      </c>
      <c r="P79" s="188" t="s">
        <v>134</v>
      </c>
      <c r="Q79" s="136"/>
      <c r="R79" s="136"/>
      <c r="S79" s="187">
        <f t="shared" si="33"/>
        <v>0</v>
      </c>
      <c r="T79" s="186">
        <f t="shared" si="24"/>
        <v>0</v>
      </c>
      <c r="U79" s="185" t="s">
        <v>134</v>
      </c>
      <c r="V79" s="184" t="str">
        <f t="shared" si="34"/>
        <v>0</v>
      </c>
      <c r="W79" s="184" t="str">
        <f t="shared" si="35"/>
        <v>0</v>
      </c>
      <c r="X79" s="184">
        <f t="shared" si="29"/>
        <v>0</v>
      </c>
      <c r="Y79" s="183">
        <f t="shared" si="27"/>
        <v>0</v>
      </c>
      <c r="Z79" s="183">
        <f t="shared" si="28"/>
        <v>10320749.215</v>
      </c>
      <c r="AA79" s="182">
        <f t="shared" si="36"/>
        <v>5.6185725977388717E-2</v>
      </c>
      <c r="AB79" s="181">
        <f t="shared" si="30"/>
        <v>0.84603241808876917</v>
      </c>
      <c r="AC79" s="30"/>
    </row>
    <row r="80" spans="1:29" x14ac:dyDescent="0.35">
      <c r="A80" s="134" t="s">
        <v>378</v>
      </c>
      <c r="B80" s="134" t="s">
        <v>379</v>
      </c>
      <c r="C80" s="134" t="s">
        <v>380</v>
      </c>
      <c r="D80" s="191">
        <v>160851.08900000001</v>
      </c>
      <c r="E80" s="135">
        <v>7</v>
      </c>
      <c r="F80" s="136">
        <v>6</v>
      </c>
      <c r="G80" s="187">
        <f t="shared" si="31"/>
        <v>-1</v>
      </c>
      <c r="H80" s="190">
        <f t="shared" si="32"/>
        <v>-160851.08900000001</v>
      </c>
      <c r="I80" s="194" t="s">
        <v>41</v>
      </c>
      <c r="J80" s="194" t="s">
        <v>41</v>
      </c>
      <c r="K80" s="189" t="s">
        <v>756</v>
      </c>
      <c r="L80" s="189" t="s">
        <v>134</v>
      </c>
      <c r="M80" s="189"/>
      <c r="N80" s="189">
        <f t="shared" si="25"/>
        <v>0</v>
      </c>
      <c r="O80" s="238">
        <f t="shared" si="26"/>
        <v>-1</v>
      </c>
      <c r="P80" s="188" t="s">
        <v>257</v>
      </c>
      <c r="Q80" s="136"/>
      <c r="R80" s="136"/>
      <c r="S80" s="187">
        <f t="shared" si="33"/>
        <v>0</v>
      </c>
      <c r="T80" s="186">
        <f t="shared" si="24"/>
        <v>-1</v>
      </c>
      <c r="U80" s="185" t="s">
        <v>243</v>
      </c>
      <c r="V80" s="184">
        <f t="shared" si="34"/>
        <v>-1</v>
      </c>
      <c r="W80" s="184" t="str">
        <f t="shared" si="35"/>
        <v>0</v>
      </c>
      <c r="X80" s="184">
        <f t="shared" si="29"/>
        <v>0</v>
      </c>
      <c r="Y80" s="183">
        <f t="shared" si="27"/>
        <v>-160851.08900000001</v>
      </c>
      <c r="Z80" s="183">
        <f t="shared" si="28"/>
        <v>1125957.6230000001</v>
      </c>
      <c r="AA80" s="182">
        <f t="shared" si="36"/>
        <v>6.1296660882026828E-3</v>
      </c>
      <c r="AB80" s="181">
        <f t="shared" si="30"/>
        <v>0.85216208417697181</v>
      </c>
      <c r="AC80" s="30"/>
    </row>
    <row r="81" spans="1:29" x14ac:dyDescent="0.35">
      <c r="A81" s="134" t="s">
        <v>394</v>
      </c>
      <c r="B81" s="134" t="s">
        <v>395</v>
      </c>
      <c r="C81" s="134" t="s">
        <v>396</v>
      </c>
      <c r="D81" s="191">
        <v>102521.041</v>
      </c>
      <c r="E81" s="135">
        <v>20</v>
      </c>
      <c r="F81" s="136">
        <v>22</v>
      </c>
      <c r="G81" s="187">
        <f t="shared" si="31"/>
        <v>2</v>
      </c>
      <c r="H81" s="190">
        <f t="shared" si="32"/>
        <v>205042.08199999999</v>
      </c>
      <c r="I81" s="194" t="s">
        <v>41</v>
      </c>
      <c r="J81" s="194" t="s">
        <v>41</v>
      </c>
      <c r="K81" s="189" t="s">
        <v>763</v>
      </c>
      <c r="L81" s="189" t="s">
        <v>134</v>
      </c>
      <c r="M81" s="189"/>
      <c r="N81" s="189">
        <f t="shared" si="25"/>
        <v>0</v>
      </c>
      <c r="O81" s="238">
        <f t="shared" si="26"/>
        <v>2</v>
      </c>
      <c r="P81" s="188" t="s">
        <v>245</v>
      </c>
      <c r="Q81" s="136">
        <v>26</v>
      </c>
      <c r="R81" s="136">
        <v>26</v>
      </c>
      <c r="S81" s="187">
        <f t="shared" si="33"/>
        <v>0</v>
      </c>
      <c r="T81" s="186">
        <f t="shared" si="24"/>
        <v>0</v>
      </c>
      <c r="U81" s="185" t="s">
        <v>770</v>
      </c>
      <c r="V81" s="184" t="str">
        <f t="shared" si="34"/>
        <v>0</v>
      </c>
      <c r="W81" s="184" t="str">
        <f t="shared" si="35"/>
        <v>0</v>
      </c>
      <c r="X81" s="184">
        <f t="shared" si="29"/>
        <v>0</v>
      </c>
      <c r="Y81" s="183">
        <f t="shared" si="27"/>
        <v>0</v>
      </c>
      <c r="Z81" s="183">
        <f t="shared" si="28"/>
        <v>2050420.8199999998</v>
      </c>
      <c r="AA81" s="182">
        <f t="shared" si="36"/>
        <v>1.1162404969923753E-2</v>
      </c>
      <c r="AB81" s="181">
        <f t="shared" si="30"/>
        <v>0.86332448914689552</v>
      </c>
      <c r="AC81" s="30"/>
    </row>
    <row r="82" spans="1:29" hidden="1" x14ac:dyDescent="0.35">
      <c r="A82" s="134" t="s">
        <v>391</v>
      </c>
      <c r="B82" s="134" t="s">
        <v>392</v>
      </c>
      <c r="C82" s="134" t="s">
        <v>393</v>
      </c>
      <c r="D82" s="191">
        <v>93275.755999999979</v>
      </c>
      <c r="E82" s="135">
        <v>3</v>
      </c>
      <c r="F82" s="136">
        <v>3</v>
      </c>
      <c r="G82" s="187">
        <f t="shared" si="31"/>
        <v>0</v>
      </c>
      <c r="H82" s="190">
        <f t="shared" si="32"/>
        <v>0</v>
      </c>
      <c r="I82" s="194" t="s">
        <v>41</v>
      </c>
      <c r="J82" s="194" t="s">
        <v>41</v>
      </c>
      <c r="K82" s="189" t="s">
        <v>134</v>
      </c>
      <c r="L82" s="189" t="s">
        <v>134</v>
      </c>
      <c r="M82" s="189"/>
      <c r="N82" s="189">
        <f t="shared" si="25"/>
        <v>0</v>
      </c>
      <c r="O82" s="238">
        <f t="shared" si="26"/>
        <v>0</v>
      </c>
      <c r="P82" s="188" t="s">
        <v>134</v>
      </c>
      <c r="Q82" s="136"/>
      <c r="R82" s="136"/>
      <c r="S82" s="187">
        <f t="shared" si="33"/>
        <v>0</v>
      </c>
      <c r="T82" s="186">
        <f t="shared" si="24"/>
        <v>0</v>
      </c>
      <c r="U82" s="185" t="s">
        <v>134</v>
      </c>
      <c r="V82" s="184" t="str">
        <f t="shared" si="34"/>
        <v>0</v>
      </c>
      <c r="W82" s="184" t="str">
        <f t="shared" si="35"/>
        <v>0</v>
      </c>
      <c r="X82" s="184">
        <f t="shared" si="29"/>
        <v>0</v>
      </c>
      <c r="Y82" s="183">
        <f t="shared" si="27"/>
        <v>0</v>
      </c>
      <c r="Z82" s="183">
        <f t="shared" si="28"/>
        <v>279827.26799999992</v>
      </c>
      <c r="AA82" s="182">
        <f t="shared" si="36"/>
        <v>1.5233679138331152E-3</v>
      </c>
      <c r="AB82" s="181">
        <f t="shared" si="30"/>
        <v>0.86484785706072864</v>
      </c>
      <c r="AC82" s="30"/>
    </row>
    <row r="83" spans="1:29" x14ac:dyDescent="0.35">
      <c r="A83" s="134" t="s">
        <v>381</v>
      </c>
      <c r="B83" s="134" t="s">
        <v>397</v>
      </c>
      <c r="C83" s="134" t="s">
        <v>398</v>
      </c>
      <c r="D83" s="191">
        <v>73381.224000000002</v>
      </c>
      <c r="E83" s="135">
        <v>34</v>
      </c>
      <c r="F83" s="136">
        <v>36</v>
      </c>
      <c r="G83" s="187">
        <f t="shared" si="31"/>
        <v>2</v>
      </c>
      <c r="H83" s="190">
        <f t="shared" si="32"/>
        <v>146762.448</v>
      </c>
      <c r="I83" s="194" t="s">
        <v>40</v>
      </c>
      <c r="J83" s="194" t="s">
        <v>41</v>
      </c>
      <c r="K83" s="189" t="s">
        <v>764</v>
      </c>
      <c r="L83" s="189" t="s">
        <v>134</v>
      </c>
      <c r="M83" s="189"/>
      <c r="N83" s="189">
        <f t="shared" si="25"/>
        <v>0</v>
      </c>
      <c r="O83" s="238">
        <f t="shared" si="26"/>
        <v>2</v>
      </c>
      <c r="P83" s="188" t="s">
        <v>245</v>
      </c>
      <c r="Q83" s="136">
        <v>31</v>
      </c>
      <c r="R83" s="136">
        <v>31</v>
      </c>
      <c r="S83" s="187">
        <f t="shared" si="33"/>
        <v>0</v>
      </c>
      <c r="T83" s="186">
        <f t="shared" si="24"/>
        <v>0</v>
      </c>
      <c r="U83" s="185" t="s">
        <v>770</v>
      </c>
      <c r="V83" s="184" t="str">
        <f t="shared" si="34"/>
        <v>0</v>
      </c>
      <c r="W83" s="184" t="str">
        <f t="shared" si="35"/>
        <v>0</v>
      </c>
      <c r="X83" s="184">
        <f t="shared" si="29"/>
        <v>0</v>
      </c>
      <c r="Y83" s="183">
        <f t="shared" si="27"/>
        <v>0</v>
      </c>
      <c r="Z83" s="183">
        <f t="shared" si="28"/>
        <v>2494961.6159999999</v>
      </c>
      <c r="AA83" s="182">
        <f t="shared" si="36"/>
        <v>1.3582466423749735E-2</v>
      </c>
      <c r="AB83" s="181">
        <f t="shared" si="30"/>
        <v>0.87843032348447836</v>
      </c>
      <c r="AC83" s="30"/>
    </row>
    <row r="84" spans="1:29" hidden="1" x14ac:dyDescent="0.35">
      <c r="A84" s="134" t="s">
        <v>385</v>
      </c>
      <c r="B84" s="134" t="s">
        <v>386</v>
      </c>
      <c r="C84" s="134" t="s">
        <v>387</v>
      </c>
      <c r="D84" s="191">
        <v>126871.864</v>
      </c>
      <c r="E84" s="135">
        <v>16</v>
      </c>
      <c r="F84" s="136">
        <v>16</v>
      </c>
      <c r="G84" s="187">
        <f t="shared" si="31"/>
        <v>0</v>
      </c>
      <c r="H84" s="190">
        <f t="shared" si="32"/>
        <v>0</v>
      </c>
      <c r="I84" s="194" t="s">
        <v>41</v>
      </c>
      <c r="J84" s="194" t="s">
        <v>41</v>
      </c>
      <c r="K84" s="189" t="s">
        <v>134</v>
      </c>
      <c r="L84" s="189" t="s">
        <v>134</v>
      </c>
      <c r="M84" s="189"/>
      <c r="N84" s="189">
        <f t="shared" si="25"/>
        <v>0</v>
      </c>
      <c r="O84" s="238">
        <f t="shared" si="26"/>
        <v>0</v>
      </c>
      <c r="P84" s="188" t="s">
        <v>134</v>
      </c>
      <c r="Q84" s="136"/>
      <c r="R84" s="136"/>
      <c r="S84" s="187">
        <f t="shared" si="33"/>
        <v>0</v>
      </c>
      <c r="T84" s="186">
        <f t="shared" si="24"/>
        <v>0</v>
      </c>
      <c r="U84" s="185" t="s">
        <v>134</v>
      </c>
      <c r="V84" s="184" t="str">
        <f t="shared" si="34"/>
        <v>0</v>
      </c>
      <c r="W84" s="184" t="str">
        <f t="shared" si="35"/>
        <v>0</v>
      </c>
      <c r="X84" s="184">
        <f t="shared" si="29"/>
        <v>0</v>
      </c>
      <c r="Y84" s="183">
        <f t="shared" si="27"/>
        <v>0</v>
      </c>
      <c r="Z84" s="183">
        <f t="shared" si="28"/>
        <v>2029949.824</v>
      </c>
      <c r="AA84" s="182">
        <f t="shared" si="36"/>
        <v>1.1050961726048728E-2</v>
      </c>
      <c r="AB84" s="181">
        <f t="shared" si="30"/>
        <v>0.88948128521052705</v>
      </c>
      <c r="AC84" s="30"/>
    </row>
    <row r="85" spans="1:29" x14ac:dyDescent="0.35">
      <c r="A85" s="134" t="s">
        <v>382</v>
      </c>
      <c r="B85" s="134" t="s">
        <v>383</v>
      </c>
      <c r="C85" s="134" t="s">
        <v>384</v>
      </c>
      <c r="D85" s="191">
        <v>155074.486</v>
      </c>
      <c r="E85" s="135">
        <v>45</v>
      </c>
      <c r="F85" s="136">
        <v>44</v>
      </c>
      <c r="G85" s="187">
        <f t="shared" si="31"/>
        <v>-1</v>
      </c>
      <c r="H85" s="190">
        <f t="shared" si="32"/>
        <v>-155074.486</v>
      </c>
      <c r="I85" s="194" t="s">
        <v>41</v>
      </c>
      <c r="J85" s="194" t="s">
        <v>41</v>
      </c>
      <c r="K85" s="189" t="s">
        <v>756</v>
      </c>
      <c r="L85" s="189" t="s">
        <v>134</v>
      </c>
      <c r="M85" s="189"/>
      <c r="N85" s="189">
        <f t="shared" si="25"/>
        <v>0</v>
      </c>
      <c r="O85" s="238">
        <f t="shared" si="26"/>
        <v>-1</v>
      </c>
      <c r="P85" s="188" t="s">
        <v>257</v>
      </c>
      <c r="Q85" s="136"/>
      <c r="R85" s="136"/>
      <c r="S85" s="187">
        <f t="shared" si="33"/>
        <v>0</v>
      </c>
      <c r="T85" s="186">
        <f t="shared" si="24"/>
        <v>-1</v>
      </c>
      <c r="U85" s="185" t="s">
        <v>243</v>
      </c>
      <c r="V85" s="184">
        <f t="shared" si="34"/>
        <v>-1</v>
      </c>
      <c r="W85" s="184" t="str">
        <f t="shared" si="35"/>
        <v>0</v>
      </c>
      <c r="X85" s="184">
        <f t="shared" si="29"/>
        <v>0</v>
      </c>
      <c r="Y85" s="183">
        <f t="shared" si="27"/>
        <v>-155074.486</v>
      </c>
      <c r="Z85" s="183">
        <f t="shared" si="28"/>
        <v>6978351.8700000001</v>
      </c>
      <c r="AA85" s="182">
        <f t="shared" si="36"/>
        <v>3.7989854977947754E-2</v>
      </c>
      <c r="AB85" s="181">
        <f t="shared" si="30"/>
        <v>0.92747114018847476</v>
      </c>
      <c r="AC85" s="30"/>
    </row>
    <row r="86" spans="1:29" hidden="1" x14ac:dyDescent="0.35">
      <c r="A86" s="134" t="s">
        <v>475</v>
      </c>
      <c r="B86" s="134" t="s">
        <v>476</v>
      </c>
      <c r="C86" s="134" t="s">
        <v>477</v>
      </c>
      <c r="D86" s="191">
        <v>125718.852</v>
      </c>
      <c r="E86" s="135">
        <v>22</v>
      </c>
      <c r="F86" s="136">
        <f>21+1</f>
        <v>22</v>
      </c>
      <c r="G86" s="187">
        <f t="shared" si="31"/>
        <v>0</v>
      </c>
      <c r="H86" s="190">
        <f t="shared" si="32"/>
        <v>0</v>
      </c>
      <c r="I86" s="194" t="s">
        <v>41</v>
      </c>
      <c r="J86" s="194" t="s">
        <v>41</v>
      </c>
      <c r="K86" s="189" t="s">
        <v>134</v>
      </c>
      <c r="L86" s="189" t="s">
        <v>134</v>
      </c>
      <c r="M86" s="189"/>
      <c r="N86" s="189">
        <f t="shared" si="25"/>
        <v>0</v>
      </c>
      <c r="O86" s="238">
        <f t="shared" si="26"/>
        <v>0</v>
      </c>
      <c r="P86" s="188" t="s">
        <v>134</v>
      </c>
      <c r="Q86" s="136"/>
      <c r="R86" s="136"/>
      <c r="S86" s="187">
        <f t="shared" si="33"/>
        <v>0</v>
      </c>
      <c r="T86" s="186">
        <f t="shared" si="24"/>
        <v>0</v>
      </c>
      <c r="U86" s="185" t="s">
        <v>134</v>
      </c>
      <c r="V86" s="184" t="str">
        <f t="shared" si="34"/>
        <v>0</v>
      </c>
      <c r="W86" s="184" t="str">
        <f t="shared" si="35"/>
        <v>0</v>
      </c>
      <c r="X86" s="184">
        <f t="shared" si="29"/>
        <v>0</v>
      </c>
      <c r="Y86" s="183">
        <f t="shared" si="27"/>
        <v>0</v>
      </c>
      <c r="Z86" s="183">
        <f t="shared" si="28"/>
        <v>2765814.7439999999</v>
      </c>
      <c r="AA86" s="182">
        <f t="shared" si="36"/>
        <v>1.505697949570859E-2</v>
      </c>
      <c r="AB86" s="181">
        <f t="shared" si="30"/>
        <v>0.94252811968418337</v>
      </c>
      <c r="AC86" s="30"/>
    </row>
    <row r="87" spans="1:29" hidden="1" x14ac:dyDescent="0.35">
      <c r="A87" s="134" t="s">
        <v>472</v>
      </c>
      <c r="B87" s="134" t="s">
        <v>473</v>
      </c>
      <c r="C87" s="134" t="s">
        <v>474</v>
      </c>
      <c r="D87" s="191">
        <v>190062.32699999999</v>
      </c>
      <c r="E87" s="135">
        <v>21</v>
      </c>
      <c r="F87" s="136">
        <f>1+20</f>
        <v>21</v>
      </c>
      <c r="G87" s="187">
        <f t="shared" si="31"/>
        <v>0</v>
      </c>
      <c r="H87" s="190">
        <f t="shared" si="32"/>
        <v>0</v>
      </c>
      <c r="I87" s="194" t="s">
        <v>41</v>
      </c>
      <c r="J87" s="194" t="s">
        <v>41</v>
      </c>
      <c r="K87" s="189" t="s">
        <v>134</v>
      </c>
      <c r="L87" s="189" t="s">
        <v>134</v>
      </c>
      <c r="M87" s="189"/>
      <c r="N87" s="189">
        <f t="shared" si="25"/>
        <v>0</v>
      </c>
      <c r="O87" s="238">
        <f t="shared" si="26"/>
        <v>0</v>
      </c>
      <c r="P87" s="188" t="s">
        <v>134</v>
      </c>
      <c r="Q87" s="136"/>
      <c r="R87" s="136"/>
      <c r="S87" s="187">
        <f t="shared" si="33"/>
        <v>0</v>
      </c>
      <c r="T87" s="186">
        <f t="shared" si="24"/>
        <v>0</v>
      </c>
      <c r="U87" s="185" t="s">
        <v>134</v>
      </c>
      <c r="V87" s="184" t="str">
        <f t="shared" si="34"/>
        <v>0</v>
      </c>
      <c r="W87" s="184" t="str">
        <f t="shared" si="35"/>
        <v>0</v>
      </c>
      <c r="X87" s="184">
        <f t="shared" si="29"/>
        <v>0</v>
      </c>
      <c r="Y87" s="183">
        <f t="shared" si="27"/>
        <v>0</v>
      </c>
      <c r="Z87" s="183">
        <f t="shared" si="28"/>
        <v>3991308.8669999996</v>
      </c>
      <c r="AA87" s="182">
        <f t="shared" si="36"/>
        <v>2.1728518116345279E-2</v>
      </c>
      <c r="AB87" s="181">
        <f t="shared" si="30"/>
        <v>0.96425663780052862</v>
      </c>
      <c r="AC87" s="30"/>
    </row>
    <row r="88" spans="1:29" x14ac:dyDescent="0.35">
      <c r="A88" s="134" t="s">
        <v>404</v>
      </c>
      <c r="B88" s="134" t="s">
        <v>405</v>
      </c>
      <c r="C88" s="134" t="s">
        <v>406</v>
      </c>
      <c r="D88" s="191">
        <v>2821.4270000000001</v>
      </c>
      <c r="E88" s="135">
        <v>197</v>
      </c>
      <c r="F88" s="136">
        <f>10+276-96</f>
        <v>190</v>
      </c>
      <c r="G88" s="187">
        <f t="shared" si="31"/>
        <v>-7</v>
      </c>
      <c r="H88" s="190">
        <f t="shared" si="32"/>
        <v>-19749.989000000001</v>
      </c>
      <c r="I88" s="194" t="s">
        <v>41</v>
      </c>
      <c r="J88" s="194" t="s">
        <v>41</v>
      </c>
      <c r="K88" s="189" t="s">
        <v>747</v>
      </c>
      <c r="L88" s="189" t="s">
        <v>134</v>
      </c>
      <c r="M88" s="189"/>
      <c r="N88" s="189">
        <f t="shared" si="25"/>
        <v>0</v>
      </c>
      <c r="O88" s="238">
        <f t="shared" si="26"/>
        <v>-7</v>
      </c>
      <c r="P88" s="188" t="s">
        <v>245</v>
      </c>
      <c r="Q88" s="136">
        <v>334</v>
      </c>
      <c r="R88" s="136">
        <f>372-54+9+1+6</f>
        <v>334</v>
      </c>
      <c r="S88" s="187">
        <f t="shared" si="33"/>
        <v>0</v>
      </c>
      <c r="T88" s="186">
        <f t="shared" si="24"/>
        <v>0</v>
      </c>
      <c r="U88" s="185" t="s">
        <v>770</v>
      </c>
      <c r="V88" s="184" t="str">
        <f t="shared" si="34"/>
        <v>0</v>
      </c>
      <c r="W88" s="184" t="str">
        <f t="shared" si="35"/>
        <v>0</v>
      </c>
      <c r="X88" s="184">
        <f t="shared" si="29"/>
        <v>0</v>
      </c>
      <c r="Y88" s="183">
        <f t="shared" si="27"/>
        <v>0</v>
      </c>
      <c r="Z88" s="183">
        <f t="shared" si="28"/>
        <v>555821.11900000006</v>
      </c>
      <c r="AA88" s="182">
        <f t="shared" si="36"/>
        <v>3.0258668662534274E-3</v>
      </c>
      <c r="AB88" s="181">
        <f t="shared" si="30"/>
        <v>0.96728250466678201</v>
      </c>
      <c r="AC88" s="30"/>
    </row>
    <row r="89" spans="1:29" x14ac:dyDescent="0.35">
      <c r="A89" s="134" t="s">
        <v>710</v>
      </c>
      <c r="B89" s="134" t="s">
        <v>711</v>
      </c>
      <c r="C89" s="134" t="s">
        <v>708</v>
      </c>
      <c r="D89" s="191">
        <v>54520.724999999999</v>
      </c>
      <c r="E89" s="135">
        <v>38</v>
      </c>
      <c r="F89" s="136">
        <v>37</v>
      </c>
      <c r="G89" s="187">
        <f t="shared" si="31"/>
        <v>-1</v>
      </c>
      <c r="H89" s="190">
        <f t="shared" si="32"/>
        <v>-54520.724999999999</v>
      </c>
      <c r="I89" s="194" t="s">
        <v>41</v>
      </c>
      <c r="J89" s="194" t="s">
        <v>41</v>
      </c>
      <c r="K89" s="189" t="s">
        <v>765</v>
      </c>
      <c r="L89" s="189" t="s">
        <v>134</v>
      </c>
      <c r="M89" s="189"/>
      <c r="N89" s="189">
        <f t="shared" si="25"/>
        <v>0</v>
      </c>
      <c r="O89" s="238">
        <f t="shared" si="26"/>
        <v>-1</v>
      </c>
      <c r="P89" s="188" t="s">
        <v>245</v>
      </c>
      <c r="Q89" s="136">
        <v>39</v>
      </c>
      <c r="R89" s="136">
        <f>31+8</f>
        <v>39</v>
      </c>
      <c r="S89" s="187">
        <f t="shared" si="33"/>
        <v>0</v>
      </c>
      <c r="T89" s="186">
        <f t="shared" si="24"/>
        <v>0</v>
      </c>
      <c r="U89" s="185" t="s">
        <v>770</v>
      </c>
      <c r="V89" s="184" t="str">
        <f t="shared" si="34"/>
        <v>0</v>
      </c>
      <c r="W89" s="184" t="str">
        <f t="shared" si="35"/>
        <v>0</v>
      </c>
      <c r="X89" s="184">
        <f t="shared" si="29"/>
        <v>0</v>
      </c>
      <c r="Y89" s="183">
        <f t="shared" si="27"/>
        <v>0</v>
      </c>
      <c r="Z89" s="183">
        <f t="shared" si="28"/>
        <v>2071787.55</v>
      </c>
      <c r="AA89" s="182">
        <f t="shared" si="36"/>
        <v>1.1278724552136648E-2</v>
      </c>
      <c r="AB89" s="181">
        <f t="shared" si="30"/>
        <v>0.97856122921891864</v>
      </c>
      <c r="AC89" s="30"/>
    </row>
    <row r="90" spans="1:29" x14ac:dyDescent="0.35">
      <c r="A90" s="134" t="s">
        <v>426</v>
      </c>
      <c r="B90" s="134" t="s">
        <v>427</v>
      </c>
      <c r="C90" s="134" t="s">
        <v>425</v>
      </c>
      <c r="D90" s="191">
        <v>80369.085999999996</v>
      </c>
      <c r="E90" s="135">
        <v>49</v>
      </c>
      <c r="F90" s="136">
        <v>51</v>
      </c>
      <c r="G90" s="187">
        <f t="shared" si="31"/>
        <v>2</v>
      </c>
      <c r="H90" s="190">
        <f t="shared" si="32"/>
        <v>160738.17199999999</v>
      </c>
      <c r="I90" s="194" t="s">
        <v>41</v>
      </c>
      <c r="J90" s="194" t="s">
        <v>41</v>
      </c>
      <c r="K90" s="189" t="s">
        <v>766</v>
      </c>
      <c r="L90" s="189" t="s">
        <v>134</v>
      </c>
      <c r="M90" s="189"/>
      <c r="N90" s="189">
        <f t="shared" si="25"/>
        <v>0</v>
      </c>
      <c r="O90" s="238">
        <f t="shared" si="26"/>
        <v>2</v>
      </c>
      <c r="P90" s="188" t="s">
        <v>245</v>
      </c>
      <c r="Q90" s="136">
        <v>43</v>
      </c>
      <c r="R90" s="136">
        <f>28+14</f>
        <v>42</v>
      </c>
      <c r="S90" s="187">
        <f t="shared" si="33"/>
        <v>-1</v>
      </c>
      <c r="T90" s="186">
        <f t="shared" si="24"/>
        <v>-1</v>
      </c>
      <c r="U90" s="185" t="s">
        <v>243</v>
      </c>
      <c r="V90" s="184">
        <f t="shared" si="34"/>
        <v>-1</v>
      </c>
      <c r="W90" s="184" t="str">
        <f t="shared" si="35"/>
        <v>0</v>
      </c>
      <c r="X90" s="184">
        <f t="shared" si="29"/>
        <v>0</v>
      </c>
      <c r="Y90" s="183">
        <f t="shared" si="27"/>
        <v>-80369.085999999996</v>
      </c>
      <c r="Z90" s="183">
        <f t="shared" si="28"/>
        <v>3938085.2139999997</v>
      </c>
      <c r="AA90" s="182">
        <f t="shared" si="36"/>
        <v>2.1438770781081341E-2</v>
      </c>
      <c r="AB90" s="181">
        <f t="shared" si="30"/>
        <v>1</v>
      </c>
      <c r="AC90" s="30"/>
    </row>
    <row r="91" spans="1:29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x14ac:dyDescent="0.35">
      <c r="A92" s="30"/>
      <c r="B92" s="30"/>
      <c r="C92" s="30"/>
      <c r="D92" s="30"/>
      <c r="E92" s="30"/>
      <c r="F92" s="30"/>
      <c r="G92" s="175"/>
      <c r="H92" s="175"/>
      <c r="I92" s="175"/>
      <c r="J92" s="175"/>
      <c r="K92" s="175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x14ac:dyDescent="0.35">
      <c r="A93" s="30"/>
      <c r="B93" s="30"/>
      <c r="C93" s="357" t="s">
        <v>741</v>
      </c>
      <c r="D93" s="358"/>
      <c r="E93" s="358"/>
      <c r="F93" s="359"/>
      <c r="G93" s="155"/>
      <c r="H93" s="155"/>
      <c r="I93" s="155"/>
      <c r="J93" s="155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x14ac:dyDescent="0.35">
      <c r="A94" s="30"/>
      <c r="B94" s="30"/>
      <c r="C94" s="227" t="s">
        <v>0</v>
      </c>
      <c r="D94" s="224" t="s">
        <v>742</v>
      </c>
      <c r="E94" s="224" t="s">
        <v>236</v>
      </c>
      <c r="F94" s="224" t="s">
        <v>235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x14ac:dyDescent="0.35">
      <c r="A95" s="30"/>
      <c r="B95" s="30"/>
      <c r="C95" s="225" t="s">
        <v>234</v>
      </c>
      <c r="D95" s="228">
        <f>SUM(E5:E90)</f>
        <v>5832</v>
      </c>
      <c r="E95" s="231">
        <f>+Z3</f>
        <v>183689879.15459993</v>
      </c>
      <c r="F95" s="234">
        <v>1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x14ac:dyDescent="0.35">
      <c r="A96" s="30"/>
      <c r="B96" s="30"/>
      <c r="C96" s="226" t="s">
        <v>244</v>
      </c>
      <c r="D96" s="229">
        <f>SUMIFS($G$5:$G$90,$G$5:$G$90,"&gt;0")</f>
        <v>151</v>
      </c>
      <c r="E96" s="232">
        <f>SUMIFS($H$5:$H$90,$G$5:$G$90,"&gt;0")</f>
        <v>5686929.9480000017</v>
      </c>
      <c r="F96" s="235">
        <f>+E96/E95</f>
        <v>3.0959408183908049E-2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x14ac:dyDescent="0.35">
      <c r="A97" s="30"/>
      <c r="B97" s="30"/>
      <c r="C97" s="222" t="s">
        <v>243</v>
      </c>
      <c r="D97" s="230">
        <f>SUMIFS($G$5:$G$90,$G$5:$G$90,"&lt;0")</f>
        <v>-82</v>
      </c>
      <c r="E97" s="233">
        <f>SUMIFS($H$5:$H$90,$G$5:$G$90,"&lt;0")</f>
        <v>-3595831.7640000004</v>
      </c>
      <c r="F97" s="236">
        <f>+E97/E95</f>
        <v>-1.9575557349970383E-2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x14ac:dyDescent="0.35">
      <c r="A98" s="30"/>
      <c r="B98" s="30"/>
      <c r="C98" s="226" t="s">
        <v>242</v>
      </c>
      <c r="D98" s="229">
        <f>SUBTOTAL(9,D96:D97)</f>
        <v>69</v>
      </c>
      <c r="E98" s="232">
        <f>SUBTOTAL(9,E96:E97)</f>
        <v>2091098.1840000013</v>
      </c>
      <c r="F98" s="235">
        <f>SUBTOTAL(9,F96:F97)</f>
        <v>1.1383850833937666E-2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x14ac:dyDescent="0.35">
      <c r="A99" s="30"/>
      <c r="B99" s="30"/>
      <c r="C99" s="222" t="s">
        <v>241</v>
      </c>
      <c r="D99" s="230">
        <f>+D96-D97</f>
        <v>233</v>
      </c>
      <c r="E99" s="233">
        <f>+E96-E97</f>
        <v>9282761.7120000012</v>
      </c>
      <c r="F99" s="236">
        <f>+F96-F97</f>
        <v>5.0534965533878429E-2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</sheetData>
  <autoFilter ref="A4:AB90" xr:uid="{00000000-0009-0000-0000-00000B000000}">
    <filterColumn colId="7">
      <filters>
        <filter val="1.041.519,60"/>
        <filter val="1.287.137,47"/>
        <filter val="-106.612,47"/>
        <filter val="-107.041,50"/>
        <filter val="-107.733,38"/>
        <filter val="-111.974,99"/>
        <filter val="120.562,70"/>
        <filter val="125.850,53"/>
        <filter val="-131.526,66"/>
        <filter val="142.247,43"/>
        <filter val="-144.483,14"/>
        <filter val="146.762,45"/>
        <filter val="-151.958,66"/>
        <filter val="-155.074,49"/>
        <filter val="160.738,17"/>
        <filter val="-160.851,09"/>
        <filter val="-17.839,86"/>
        <filter val="-19.677,23"/>
        <filter val="-19.749,99"/>
        <filter val="205.042,08"/>
        <filter val="-217.804,45"/>
        <filter val="219.662,03"/>
        <filter val="-224.915,11"/>
        <filter val="235.728,91"/>
        <filter val="236.034,09"/>
        <filter val="-240.818,87"/>
        <filter val="-252.600,95"/>
        <filter val="-256.863,77"/>
        <filter val="-28.806,69"/>
        <filter val="-299.468,16"/>
        <filter val="30.605,12"/>
        <filter val="-4.300,93"/>
        <filter val="-40.100,14"/>
        <filter val="402.642,53"/>
        <filter val="-426.421,68"/>
        <filter val="-54.520,73"/>
        <filter val="552.588,51"/>
        <filter val="585.062,49"/>
        <filter val="-59.066,90"/>
        <filter val="6.541,97"/>
        <filter val="-63.828,03"/>
        <filter val="92.366,57"/>
        <filter val="-94.946,49"/>
        <filter val="95.837,31"/>
        <filter val="-96.845,42"/>
      </filters>
    </filterColumn>
    <filterColumn colId="10">
      <filters>
        <filter val="ARTICULO CRUZADO CON 233900L050 233900L050 SE ENCUENTRA FALTANTE X1"/>
        <filter val="ARTICULO SOBRANTE X1 RECONTAR"/>
        <filter val="ARTICULO X1 EN RESERVA STOCK OK."/>
        <filter val="CRUZADA CON 043710K170 043710K170 SE ENCUENTRA FALTANTE X1"/>
        <filter val="CRUZADO CON 815510K261 -"/>
        <filter val="CRUZADO CON 815510K300 -"/>
        <filter val="CRUZADO CON 815610K271 -"/>
        <filter val="CRUZADO CON 815610K31000 -"/>
        <filter val="FALTA CARGA REMITO R33-871005 STOCK OK"/>
        <filter val="INGRESO DE TRANSFERENCIA X4 n°7924  SE RECEPCIONA LA TRANSFERENCIA EL DIA DE LA FECHA. STOCK OK."/>
        <filter val="MAL CONTADO (X1 MAL UBICADO) STOCK OK (RECONTAR)"/>
        <filter val="MAL CONTEO. EL ARTICULO SE ENCUENTRA SOBRANTE X1 RECONTAR"/>
        <filter val="MAL UBICADA X1 STOCK OK. RECONTAR"/>
        <filter val="NO SE ENCUENTRA EL DESVIO AJUSTAR"/>
        <filter val="VALE TALLER N°59142890 VALE CARGADO CANTIDAD X1 Y EL VEHICULO SE LLEVO X2"/>
        <filter val="Variacion en la operativa de taller de ese dia (SE ENCUENTRA FALTANTE X1) CRUZADO CON 90915YZZD2 QUE SE ENCUENTRA SOBRANTE X1"/>
        <filter val="Variacion en la operativa de taller de ese dia (SE ENCUENTRA SOBRANTE X1) CRUZADO CON 0415237010 QUE SE ENCUENTRA FALTANTE X1"/>
        <filter val="Variacion en la operativa de taller de ese dia STOCK OK.(RECONTAR)"/>
        <filter val="VARIACION EN LA OPERATIVA DEL TALLER (ES EL DE MAS ALTA ROTACION) recomiendo contar y controlar con el stock virtual al momento de terminar. (RECONTAR)"/>
      </filters>
    </filterColumn>
    <filterColumn colId="20">
      <filters>
        <filter val="Faltante"/>
        <filter val="Sin Ajuste"/>
        <filter val="Sobrante"/>
      </filters>
    </filterColumn>
  </autoFilter>
  <mergeCells count="4">
    <mergeCell ref="L3:O3"/>
    <mergeCell ref="Q3:S3"/>
    <mergeCell ref="V3:X3"/>
    <mergeCell ref="C93:F93"/>
  </mergeCells>
  <dataValidations count="3">
    <dataValidation type="list" allowBlank="1" showInputMessage="1" showErrorMessage="1" sqref="I5:J90" xr:uid="{00000000-0002-0000-0B00-000000000000}">
      <formula1>"SC,NC"</formula1>
    </dataValidation>
    <dataValidation type="list" allowBlank="1" showInputMessage="1" showErrorMessage="1" sqref="P5:P90" xr:uid="{00000000-0002-0000-0B00-000001000000}">
      <formula1>"Canje,Ajustar,Recontar,Verificar,-,Sin acción"</formula1>
    </dataValidation>
    <dataValidation type="list" allowBlank="1" showInputMessage="1" showErrorMessage="1" sqref="U5:U90" xr:uid="{00000000-0002-0000-0B00-000002000000}">
      <formula1>"Sin Ajuste,Sobrante,Faltante,-,Canje A,Canje B,Canje C, Canje D,Canje E, Canje F,Canje G,Canje H,Canje I,Canje J,Canje K,Canje L,Canje M,Canje N,Canje O,Canje P,Canje Q,Canje R,Canje S"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23"/>
  <sheetViews>
    <sheetView showGridLines="0" topLeftCell="A10" workbookViewId="0">
      <selection activeCell="F20" sqref="F20"/>
    </sheetView>
  </sheetViews>
  <sheetFormatPr baseColWidth="10" defaultRowHeight="14.5" x14ac:dyDescent="0.35"/>
  <cols>
    <col min="1" max="1" width="22.54296875" bestFit="1" customWidth="1"/>
    <col min="3" max="3" width="21.81640625" bestFit="1" customWidth="1"/>
    <col min="4" max="4" width="13.81640625" customWidth="1"/>
    <col min="6" max="6" width="11.54296875" customWidth="1"/>
  </cols>
  <sheetData>
    <row r="1" spans="1:9" x14ac:dyDescent="0.35">
      <c r="A1" s="176" t="str">
        <f>+Rotativo!A1</f>
        <v>Autolux S.A. - Sucursal Salta</v>
      </c>
      <c r="B1" s="30"/>
      <c r="C1" s="30"/>
      <c r="D1" s="30"/>
      <c r="E1" s="30"/>
      <c r="F1" s="30"/>
      <c r="G1" s="30"/>
      <c r="H1" s="30"/>
      <c r="I1" s="30"/>
    </row>
    <row r="2" spans="1:9" x14ac:dyDescent="0.35">
      <c r="A2" s="175" t="str">
        <f>+Rotativo!A2</f>
        <v>Control Integral de Depósito</v>
      </c>
      <c r="B2" s="30"/>
      <c r="C2" s="30"/>
      <c r="D2" s="30"/>
      <c r="E2" s="30"/>
      <c r="F2" s="30"/>
      <c r="G2" s="30"/>
      <c r="H2" s="30"/>
      <c r="I2" s="30"/>
    </row>
    <row r="3" spans="1:9" x14ac:dyDescent="0.35">
      <c r="A3" s="30" t="str">
        <f>+Rotativo!A3</f>
        <v xml:space="preserve">Fecha: </v>
      </c>
      <c r="B3" s="174">
        <f>+Rotativo!B3</f>
        <v>45604</v>
      </c>
      <c r="C3" s="30"/>
      <c r="D3" s="30"/>
      <c r="E3" s="30"/>
      <c r="F3" s="30"/>
      <c r="G3" s="30"/>
      <c r="H3" s="30"/>
      <c r="I3" s="30"/>
    </row>
    <row r="4" spans="1:9" x14ac:dyDescent="0.35">
      <c r="A4" s="30"/>
      <c r="B4" s="30"/>
      <c r="C4" s="30"/>
      <c r="D4" s="30"/>
      <c r="E4" s="30"/>
      <c r="F4" s="30"/>
      <c r="G4" s="30"/>
      <c r="H4" s="30"/>
      <c r="I4" s="30"/>
    </row>
    <row r="5" spans="1:9" x14ac:dyDescent="0.35">
      <c r="A5" s="173"/>
      <c r="B5" s="172" t="str">
        <f>+Rotativo!C93</f>
        <v>Inventario Rotativo 08.11.2024 - Autolux S.A. Salta</v>
      </c>
      <c r="C5" s="171"/>
      <c r="D5" s="170"/>
      <c r="E5" s="30"/>
      <c r="F5" s="30"/>
      <c r="G5" s="30"/>
      <c r="H5" s="30"/>
      <c r="I5" s="30"/>
    </row>
    <row r="6" spans="1:9" x14ac:dyDescent="0.35">
      <c r="A6" s="163"/>
      <c r="B6" s="169" t="s">
        <v>237</v>
      </c>
      <c r="C6" s="169" t="s">
        <v>236</v>
      </c>
      <c r="D6" s="168" t="s">
        <v>235</v>
      </c>
      <c r="E6" s="30"/>
      <c r="F6" s="30"/>
      <c r="G6" s="30"/>
      <c r="H6" s="30"/>
      <c r="I6" s="30"/>
    </row>
    <row r="7" spans="1:9" x14ac:dyDescent="0.35">
      <c r="A7" s="167" t="s">
        <v>234</v>
      </c>
      <c r="B7" s="166">
        <f>COUNT(Rotativo!D5:D90)</f>
        <v>86</v>
      </c>
      <c r="C7" s="165">
        <f>+Rotativo!Z3</f>
        <v>183689879.15459993</v>
      </c>
      <c r="D7" s="164">
        <v>1</v>
      </c>
      <c r="E7" s="30"/>
      <c r="F7" s="30"/>
      <c r="G7" s="30"/>
      <c r="H7" s="30"/>
      <c r="I7" s="30"/>
    </row>
    <row r="8" spans="1:9" x14ac:dyDescent="0.35">
      <c r="A8" s="163" t="s">
        <v>233</v>
      </c>
      <c r="B8" s="162">
        <f>COUNTIFS(Rotativo!U5:U90,Rotativo!$V$4)</f>
        <v>18</v>
      </c>
      <c r="C8" s="161">
        <f>SUMIFS(Rotativo!$Y$5:$Y$90,Rotativo!$U$5:$U$90,Rotativo!$V$4)</f>
        <v>-1715215.2639999995</v>
      </c>
      <c r="D8" s="160">
        <f>+C8/C7</f>
        <v>-9.3375599782305561E-3</v>
      </c>
      <c r="E8" s="30"/>
      <c r="F8" s="30"/>
      <c r="G8" s="30"/>
      <c r="H8" s="30"/>
      <c r="I8" s="30"/>
    </row>
    <row r="9" spans="1:9" x14ac:dyDescent="0.35">
      <c r="A9" s="163" t="s">
        <v>232</v>
      </c>
      <c r="B9" s="162">
        <f>COUNTIFS(Rotativo!U5:U90,Rotativo!$W$4)</f>
        <v>6</v>
      </c>
      <c r="C9" s="161">
        <f>SUMIFS(Rotativo!$Y$5:$Y$90,Rotativo!$U$5:$U$90,Rotativo!$W$4)</f>
        <v>474942.88800000004</v>
      </c>
      <c r="D9" s="160">
        <f>+C9/C7</f>
        <v>2.5855691679140974E-3</v>
      </c>
      <c r="E9" s="30"/>
      <c r="F9" s="30"/>
      <c r="G9" s="30"/>
      <c r="H9" s="30"/>
      <c r="I9" s="30"/>
    </row>
    <row r="10" spans="1:9" x14ac:dyDescent="0.35">
      <c r="A10" s="159" t="s">
        <v>231</v>
      </c>
      <c r="B10" s="158">
        <f>SUM(B8:B9)</f>
        <v>24</v>
      </c>
      <c r="C10" s="157">
        <f>SUM(C8:C9)</f>
        <v>-1240272.3759999995</v>
      </c>
      <c r="D10" s="156">
        <f>+C10/C7</f>
        <v>-6.7519908103164583E-3</v>
      </c>
      <c r="E10" s="30"/>
      <c r="F10" s="155"/>
      <c r="G10" s="30"/>
      <c r="H10" s="30"/>
      <c r="I10" s="30"/>
    </row>
    <row r="11" spans="1:9" x14ac:dyDescent="0.35">
      <c r="A11" s="154" t="s">
        <v>230</v>
      </c>
      <c r="B11" s="153">
        <f>+B8-B9</f>
        <v>12</v>
      </c>
      <c r="C11" s="152">
        <f>+-C8+C9</f>
        <v>2190158.1519999998</v>
      </c>
      <c r="D11" s="151">
        <f>+C11/C7</f>
        <v>1.1923129146144653E-2</v>
      </c>
      <c r="E11" s="150"/>
      <c r="F11" s="150"/>
      <c r="G11" s="30"/>
      <c r="H11" s="30"/>
      <c r="I11" s="30"/>
    </row>
    <row r="12" spans="1:9" x14ac:dyDescent="0.35">
      <c r="A12" s="30"/>
      <c r="B12" s="30"/>
      <c r="C12" s="30"/>
      <c r="D12" s="30"/>
      <c r="E12" s="30"/>
      <c r="F12" s="30"/>
      <c r="G12" s="30"/>
      <c r="H12" s="30"/>
      <c r="I12" s="30"/>
    </row>
    <row r="13" spans="1:9" x14ac:dyDescent="0.35">
      <c r="A13" s="30"/>
      <c r="B13" s="30"/>
      <c r="C13" s="30"/>
      <c r="D13" s="149"/>
      <c r="E13" s="30"/>
      <c r="F13" s="30"/>
      <c r="G13" s="30"/>
      <c r="H13" s="30"/>
      <c r="I13" s="30"/>
    </row>
    <row r="14" spans="1:9" x14ac:dyDescent="0.35">
      <c r="A14" s="30"/>
      <c r="B14" s="30"/>
      <c r="C14" s="30"/>
      <c r="D14" s="30"/>
      <c r="E14" s="30"/>
      <c r="F14" s="30"/>
      <c r="G14" s="30"/>
      <c r="H14" s="30"/>
      <c r="I14" s="30"/>
    </row>
    <row r="15" spans="1:9" x14ac:dyDescent="0.35">
      <c r="A15" s="30"/>
      <c r="B15" s="30"/>
      <c r="C15" s="30"/>
      <c r="D15" s="30"/>
      <c r="E15" s="30"/>
      <c r="F15" s="30"/>
      <c r="G15" s="30"/>
      <c r="H15" s="30"/>
      <c r="I15" s="30"/>
    </row>
    <row r="16" spans="1:9" x14ac:dyDescent="0.35">
      <c r="A16" s="30"/>
      <c r="B16" s="30"/>
      <c r="C16" s="30"/>
      <c r="D16" s="30"/>
      <c r="E16" s="30"/>
      <c r="F16" s="30"/>
      <c r="G16" s="30"/>
      <c r="H16" s="30"/>
      <c r="I16" s="30"/>
    </row>
    <row r="17" spans="1:9" x14ac:dyDescent="0.35">
      <c r="A17" s="139" t="s">
        <v>229</v>
      </c>
      <c r="B17" s="30"/>
      <c r="C17" s="30"/>
      <c r="D17" s="30"/>
      <c r="E17" s="30"/>
      <c r="F17" s="30"/>
      <c r="G17" s="30"/>
      <c r="H17" s="30"/>
      <c r="I17" s="30"/>
    </row>
    <row r="18" spans="1:9" x14ac:dyDescent="0.3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35">
      <c r="A19" s="148" t="s">
        <v>2</v>
      </c>
      <c r="B19" s="148" t="s">
        <v>1</v>
      </c>
      <c r="C19" s="148" t="s">
        <v>205</v>
      </c>
      <c r="D19" s="148" t="s">
        <v>228</v>
      </c>
      <c r="E19" s="148" t="s">
        <v>227</v>
      </c>
      <c r="F19" s="148" t="s">
        <v>0</v>
      </c>
      <c r="G19" s="30"/>
      <c r="H19" s="30"/>
      <c r="I19" s="30"/>
    </row>
    <row r="20" spans="1:9" x14ac:dyDescent="0.35">
      <c r="A20" s="147">
        <f>+B3</f>
        <v>45604</v>
      </c>
      <c r="B20" s="145">
        <v>1143100001</v>
      </c>
      <c r="C20" s="145" t="s">
        <v>226</v>
      </c>
      <c r="D20" s="145">
        <f>IF(C10&lt;0,-C10,"0")</f>
        <v>1240272.3759999995</v>
      </c>
      <c r="E20" s="145" t="str">
        <f>IF(C10&gt;0,C10,"")</f>
        <v/>
      </c>
      <c r="F20" s="144" t="str">
        <f>CONCATENATE("Ajuste ",B5)</f>
        <v>Ajuste Inventario Rotativo 08.11.2024 - Autolux S.A. Salta</v>
      </c>
      <c r="G20" s="30"/>
      <c r="H20" s="30"/>
      <c r="I20" s="30"/>
    </row>
    <row r="21" spans="1:9" x14ac:dyDescent="0.35">
      <c r="A21" s="147">
        <f>+A20</f>
        <v>45604</v>
      </c>
      <c r="B21" s="145">
        <v>6010500024</v>
      </c>
      <c r="C21" s="145" t="s">
        <v>225</v>
      </c>
      <c r="D21" s="146">
        <f>+-C8</f>
        <v>1715215.2639999995</v>
      </c>
      <c r="E21" s="145"/>
      <c r="F21" s="144" t="str">
        <f>+F20</f>
        <v>Ajuste Inventario Rotativo 08.11.2024 - Autolux S.A. Salta</v>
      </c>
      <c r="G21" s="30"/>
      <c r="H21" s="30"/>
      <c r="I21" s="30"/>
    </row>
    <row r="22" spans="1:9" x14ac:dyDescent="0.35">
      <c r="A22" s="143">
        <f>+A21</f>
        <v>45604</v>
      </c>
      <c r="B22" s="142">
        <v>6010500025</v>
      </c>
      <c r="C22" s="142" t="s">
        <v>224</v>
      </c>
      <c r="D22" s="142"/>
      <c r="E22" s="141">
        <f>C9</f>
        <v>474942.88800000004</v>
      </c>
      <c r="F22" s="140" t="str">
        <f>+F21</f>
        <v>Ajuste Inventario Rotativo 08.11.2024 - Autolux S.A. Salta</v>
      </c>
      <c r="G22" s="30"/>
      <c r="H22" s="30"/>
      <c r="I22" s="30"/>
    </row>
    <row r="23" spans="1:9" x14ac:dyDescent="0.35">
      <c r="A23" s="30"/>
      <c r="B23" s="30"/>
      <c r="C23" s="30"/>
      <c r="D23" s="30"/>
      <c r="E23" s="30"/>
      <c r="F23" s="30"/>
      <c r="G23" s="30"/>
      <c r="H23" s="30"/>
      <c r="I23" s="3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view="pageBreakPreview" zoomScaleNormal="100" zoomScaleSheetLayoutView="100" workbookViewId="0">
      <selection activeCell="H13" sqref="H13"/>
    </sheetView>
  </sheetViews>
  <sheetFormatPr baseColWidth="10" defaultRowHeight="14.5" x14ac:dyDescent="0.35"/>
  <cols>
    <col min="1" max="1" width="13.7265625" customWidth="1"/>
    <col min="2" max="2" width="15.81640625" bestFit="1" customWidth="1"/>
    <col min="3" max="3" width="47" bestFit="1" customWidth="1"/>
    <col min="4" max="4" width="15.54296875" bestFit="1" customWidth="1"/>
    <col min="8" max="8" width="13" bestFit="1" customWidth="1"/>
  </cols>
  <sheetData>
    <row r="1" spans="1:10" x14ac:dyDescent="0.35">
      <c r="A1" s="176" t="s">
        <v>296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5">
      <c r="A2" s="175" t="s">
        <v>768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35">
      <c r="A3" s="30" t="s">
        <v>295</v>
      </c>
      <c r="B3" s="174">
        <v>45604</v>
      </c>
      <c r="C3" s="198"/>
      <c r="D3" s="198"/>
      <c r="E3" s="204" t="s">
        <v>294</v>
      </c>
      <c r="F3" s="203"/>
      <c r="G3" s="203"/>
      <c r="H3" s="30"/>
      <c r="I3" s="355" t="s">
        <v>286</v>
      </c>
      <c r="J3" s="355"/>
    </row>
    <row r="4" spans="1:10" x14ac:dyDescent="0.35">
      <c r="A4" s="197" t="s">
        <v>120</v>
      </c>
      <c r="B4" s="197" t="s">
        <v>206</v>
      </c>
      <c r="C4" s="197" t="s">
        <v>39</v>
      </c>
      <c r="D4" s="197" t="s">
        <v>292</v>
      </c>
      <c r="E4" s="196" t="s">
        <v>63</v>
      </c>
      <c r="F4" s="196" t="s">
        <v>291</v>
      </c>
      <c r="G4" s="196" t="s">
        <v>285</v>
      </c>
      <c r="H4" s="197" t="s">
        <v>284</v>
      </c>
      <c r="I4" s="197" t="s">
        <v>63</v>
      </c>
      <c r="J4" s="196" t="s">
        <v>286</v>
      </c>
    </row>
    <row r="5" spans="1:10" x14ac:dyDescent="0.35">
      <c r="A5" s="134" t="s">
        <v>411</v>
      </c>
      <c r="B5" s="134" t="s">
        <v>412</v>
      </c>
      <c r="C5" s="134" t="s">
        <v>413</v>
      </c>
      <c r="D5" s="191">
        <v>138147.128</v>
      </c>
      <c r="E5" s="135">
        <v>-3</v>
      </c>
      <c r="F5" s="222">
        <v>1</v>
      </c>
      <c r="G5" s="187">
        <v>4</v>
      </c>
      <c r="H5" s="188" t="s">
        <v>245</v>
      </c>
      <c r="I5" s="189">
        <v>21</v>
      </c>
      <c r="J5" s="189"/>
    </row>
    <row r="6" spans="1:10" x14ac:dyDescent="0.35">
      <c r="A6" s="134" t="s">
        <v>430</v>
      </c>
      <c r="B6" s="134" t="s">
        <v>431</v>
      </c>
      <c r="C6" s="134" t="s">
        <v>432</v>
      </c>
      <c r="D6" s="191">
        <v>217804.44699999999</v>
      </c>
      <c r="E6" s="135">
        <v>15</v>
      </c>
      <c r="F6" s="193">
        <v>14</v>
      </c>
      <c r="G6" s="187">
        <v>-1</v>
      </c>
      <c r="H6" s="188" t="s">
        <v>245</v>
      </c>
      <c r="I6" s="189">
        <v>31</v>
      </c>
      <c r="J6" s="136"/>
    </row>
    <row r="7" spans="1:10" x14ac:dyDescent="0.35">
      <c r="A7" s="134" t="s">
        <v>433</v>
      </c>
      <c r="B7" s="134" t="s">
        <v>434</v>
      </c>
      <c r="C7" s="134" t="s">
        <v>435</v>
      </c>
      <c r="D7" s="191">
        <v>219662.03</v>
      </c>
      <c r="E7" s="135">
        <v>1</v>
      </c>
      <c r="F7" s="193">
        <v>2</v>
      </c>
      <c r="G7" s="187">
        <v>1</v>
      </c>
      <c r="H7" s="188" t="s">
        <v>245</v>
      </c>
      <c r="I7" s="189">
        <v>1</v>
      </c>
      <c r="J7" s="136"/>
    </row>
    <row r="8" spans="1:10" x14ac:dyDescent="0.35">
      <c r="A8" s="134" t="s">
        <v>347</v>
      </c>
      <c r="B8" s="134" t="s">
        <v>348</v>
      </c>
      <c r="C8" s="134" t="s">
        <v>349</v>
      </c>
      <c r="D8" s="191">
        <v>117012.49699999999</v>
      </c>
      <c r="E8" s="135">
        <v>9</v>
      </c>
      <c r="F8" s="136">
        <v>14</v>
      </c>
      <c r="G8" s="187">
        <v>5</v>
      </c>
      <c r="H8" s="188" t="s">
        <v>245</v>
      </c>
      <c r="I8" s="189">
        <v>19</v>
      </c>
      <c r="J8" s="136"/>
    </row>
    <row r="9" spans="1:10" x14ac:dyDescent="0.35">
      <c r="A9" s="134" t="s">
        <v>344</v>
      </c>
      <c r="B9" s="134" t="s">
        <v>345</v>
      </c>
      <c r="C9" s="134" t="s">
        <v>346</v>
      </c>
      <c r="D9" s="191">
        <v>117012.49699999999</v>
      </c>
      <c r="E9" s="135">
        <v>7</v>
      </c>
      <c r="F9" s="136">
        <v>18</v>
      </c>
      <c r="G9" s="187">
        <v>11</v>
      </c>
      <c r="H9" s="188" t="s">
        <v>245</v>
      </c>
      <c r="I9" s="189">
        <v>15</v>
      </c>
      <c r="J9" s="136"/>
    </row>
    <row r="10" spans="1:10" x14ac:dyDescent="0.35">
      <c r="A10" s="134" t="s">
        <v>329</v>
      </c>
      <c r="B10" s="134" t="s">
        <v>330</v>
      </c>
      <c r="C10" s="134" t="s">
        <v>331</v>
      </c>
      <c r="D10" s="191">
        <v>148788.514</v>
      </c>
      <c r="E10" s="135">
        <v>4</v>
      </c>
      <c r="F10" s="136">
        <v>11</v>
      </c>
      <c r="G10" s="187">
        <v>7</v>
      </c>
      <c r="H10" s="188" t="s">
        <v>245</v>
      </c>
      <c r="I10" s="189">
        <v>18</v>
      </c>
      <c r="J10" s="136"/>
    </row>
    <row r="11" spans="1:10" x14ac:dyDescent="0.35">
      <c r="A11" s="134" t="s">
        <v>335</v>
      </c>
      <c r="B11" s="134" t="s">
        <v>336</v>
      </c>
      <c r="C11" s="134" t="s">
        <v>334</v>
      </c>
      <c r="D11" s="191">
        <v>59893.630999999994</v>
      </c>
      <c r="E11" s="135">
        <v>11</v>
      </c>
      <c r="F11" s="136">
        <v>6</v>
      </c>
      <c r="G11" s="187">
        <v>-5</v>
      </c>
      <c r="H11" s="188" t="s">
        <v>245</v>
      </c>
      <c r="I11" s="189">
        <v>12</v>
      </c>
      <c r="J11" s="136"/>
    </row>
    <row r="12" spans="1:10" x14ac:dyDescent="0.35">
      <c r="A12" s="134" t="s">
        <v>519</v>
      </c>
      <c r="B12" s="134" t="s">
        <v>520</v>
      </c>
      <c r="C12" s="134" t="s">
        <v>521</v>
      </c>
      <c r="D12" s="191">
        <v>151958.66</v>
      </c>
      <c r="E12" s="135">
        <v>18</v>
      </c>
      <c r="F12" s="136">
        <v>17</v>
      </c>
      <c r="G12" s="187">
        <v>-1</v>
      </c>
      <c r="H12" s="188" t="s">
        <v>245</v>
      </c>
      <c r="I12" s="189">
        <v>15</v>
      </c>
      <c r="J12" s="136"/>
    </row>
    <row r="13" spans="1:10" x14ac:dyDescent="0.35">
      <c r="A13" s="134" t="s">
        <v>522</v>
      </c>
      <c r="B13" s="134" t="s">
        <v>523</v>
      </c>
      <c r="C13" s="134" t="s">
        <v>524</v>
      </c>
      <c r="D13" s="191">
        <v>142247.43400000001</v>
      </c>
      <c r="E13" s="135">
        <v>0</v>
      </c>
      <c r="F13" s="136">
        <v>1</v>
      </c>
      <c r="G13" s="187">
        <v>1</v>
      </c>
      <c r="H13" s="188" t="s">
        <v>245</v>
      </c>
      <c r="I13" s="189">
        <v>15</v>
      </c>
      <c r="J13" s="136"/>
    </row>
    <row r="14" spans="1:10" x14ac:dyDescent="0.35">
      <c r="A14" s="134" t="s">
        <v>668</v>
      </c>
      <c r="B14" s="134" t="s">
        <v>669</v>
      </c>
      <c r="C14" s="134" t="s">
        <v>670</v>
      </c>
      <c r="D14" s="191">
        <v>14403.347</v>
      </c>
      <c r="E14" s="135">
        <v>302</v>
      </c>
      <c r="F14" s="136">
        <v>300</v>
      </c>
      <c r="G14" s="187">
        <v>-2</v>
      </c>
      <c r="H14" s="188" t="s">
        <v>245</v>
      </c>
      <c r="I14" s="189">
        <v>336</v>
      </c>
      <c r="J14" s="136"/>
    </row>
    <row r="15" spans="1:10" x14ac:dyDescent="0.35">
      <c r="A15" s="134" t="s">
        <v>665</v>
      </c>
      <c r="B15" s="134" t="s">
        <v>666</v>
      </c>
      <c r="C15" s="134" t="s">
        <v>667</v>
      </c>
      <c r="D15" s="191">
        <v>19677.231</v>
      </c>
      <c r="E15" s="135">
        <v>247</v>
      </c>
      <c r="F15" s="136">
        <v>246</v>
      </c>
      <c r="G15" s="187">
        <v>-1</v>
      </c>
      <c r="H15" s="188" t="s">
        <v>245</v>
      </c>
      <c r="I15" s="189">
        <v>243</v>
      </c>
      <c r="J15" s="136"/>
    </row>
    <row r="16" spans="1:10" x14ac:dyDescent="0.35">
      <c r="A16" s="134" t="s">
        <v>460</v>
      </c>
      <c r="B16" s="134" t="s">
        <v>461</v>
      </c>
      <c r="C16" s="134" t="s">
        <v>455</v>
      </c>
      <c r="D16" s="191">
        <v>6541.9690000000001</v>
      </c>
      <c r="E16" s="135">
        <v>-1</v>
      </c>
      <c r="F16" s="136">
        <v>0</v>
      </c>
      <c r="G16" s="187">
        <v>1</v>
      </c>
      <c r="H16" s="188" t="s">
        <v>245</v>
      </c>
      <c r="I16" s="189">
        <v>-1</v>
      </c>
      <c r="J16" s="136"/>
    </row>
    <row r="17" spans="1:10" x14ac:dyDescent="0.35">
      <c r="A17" s="134" t="s">
        <v>458</v>
      </c>
      <c r="B17" s="134" t="s">
        <v>459</v>
      </c>
      <c r="C17" s="134" t="s">
        <v>456</v>
      </c>
      <c r="D17" s="191">
        <v>40100.144</v>
      </c>
      <c r="E17" s="135">
        <v>1</v>
      </c>
      <c r="F17" s="136">
        <v>0</v>
      </c>
      <c r="G17" s="187">
        <v>-1</v>
      </c>
      <c r="H17" s="188" t="s">
        <v>245</v>
      </c>
      <c r="I17" s="189">
        <v>154</v>
      </c>
      <c r="J17" s="136"/>
    </row>
    <row r="18" spans="1:10" x14ac:dyDescent="0.35">
      <c r="A18" s="134" t="s">
        <v>706</v>
      </c>
      <c r="B18" s="134" t="s">
        <v>707</v>
      </c>
      <c r="C18" s="134" t="s">
        <v>705</v>
      </c>
      <c r="D18" s="191">
        <v>8285.9279999999999</v>
      </c>
      <c r="E18" s="135">
        <v>424</v>
      </c>
      <c r="F18" s="193">
        <v>393</v>
      </c>
      <c r="G18" s="187">
        <v>-31</v>
      </c>
      <c r="H18" s="188" t="s">
        <v>245</v>
      </c>
      <c r="I18" s="189">
        <v>504</v>
      </c>
      <c r="J18" s="136"/>
    </row>
    <row r="19" spans="1:10" x14ac:dyDescent="0.35">
      <c r="A19" s="134" t="s">
        <v>360</v>
      </c>
      <c r="B19" s="134" t="s">
        <v>361</v>
      </c>
      <c r="C19" s="134" t="s">
        <v>362</v>
      </c>
      <c r="D19" s="191">
        <v>12765.606000000002</v>
      </c>
      <c r="E19" s="135">
        <v>183</v>
      </c>
      <c r="F19" s="193">
        <v>178</v>
      </c>
      <c r="G19" s="187">
        <v>-5</v>
      </c>
      <c r="H19" s="188" t="s">
        <v>245</v>
      </c>
      <c r="I19" s="189">
        <v>208</v>
      </c>
      <c r="J19" s="136"/>
    </row>
    <row r="20" spans="1:10" x14ac:dyDescent="0.35">
      <c r="A20" s="134" t="s">
        <v>636</v>
      </c>
      <c r="B20" s="134" t="s">
        <v>637</v>
      </c>
      <c r="C20" s="134" t="s">
        <v>638</v>
      </c>
      <c r="D20" s="191">
        <v>120562.701</v>
      </c>
      <c r="E20" s="135">
        <v>10</v>
      </c>
      <c r="F20" s="136">
        <v>11</v>
      </c>
      <c r="G20" s="187">
        <v>1</v>
      </c>
      <c r="H20" s="188" t="s">
        <v>245</v>
      </c>
      <c r="I20" s="189">
        <v>13</v>
      </c>
      <c r="J20" s="136"/>
    </row>
    <row r="21" spans="1:10" x14ac:dyDescent="0.35">
      <c r="A21" s="134" t="s">
        <v>366</v>
      </c>
      <c r="B21" s="134" t="s">
        <v>367</v>
      </c>
      <c r="C21" s="134" t="s">
        <v>365</v>
      </c>
      <c r="D21" s="191">
        <v>95837.308000000005</v>
      </c>
      <c r="E21" s="135">
        <v>31</v>
      </c>
      <c r="F21" s="136">
        <v>32</v>
      </c>
      <c r="G21" s="187">
        <v>1</v>
      </c>
      <c r="H21" s="188" t="s">
        <v>245</v>
      </c>
      <c r="I21" s="189">
        <v>37</v>
      </c>
      <c r="J21" s="136"/>
    </row>
    <row r="22" spans="1:10" x14ac:dyDescent="0.35">
      <c r="A22" s="134" t="s">
        <v>368</v>
      </c>
      <c r="B22" s="134" t="s">
        <v>369</v>
      </c>
      <c r="C22" s="134" t="s">
        <v>365</v>
      </c>
      <c r="D22" s="191">
        <v>107733.38099999998</v>
      </c>
      <c r="E22" s="135">
        <v>1</v>
      </c>
      <c r="F22" s="136">
        <v>0</v>
      </c>
      <c r="G22" s="187">
        <v>-1</v>
      </c>
      <c r="H22" s="188" t="s">
        <v>245</v>
      </c>
      <c r="I22" s="189">
        <v>8</v>
      </c>
      <c r="J22" s="136"/>
    </row>
    <row r="23" spans="1:10" x14ac:dyDescent="0.35">
      <c r="A23" s="134" t="s">
        <v>733</v>
      </c>
      <c r="B23" s="134" t="s">
        <v>734</v>
      </c>
      <c r="C23" s="134" t="s">
        <v>735</v>
      </c>
      <c r="D23" s="191">
        <v>59066.896000000001</v>
      </c>
      <c r="E23" s="135">
        <v>44</v>
      </c>
      <c r="F23" s="193">
        <v>43</v>
      </c>
      <c r="G23" s="187">
        <v>-1</v>
      </c>
      <c r="H23" s="188" t="s">
        <v>245</v>
      </c>
      <c r="I23" s="189">
        <v>42</v>
      </c>
      <c r="J23" s="136"/>
    </row>
    <row r="24" spans="1:10" x14ac:dyDescent="0.35">
      <c r="A24" s="134" t="s">
        <v>633</v>
      </c>
      <c r="B24" s="134" t="s">
        <v>634</v>
      </c>
      <c r="C24" s="134" t="s">
        <v>635</v>
      </c>
      <c r="D24" s="191">
        <v>94946.488000000012</v>
      </c>
      <c r="E24" s="135">
        <v>9</v>
      </c>
      <c r="F24" s="136">
        <v>8</v>
      </c>
      <c r="G24" s="187">
        <v>-1</v>
      </c>
      <c r="H24" s="188" t="s">
        <v>245</v>
      </c>
      <c r="I24" s="189">
        <v>11</v>
      </c>
      <c r="J24" s="136"/>
    </row>
    <row r="25" spans="1:10" x14ac:dyDescent="0.35">
      <c r="A25" s="134" t="s">
        <v>505</v>
      </c>
      <c r="B25" s="134" t="s">
        <v>506</v>
      </c>
      <c r="C25" s="134" t="s">
        <v>507</v>
      </c>
      <c r="D25" s="191">
        <v>107041.501</v>
      </c>
      <c r="E25" s="135">
        <v>9</v>
      </c>
      <c r="F25" s="136">
        <v>8</v>
      </c>
      <c r="G25" s="187">
        <v>-1</v>
      </c>
      <c r="H25" s="188" t="s">
        <v>245</v>
      </c>
      <c r="I25" s="189">
        <v>11</v>
      </c>
      <c r="J25" s="136"/>
    </row>
    <row r="26" spans="1:10" x14ac:dyDescent="0.35">
      <c r="A26" s="134" t="s">
        <v>482</v>
      </c>
      <c r="B26" s="134" t="s">
        <v>483</v>
      </c>
      <c r="C26" s="134" t="s">
        <v>258</v>
      </c>
      <c r="D26" s="191">
        <v>426421.68099999992</v>
      </c>
      <c r="E26" s="135">
        <v>23</v>
      </c>
      <c r="F26" s="136">
        <v>22</v>
      </c>
      <c r="G26" s="187">
        <v>-1</v>
      </c>
      <c r="H26" s="188" t="s">
        <v>245</v>
      </c>
      <c r="I26" s="189">
        <v>21</v>
      </c>
      <c r="J26" s="136"/>
    </row>
    <row r="27" spans="1:10" x14ac:dyDescent="0.35">
      <c r="A27" s="134" t="s">
        <v>260</v>
      </c>
      <c r="B27" s="134" t="s">
        <v>259</v>
      </c>
      <c r="C27" s="134" t="s">
        <v>258</v>
      </c>
      <c r="D27" s="191">
        <v>402642.52700000006</v>
      </c>
      <c r="E27" s="135">
        <v>0</v>
      </c>
      <c r="F27" s="136">
        <v>1</v>
      </c>
      <c r="G27" s="187">
        <v>1</v>
      </c>
      <c r="H27" s="188" t="s">
        <v>245</v>
      </c>
      <c r="I27" s="189">
        <v>10</v>
      </c>
      <c r="J27" s="136"/>
    </row>
    <row r="28" spans="1:10" x14ac:dyDescent="0.35">
      <c r="A28" s="134" t="s">
        <v>535</v>
      </c>
      <c r="B28" s="134" t="s">
        <v>536</v>
      </c>
      <c r="C28" s="134" t="s">
        <v>537</v>
      </c>
      <c r="D28" s="191">
        <v>118017.046</v>
      </c>
      <c r="E28" s="135">
        <v>6</v>
      </c>
      <c r="F28" s="136">
        <v>8</v>
      </c>
      <c r="G28" s="187">
        <v>2</v>
      </c>
      <c r="H28" s="188" t="s">
        <v>245</v>
      </c>
      <c r="I28" s="189">
        <v>6</v>
      </c>
      <c r="J28" s="136"/>
    </row>
    <row r="29" spans="1:10" x14ac:dyDescent="0.35">
      <c r="A29" s="134" t="s">
        <v>538</v>
      </c>
      <c r="B29" s="134" t="s">
        <v>539</v>
      </c>
      <c r="C29" s="134" t="s">
        <v>537</v>
      </c>
      <c r="D29" s="191">
        <v>126300.47500000001</v>
      </c>
      <c r="E29" s="135">
        <v>2</v>
      </c>
      <c r="F29" s="136">
        <v>0</v>
      </c>
      <c r="G29" s="187">
        <v>-2</v>
      </c>
      <c r="H29" s="188" t="s">
        <v>245</v>
      </c>
      <c r="I29" s="189">
        <v>20</v>
      </c>
      <c r="J29" s="136"/>
    </row>
    <row r="30" spans="1:10" x14ac:dyDescent="0.35">
      <c r="A30" s="134" t="s">
        <v>639</v>
      </c>
      <c r="B30" s="134" t="s">
        <v>640</v>
      </c>
      <c r="C30" s="134" t="s">
        <v>641</v>
      </c>
      <c r="D30" s="191">
        <v>96845.42</v>
      </c>
      <c r="E30" s="135">
        <v>7</v>
      </c>
      <c r="F30" s="136">
        <v>6</v>
      </c>
      <c r="G30" s="187">
        <v>-1</v>
      </c>
      <c r="H30" s="188" t="s">
        <v>245</v>
      </c>
      <c r="I30" s="189">
        <v>8</v>
      </c>
      <c r="J30" s="136"/>
    </row>
    <row r="31" spans="1:10" x14ac:dyDescent="0.35">
      <c r="A31" s="134" t="s">
        <v>530</v>
      </c>
      <c r="B31" s="134" t="s">
        <v>531</v>
      </c>
      <c r="C31" s="134" t="s">
        <v>525</v>
      </c>
      <c r="D31" s="191">
        <v>117864.45300000001</v>
      </c>
      <c r="E31" s="135">
        <v>18</v>
      </c>
      <c r="F31" s="193">
        <v>20</v>
      </c>
      <c r="G31" s="187">
        <v>2</v>
      </c>
      <c r="H31" s="188" t="s">
        <v>245</v>
      </c>
      <c r="I31" s="189">
        <v>18</v>
      </c>
      <c r="J31" s="136"/>
    </row>
    <row r="32" spans="1:10" x14ac:dyDescent="0.35">
      <c r="A32" s="134" t="s">
        <v>399</v>
      </c>
      <c r="B32" s="134" t="s">
        <v>400</v>
      </c>
      <c r="C32" s="134" t="s">
        <v>401</v>
      </c>
      <c r="D32" s="191">
        <v>224915.11000000002</v>
      </c>
      <c r="E32" s="135">
        <v>55</v>
      </c>
      <c r="F32" s="136">
        <v>54</v>
      </c>
      <c r="G32" s="187">
        <v>-1</v>
      </c>
      <c r="H32" s="188" t="s">
        <v>245</v>
      </c>
      <c r="I32" s="189">
        <v>59</v>
      </c>
      <c r="J32" s="136"/>
    </row>
    <row r="33" spans="1:10" x14ac:dyDescent="0.35">
      <c r="A33" s="134" t="s">
        <v>696</v>
      </c>
      <c r="B33" s="134" t="s">
        <v>697</v>
      </c>
      <c r="C33" s="134" t="s">
        <v>698</v>
      </c>
      <c r="D33" s="191">
        <v>1140.328</v>
      </c>
      <c r="E33" s="135">
        <v>1284</v>
      </c>
      <c r="F33" s="136">
        <v>1365</v>
      </c>
      <c r="G33" s="187">
        <v>81</v>
      </c>
      <c r="H33" s="188" t="s">
        <v>245</v>
      </c>
      <c r="I33" s="189">
        <v>1623</v>
      </c>
      <c r="J33" s="136"/>
    </row>
    <row r="34" spans="1:10" x14ac:dyDescent="0.35">
      <c r="A34" s="134" t="s">
        <v>699</v>
      </c>
      <c r="B34" s="134" t="s">
        <v>700</v>
      </c>
      <c r="C34" s="134" t="s">
        <v>701</v>
      </c>
      <c r="D34" s="191">
        <v>1177.1200000000001</v>
      </c>
      <c r="E34" s="135">
        <v>1472</v>
      </c>
      <c r="F34" s="136">
        <v>1498</v>
      </c>
      <c r="G34" s="187">
        <v>26</v>
      </c>
      <c r="H34" s="188" t="s">
        <v>245</v>
      </c>
      <c r="I34" s="189">
        <v>2082</v>
      </c>
      <c r="J34" s="136"/>
    </row>
    <row r="35" spans="1:10" x14ac:dyDescent="0.35">
      <c r="A35" s="134" t="s">
        <v>630</v>
      </c>
      <c r="B35" s="134" t="s">
        <v>631</v>
      </c>
      <c r="C35" s="134" t="s">
        <v>632</v>
      </c>
      <c r="D35" s="191">
        <v>125850.52900000001</v>
      </c>
      <c r="E35" s="135">
        <v>9</v>
      </c>
      <c r="F35" s="136">
        <v>10</v>
      </c>
      <c r="G35" s="187">
        <v>1</v>
      </c>
      <c r="H35" s="188" t="s">
        <v>245</v>
      </c>
      <c r="I35" s="189">
        <v>9</v>
      </c>
      <c r="J35" s="136"/>
    </row>
    <row r="36" spans="1:10" x14ac:dyDescent="0.35">
      <c r="A36" s="134" t="s">
        <v>394</v>
      </c>
      <c r="B36" s="134" t="s">
        <v>395</v>
      </c>
      <c r="C36" s="134" t="s">
        <v>396</v>
      </c>
      <c r="D36" s="191">
        <v>102521.041</v>
      </c>
      <c r="E36" s="135">
        <v>20</v>
      </c>
      <c r="F36" s="136">
        <v>22</v>
      </c>
      <c r="G36" s="187">
        <v>2</v>
      </c>
      <c r="H36" s="188" t="s">
        <v>245</v>
      </c>
      <c r="I36" s="189">
        <v>26</v>
      </c>
      <c r="J36" s="136"/>
    </row>
    <row r="37" spans="1:10" x14ac:dyDescent="0.35">
      <c r="A37" s="134" t="s">
        <v>381</v>
      </c>
      <c r="B37" s="134" t="s">
        <v>397</v>
      </c>
      <c r="C37" s="134" t="s">
        <v>398</v>
      </c>
      <c r="D37" s="191">
        <v>73381.224000000002</v>
      </c>
      <c r="E37" s="135">
        <v>34</v>
      </c>
      <c r="F37" s="136">
        <v>36</v>
      </c>
      <c r="G37" s="187">
        <v>2</v>
      </c>
      <c r="H37" s="188" t="s">
        <v>245</v>
      </c>
      <c r="I37" s="189">
        <v>31</v>
      </c>
      <c r="J37" s="136"/>
    </row>
    <row r="38" spans="1:10" x14ac:dyDescent="0.35">
      <c r="A38" s="134" t="s">
        <v>404</v>
      </c>
      <c r="B38" s="134" t="s">
        <v>405</v>
      </c>
      <c r="C38" s="134" t="s">
        <v>406</v>
      </c>
      <c r="D38" s="191">
        <v>2821.4270000000001</v>
      </c>
      <c r="E38" s="135">
        <v>197</v>
      </c>
      <c r="F38" s="136">
        <v>190</v>
      </c>
      <c r="G38" s="187">
        <v>-7</v>
      </c>
      <c r="H38" s="188" t="s">
        <v>245</v>
      </c>
      <c r="I38" s="189">
        <v>334</v>
      </c>
      <c r="J38" s="136"/>
    </row>
    <row r="39" spans="1:10" x14ac:dyDescent="0.35">
      <c r="A39" s="134" t="s">
        <v>710</v>
      </c>
      <c r="B39" s="134" t="s">
        <v>711</v>
      </c>
      <c r="C39" s="134" t="s">
        <v>708</v>
      </c>
      <c r="D39" s="191">
        <v>54520.724999999999</v>
      </c>
      <c r="E39" s="135">
        <v>38</v>
      </c>
      <c r="F39" s="136">
        <v>37</v>
      </c>
      <c r="G39" s="187">
        <v>-1</v>
      </c>
      <c r="H39" s="188" t="s">
        <v>245</v>
      </c>
      <c r="I39" s="189">
        <v>39</v>
      </c>
      <c r="J39" s="136"/>
    </row>
    <row r="40" spans="1:10" x14ac:dyDescent="0.35">
      <c r="A40" s="134" t="s">
        <v>426</v>
      </c>
      <c r="B40" s="134" t="s">
        <v>427</v>
      </c>
      <c r="C40" s="134" t="s">
        <v>425</v>
      </c>
      <c r="D40" s="191">
        <v>80369.085999999996</v>
      </c>
      <c r="E40" s="135">
        <v>49</v>
      </c>
      <c r="F40" s="136">
        <v>51</v>
      </c>
      <c r="G40" s="187">
        <v>2</v>
      </c>
      <c r="H40" s="188" t="s">
        <v>245</v>
      </c>
      <c r="I40" s="189">
        <v>43</v>
      </c>
      <c r="J40" s="136"/>
    </row>
  </sheetData>
  <autoFilter ref="A4:J40" xr:uid="{00000000-0009-0000-0000-00000C000000}"/>
  <mergeCells count="1">
    <mergeCell ref="I3:J3"/>
  </mergeCells>
  <dataValidations count="1">
    <dataValidation type="list" allowBlank="1" showInputMessage="1" showErrorMessage="1" sqref="H5:H40" xr:uid="{00000000-0002-0000-0C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80" fitToHeight="3" orientation="landscape" r:id="rId1"/>
  <rowBreaks count="2" manualBreakCount="2">
    <brk id="16" max="9" man="1"/>
    <brk id="28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Recuperado_Hoja1 (2)</vt:lpstr>
      <vt:lpstr>1,Tranf.Pend. Recep</vt:lpstr>
      <vt:lpstr>2.Pend.Creditoo</vt:lpstr>
      <vt:lpstr>3.Remito Pend Carga</vt:lpstr>
      <vt:lpstr>4.Inv Rota</vt:lpstr>
      <vt:lpstr>7.Remito Pend de Fact</vt:lpstr>
      <vt:lpstr>8.Ventas Internas</vt:lpstr>
      <vt:lpstr>9.Transf.Pend. Entrega</vt:lpstr>
      <vt:lpstr>KPI'S</vt:lpstr>
      <vt:lpstr>Salta-Jujuy</vt:lpstr>
      <vt:lpstr>Config S-J</vt:lpstr>
      <vt:lpstr>Rotativo</vt:lpstr>
      <vt:lpstr>4.1</vt:lpstr>
      <vt:lpstr>Hoja1</vt:lpstr>
      <vt:lpstr>Hoja1!Área_de_impresión</vt:lpstr>
      <vt:lpstr>'KPI''S'!Área_de_impresión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solana</dc:creator>
  <cp:lastModifiedBy>Gustavo</cp:lastModifiedBy>
  <cp:lastPrinted>2024-11-20T15:36:15Z</cp:lastPrinted>
  <dcterms:created xsi:type="dcterms:W3CDTF">2024-07-18T18:17:46Z</dcterms:created>
  <dcterms:modified xsi:type="dcterms:W3CDTF">2026-02-18T20:28:41Z</dcterms:modified>
</cp:coreProperties>
</file>